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178D8B2B-074C-4551-93EC-CE15628E70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up Reservas" sheetId="1" r:id="rId1"/>
    <sheet name="Base SKUs" sheetId="2" r:id="rId2"/>
  </sheets>
  <definedNames>
    <definedName name="_xlnm._FilterDatabase" localSheetId="0" hidden="1">'Backup Reservas'!$A$1:$P$507</definedName>
    <definedName name="_xlnm._FilterDatabase" localSheetId="1" hidden="1">'Base SKUs'!$A$1:$S$3827</definedName>
  </definedNames>
  <calcPr calcId="191029" iterate="1" iterateCount="100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7" i="1" l="1"/>
  <c r="N507" i="1"/>
  <c r="M507" i="1"/>
  <c r="L507" i="1"/>
  <c r="K507" i="1"/>
  <c r="J507" i="1"/>
  <c r="H507" i="1"/>
  <c r="G507" i="1"/>
  <c r="O506" i="1"/>
  <c r="N506" i="1"/>
  <c r="M506" i="1"/>
  <c r="L506" i="1"/>
  <c r="K506" i="1"/>
  <c r="J506" i="1"/>
  <c r="H506" i="1"/>
  <c r="G506" i="1"/>
  <c r="O505" i="1"/>
  <c r="N505" i="1"/>
  <c r="M505" i="1"/>
  <c r="L505" i="1"/>
  <c r="K505" i="1"/>
  <c r="J505" i="1"/>
  <c r="H505" i="1"/>
  <c r="G505" i="1"/>
  <c r="O504" i="1"/>
  <c r="N504" i="1"/>
  <c r="M504" i="1"/>
  <c r="L504" i="1"/>
  <c r="K504" i="1"/>
  <c r="J504" i="1"/>
  <c r="H504" i="1"/>
  <c r="G504" i="1"/>
  <c r="O503" i="1"/>
  <c r="N503" i="1"/>
  <c r="M503" i="1"/>
  <c r="L503" i="1"/>
  <c r="K503" i="1"/>
  <c r="J503" i="1"/>
  <c r="H503" i="1"/>
  <c r="G503" i="1"/>
  <c r="O502" i="1"/>
  <c r="N502" i="1"/>
  <c r="M502" i="1"/>
  <c r="L502" i="1"/>
  <c r="K502" i="1"/>
  <c r="J502" i="1"/>
  <c r="H502" i="1"/>
  <c r="G502" i="1"/>
  <c r="O501" i="1"/>
  <c r="N501" i="1"/>
  <c r="M501" i="1"/>
  <c r="L501" i="1"/>
  <c r="K501" i="1"/>
  <c r="J501" i="1"/>
  <c r="H501" i="1"/>
  <c r="G501" i="1"/>
  <c r="O500" i="1"/>
  <c r="N500" i="1"/>
  <c r="M500" i="1"/>
  <c r="L500" i="1"/>
  <c r="K500" i="1"/>
  <c r="J500" i="1"/>
  <c r="H500" i="1"/>
  <c r="G500" i="1"/>
  <c r="O499" i="1"/>
  <c r="N499" i="1"/>
  <c r="M499" i="1"/>
  <c r="L499" i="1"/>
  <c r="K499" i="1"/>
  <c r="J499" i="1"/>
  <c r="H499" i="1"/>
  <c r="G499" i="1"/>
  <c r="O498" i="1"/>
  <c r="N498" i="1"/>
  <c r="M498" i="1"/>
  <c r="L498" i="1"/>
  <c r="K498" i="1"/>
  <c r="J498" i="1"/>
  <c r="H498" i="1"/>
  <c r="G498" i="1"/>
  <c r="O497" i="1"/>
  <c r="N497" i="1"/>
  <c r="M497" i="1"/>
  <c r="L497" i="1"/>
  <c r="K497" i="1"/>
  <c r="J497" i="1"/>
  <c r="H497" i="1"/>
  <c r="G497" i="1"/>
  <c r="O496" i="1"/>
  <c r="N496" i="1"/>
  <c r="M496" i="1"/>
  <c r="L496" i="1"/>
  <c r="K496" i="1"/>
  <c r="J496" i="1"/>
  <c r="H496" i="1"/>
  <c r="G496" i="1"/>
  <c r="O495" i="1"/>
  <c r="N495" i="1"/>
  <c r="M495" i="1"/>
  <c r="L495" i="1"/>
  <c r="K495" i="1"/>
  <c r="J495" i="1"/>
  <c r="H495" i="1"/>
  <c r="G495" i="1"/>
  <c r="O494" i="1"/>
  <c r="N494" i="1"/>
  <c r="M494" i="1"/>
  <c r="L494" i="1"/>
  <c r="K494" i="1"/>
  <c r="J494" i="1"/>
  <c r="H494" i="1"/>
  <c r="G494" i="1"/>
  <c r="O493" i="1"/>
  <c r="N493" i="1"/>
  <c r="M493" i="1"/>
  <c r="L493" i="1"/>
  <c r="K493" i="1"/>
  <c r="J493" i="1"/>
  <c r="H493" i="1"/>
  <c r="G493" i="1"/>
  <c r="O492" i="1"/>
  <c r="N492" i="1"/>
  <c r="M492" i="1"/>
  <c r="L492" i="1"/>
  <c r="K492" i="1"/>
  <c r="J492" i="1"/>
  <c r="H492" i="1"/>
  <c r="G492" i="1"/>
  <c r="O491" i="1"/>
  <c r="N491" i="1"/>
  <c r="M491" i="1"/>
  <c r="L491" i="1"/>
  <c r="K491" i="1"/>
  <c r="J491" i="1"/>
  <c r="H491" i="1"/>
  <c r="G491" i="1"/>
  <c r="O490" i="1"/>
  <c r="N490" i="1"/>
  <c r="M490" i="1"/>
  <c r="L490" i="1"/>
  <c r="K490" i="1"/>
  <c r="J490" i="1"/>
  <c r="H490" i="1"/>
  <c r="G490" i="1"/>
  <c r="O489" i="1"/>
  <c r="N489" i="1"/>
  <c r="M489" i="1"/>
  <c r="L489" i="1"/>
  <c r="K489" i="1"/>
  <c r="J489" i="1"/>
  <c r="H489" i="1"/>
  <c r="G489" i="1"/>
  <c r="O488" i="1"/>
  <c r="N488" i="1"/>
  <c r="M488" i="1"/>
  <c r="L488" i="1"/>
  <c r="K488" i="1"/>
  <c r="J488" i="1"/>
  <c r="H488" i="1"/>
  <c r="G488" i="1"/>
  <c r="O487" i="1"/>
  <c r="N487" i="1"/>
  <c r="M487" i="1"/>
  <c r="L487" i="1"/>
  <c r="K487" i="1"/>
  <c r="J487" i="1"/>
  <c r="H487" i="1"/>
  <c r="G487" i="1"/>
  <c r="O486" i="1"/>
  <c r="N486" i="1"/>
  <c r="M486" i="1"/>
  <c r="L486" i="1"/>
  <c r="K486" i="1"/>
  <c r="J486" i="1"/>
  <c r="H486" i="1"/>
  <c r="G486" i="1"/>
  <c r="O485" i="1"/>
  <c r="N485" i="1"/>
  <c r="M485" i="1"/>
  <c r="L485" i="1"/>
  <c r="K485" i="1"/>
  <c r="J485" i="1"/>
  <c r="H485" i="1"/>
  <c r="G485" i="1"/>
  <c r="O484" i="1"/>
  <c r="N484" i="1"/>
  <c r="M484" i="1"/>
  <c r="L484" i="1"/>
  <c r="K484" i="1"/>
  <c r="J484" i="1"/>
  <c r="H484" i="1"/>
  <c r="G484" i="1"/>
  <c r="O483" i="1"/>
  <c r="N483" i="1"/>
  <c r="M483" i="1"/>
  <c r="L483" i="1"/>
  <c r="K483" i="1"/>
  <c r="J483" i="1"/>
  <c r="H483" i="1"/>
  <c r="G483" i="1"/>
  <c r="O482" i="1"/>
  <c r="N482" i="1"/>
  <c r="M482" i="1"/>
  <c r="L482" i="1"/>
  <c r="K482" i="1"/>
  <c r="J482" i="1"/>
  <c r="H482" i="1"/>
  <c r="G482" i="1"/>
  <c r="O481" i="1"/>
  <c r="N481" i="1"/>
  <c r="M481" i="1"/>
  <c r="L481" i="1"/>
  <c r="K481" i="1"/>
  <c r="J481" i="1"/>
  <c r="H481" i="1"/>
  <c r="G481" i="1"/>
  <c r="O480" i="1"/>
  <c r="N480" i="1"/>
  <c r="M480" i="1"/>
  <c r="L480" i="1"/>
  <c r="K480" i="1"/>
  <c r="J480" i="1"/>
  <c r="H480" i="1"/>
  <c r="G480" i="1"/>
  <c r="O479" i="1"/>
  <c r="N479" i="1"/>
  <c r="M479" i="1"/>
  <c r="L479" i="1"/>
  <c r="K479" i="1"/>
  <c r="J479" i="1"/>
  <c r="H479" i="1"/>
  <c r="G479" i="1"/>
  <c r="O478" i="1"/>
  <c r="N478" i="1"/>
  <c r="M478" i="1"/>
  <c r="L478" i="1"/>
  <c r="K478" i="1"/>
  <c r="J478" i="1"/>
  <c r="H478" i="1"/>
  <c r="G478" i="1"/>
  <c r="O477" i="1"/>
  <c r="N477" i="1"/>
  <c r="M477" i="1"/>
  <c r="L477" i="1"/>
  <c r="K477" i="1"/>
  <c r="J477" i="1"/>
  <c r="H477" i="1"/>
  <c r="G477" i="1"/>
  <c r="O476" i="1"/>
  <c r="N476" i="1"/>
  <c r="M476" i="1"/>
  <c r="L476" i="1"/>
  <c r="K476" i="1"/>
  <c r="J476" i="1"/>
  <c r="H476" i="1"/>
  <c r="G476" i="1"/>
  <c r="O475" i="1"/>
  <c r="N475" i="1"/>
  <c r="M475" i="1"/>
  <c r="L475" i="1"/>
  <c r="K475" i="1"/>
  <c r="J475" i="1"/>
  <c r="H475" i="1"/>
  <c r="G475" i="1"/>
  <c r="O474" i="1"/>
  <c r="N474" i="1"/>
  <c r="M474" i="1"/>
  <c r="L474" i="1"/>
  <c r="K474" i="1"/>
  <c r="J474" i="1"/>
  <c r="H474" i="1"/>
  <c r="G474" i="1"/>
  <c r="O473" i="1"/>
  <c r="N473" i="1"/>
  <c r="M473" i="1"/>
  <c r="L473" i="1"/>
  <c r="K473" i="1"/>
  <c r="J473" i="1"/>
  <c r="H473" i="1"/>
  <c r="G473" i="1"/>
  <c r="O472" i="1"/>
  <c r="N472" i="1"/>
  <c r="M472" i="1"/>
  <c r="L472" i="1"/>
  <c r="K472" i="1"/>
  <c r="J472" i="1"/>
  <c r="H472" i="1"/>
  <c r="G472" i="1"/>
  <c r="O471" i="1"/>
  <c r="N471" i="1"/>
  <c r="M471" i="1"/>
  <c r="L471" i="1"/>
  <c r="K471" i="1"/>
  <c r="J471" i="1"/>
  <c r="H471" i="1"/>
  <c r="G471" i="1"/>
  <c r="O470" i="1"/>
  <c r="N470" i="1"/>
  <c r="M470" i="1"/>
  <c r="L470" i="1"/>
  <c r="K470" i="1"/>
  <c r="J470" i="1"/>
  <c r="H470" i="1"/>
  <c r="G470" i="1"/>
  <c r="O469" i="1"/>
  <c r="N469" i="1"/>
  <c r="M469" i="1"/>
  <c r="L469" i="1"/>
  <c r="K469" i="1"/>
  <c r="J469" i="1"/>
  <c r="H469" i="1"/>
  <c r="G469" i="1"/>
  <c r="O468" i="1"/>
  <c r="N468" i="1"/>
  <c r="M468" i="1"/>
  <c r="L468" i="1"/>
  <c r="K468" i="1"/>
  <c r="J468" i="1"/>
  <c r="H468" i="1"/>
  <c r="G468" i="1"/>
  <c r="I490" i="1" l="1"/>
  <c r="I496" i="1"/>
  <c r="I499" i="1"/>
  <c r="I492" i="1"/>
  <c r="I498" i="1"/>
  <c r="I501" i="1"/>
  <c r="I505" i="1"/>
  <c r="I480" i="1"/>
  <c r="I483" i="1"/>
  <c r="I495" i="1"/>
  <c r="I504" i="1"/>
  <c r="I507" i="1"/>
  <c r="I488" i="1"/>
  <c r="I491" i="1"/>
  <c r="I470" i="1"/>
  <c r="I500" i="1"/>
  <c r="I503" i="1"/>
  <c r="I506" i="1"/>
  <c r="I473" i="1"/>
  <c r="I476" i="1"/>
  <c r="I494" i="1"/>
  <c r="I478" i="1"/>
  <c r="I481" i="1"/>
  <c r="I484" i="1"/>
  <c r="I487" i="1"/>
  <c r="I469" i="1"/>
  <c r="I475" i="1"/>
  <c r="I486" i="1"/>
  <c r="I497" i="1"/>
  <c r="I472" i="1"/>
  <c r="I474" i="1"/>
  <c r="I489" i="1"/>
  <c r="I493" i="1"/>
  <c r="I468" i="1"/>
  <c r="I471" i="1"/>
  <c r="I477" i="1"/>
  <c r="I479" i="1"/>
  <c r="I482" i="1"/>
  <c r="I485" i="1"/>
  <c r="I502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467" i="1"/>
  <c r="L467" i="1"/>
  <c r="K467" i="1"/>
  <c r="J467" i="1"/>
  <c r="M466" i="1"/>
  <c r="L466" i="1"/>
  <c r="K466" i="1"/>
  <c r="J466" i="1"/>
  <c r="M465" i="1"/>
  <c r="L465" i="1"/>
  <c r="K465" i="1"/>
  <c r="J465" i="1"/>
  <c r="M464" i="1"/>
  <c r="L464" i="1"/>
  <c r="K464" i="1"/>
  <c r="J464" i="1"/>
  <c r="M463" i="1"/>
  <c r="L463" i="1"/>
  <c r="K463" i="1"/>
  <c r="J463" i="1"/>
  <c r="M462" i="1"/>
  <c r="L462" i="1"/>
  <c r="K462" i="1"/>
  <c r="J462" i="1"/>
  <c r="M461" i="1"/>
  <c r="L461" i="1"/>
  <c r="K461" i="1"/>
  <c r="J461" i="1"/>
  <c r="M460" i="1"/>
  <c r="L460" i="1"/>
  <c r="K460" i="1"/>
  <c r="J460" i="1"/>
  <c r="M459" i="1"/>
  <c r="L459" i="1"/>
  <c r="K459" i="1"/>
  <c r="J459" i="1"/>
  <c r="M458" i="1"/>
  <c r="L458" i="1"/>
  <c r="K458" i="1"/>
  <c r="J458" i="1"/>
  <c r="M457" i="1"/>
  <c r="L457" i="1"/>
  <c r="K457" i="1"/>
  <c r="J457" i="1"/>
  <c r="M456" i="1"/>
  <c r="L456" i="1"/>
  <c r="K456" i="1"/>
  <c r="J456" i="1"/>
  <c r="M455" i="1"/>
  <c r="L455" i="1"/>
  <c r="K455" i="1"/>
  <c r="J455" i="1"/>
  <c r="M454" i="1"/>
  <c r="L454" i="1"/>
  <c r="K454" i="1"/>
  <c r="J454" i="1"/>
  <c r="M453" i="1"/>
  <c r="L453" i="1"/>
  <c r="K453" i="1"/>
  <c r="J453" i="1"/>
  <c r="M452" i="1"/>
  <c r="L452" i="1"/>
  <c r="K452" i="1"/>
  <c r="J452" i="1"/>
  <c r="M451" i="1"/>
  <c r="L451" i="1"/>
  <c r="K451" i="1"/>
  <c r="J451" i="1"/>
  <c r="M450" i="1"/>
  <c r="L450" i="1"/>
  <c r="K450" i="1"/>
  <c r="J450" i="1"/>
  <c r="M449" i="1"/>
  <c r="L449" i="1"/>
  <c r="K449" i="1"/>
  <c r="J449" i="1"/>
  <c r="M448" i="1"/>
  <c r="L448" i="1"/>
  <c r="K448" i="1"/>
  <c r="J448" i="1"/>
  <c r="M447" i="1"/>
  <c r="L447" i="1"/>
  <c r="K447" i="1"/>
  <c r="J447" i="1"/>
  <c r="M446" i="1"/>
  <c r="L446" i="1"/>
  <c r="K446" i="1"/>
  <c r="J446" i="1"/>
  <c r="M445" i="1"/>
  <c r="L445" i="1"/>
  <c r="K445" i="1"/>
  <c r="J445" i="1"/>
  <c r="M444" i="1"/>
  <c r="L444" i="1"/>
  <c r="K444" i="1"/>
  <c r="J444" i="1"/>
  <c r="M443" i="1"/>
  <c r="L443" i="1"/>
  <c r="K443" i="1"/>
  <c r="J443" i="1"/>
  <c r="M442" i="1"/>
  <c r="L442" i="1"/>
  <c r="K442" i="1"/>
  <c r="J442" i="1"/>
  <c r="M441" i="1"/>
  <c r="L441" i="1"/>
  <c r="K441" i="1"/>
  <c r="J441" i="1"/>
  <c r="M440" i="1"/>
  <c r="L440" i="1"/>
  <c r="K440" i="1"/>
  <c r="J440" i="1"/>
  <c r="M439" i="1"/>
  <c r="L439" i="1"/>
  <c r="K439" i="1"/>
  <c r="J439" i="1"/>
  <c r="M438" i="1"/>
  <c r="L438" i="1"/>
  <c r="K438" i="1"/>
  <c r="J438" i="1"/>
  <c r="M437" i="1"/>
  <c r="L437" i="1"/>
  <c r="K437" i="1"/>
  <c r="J437" i="1"/>
  <c r="M436" i="1"/>
  <c r="L436" i="1"/>
  <c r="K436" i="1"/>
  <c r="J436" i="1"/>
  <c r="M435" i="1"/>
  <c r="L435" i="1"/>
  <c r="K435" i="1"/>
  <c r="J435" i="1"/>
  <c r="M434" i="1"/>
  <c r="L434" i="1"/>
  <c r="K434" i="1"/>
  <c r="J434" i="1"/>
  <c r="M433" i="1"/>
  <c r="L433" i="1"/>
  <c r="K433" i="1"/>
  <c r="J433" i="1"/>
  <c r="M432" i="1"/>
  <c r="L432" i="1"/>
  <c r="K432" i="1"/>
  <c r="J432" i="1"/>
  <c r="M431" i="1"/>
  <c r="L431" i="1"/>
  <c r="K431" i="1"/>
  <c r="J431" i="1"/>
  <c r="M430" i="1"/>
  <c r="L430" i="1"/>
  <c r="K430" i="1"/>
  <c r="J430" i="1"/>
  <c r="M429" i="1"/>
  <c r="L429" i="1"/>
  <c r="K429" i="1"/>
  <c r="J429" i="1"/>
  <c r="M428" i="1"/>
  <c r="L428" i="1"/>
  <c r="K428" i="1"/>
  <c r="J428" i="1"/>
  <c r="M427" i="1"/>
  <c r="L427" i="1"/>
  <c r="K427" i="1"/>
  <c r="J427" i="1"/>
  <c r="M426" i="1"/>
  <c r="L426" i="1"/>
  <c r="K426" i="1"/>
  <c r="J426" i="1"/>
  <c r="M425" i="1"/>
  <c r="L425" i="1"/>
  <c r="K425" i="1"/>
  <c r="J425" i="1"/>
  <c r="M424" i="1"/>
  <c r="L424" i="1"/>
  <c r="K424" i="1"/>
  <c r="J424" i="1"/>
  <c r="M423" i="1"/>
  <c r="L423" i="1"/>
  <c r="K423" i="1"/>
  <c r="J423" i="1"/>
  <c r="M422" i="1"/>
  <c r="L422" i="1"/>
  <c r="K422" i="1"/>
  <c r="J422" i="1"/>
  <c r="M421" i="1"/>
  <c r="L421" i="1"/>
  <c r="K421" i="1"/>
  <c r="J421" i="1"/>
  <c r="M420" i="1"/>
  <c r="L420" i="1"/>
  <c r="K420" i="1"/>
  <c r="J420" i="1"/>
  <c r="M419" i="1"/>
  <c r="L419" i="1"/>
  <c r="K419" i="1"/>
  <c r="J419" i="1"/>
  <c r="M418" i="1"/>
  <c r="L418" i="1"/>
  <c r="K418" i="1"/>
  <c r="J418" i="1"/>
  <c r="M417" i="1"/>
  <c r="L417" i="1"/>
  <c r="K417" i="1"/>
  <c r="J417" i="1"/>
  <c r="M416" i="1"/>
  <c r="L416" i="1"/>
  <c r="K416" i="1"/>
  <c r="J416" i="1"/>
  <c r="M415" i="1"/>
  <c r="L415" i="1"/>
  <c r="K415" i="1"/>
  <c r="J415" i="1"/>
  <c r="M414" i="1"/>
  <c r="L414" i="1"/>
  <c r="K414" i="1"/>
  <c r="J414" i="1"/>
  <c r="M413" i="1"/>
  <c r="L413" i="1"/>
  <c r="K413" i="1"/>
  <c r="J413" i="1"/>
  <c r="M412" i="1"/>
  <c r="L412" i="1"/>
  <c r="K412" i="1"/>
  <c r="J412" i="1"/>
  <c r="M411" i="1"/>
  <c r="L411" i="1"/>
  <c r="K411" i="1"/>
  <c r="J411" i="1"/>
  <c r="M410" i="1"/>
  <c r="L410" i="1"/>
  <c r="K410" i="1"/>
  <c r="J410" i="1"/>
  <c r="M409" i="1"/>
  <c r="L409" i="1"/>
  <c r="K409" i="1"/>
  <c r="J409" i="1"/>
  <c r="M408" i="1"/>
  <c r="L408" i="1"/>
  <c r="K408" i="1"/>
  <c r="J408" i="1"/>
  <c r="M407" i="1"/>
  <c r="L407" i="1"/>
  <c r="K407" i="1"/>
  <c r="J407" i="1"/>
  <c r="M406" i="1"/>
  <c r="L406" i="1"/>
  <c r="K406" i="1"/>
  <c r="J406" i="1"/>
  <c r="M405" i="1"/>
  <c r="L405" i="1"/>
  <c r="K405" i="1"/>
  <c r="J405" i="1"/>
  <c r="M404" i="1"/>
  <c r="L404" i="1"/>
  <c r="K404" i="1"/>
  <c r="J404" i="1"/>
  <c r="M403" i="1"/>
  <c r="L403" i="1"/>
  <c r="K403" i="1"/>
  <c r="J403" i="1"/>
  <c r="M402" i="1"/>
  <c r="L402" i="1"/>
  <c r="K402" i="1"/>
  <c r="J402" i="1"/>
  <c r="M401" i="1"/>
  <c r="L401" i="1"/>
  <c r="K401" i="1"/>
  <c r="J401" i="1"/>
  <c r="M400" i="1"/>
  <c r="L400" i="1"/>
  <c r="K400" i="1"/>
  <c r="J400" i="1"/>
  <c r="M399" i="1"/>
  <c r="L399" i="1"/>
  <c r="K399" i="1"/>
  <c r="J399" i="1"/>
  <c r="M398" i="1"/>
  <c r="L398" i="1"/>
  <c r="K398" i="1"/>
  <c r="J398" i="1"/>
  <c r="M397" i="1"/>
  <c r="L397" i="1"/>
  <c r="K397" i="1"/>
  <c r="J397" i="1"/>
  <c r="M396" i="1"/>
  <c r="L396" i="1"/>
  <c r="K396" i="1"/>
  <c r="J396" i="1"/>
  <c r="M395" i="1"/>
  <c r="L395" i="1"/>
  <c r="K395" i="1"/>
  <c r="J395" i="1"/>
  <c r="M394" i="1"/>
  <c r="L394" i="1"/>
  <c r="K394" i="1"/>
  <c r="J394" i="1"/>
  <c r="M393" i="1"/>
  <c r="L393" i="1"/>
  <c r="K393" i="1"/>
  <c r="J393" i="1"/>
  <c r="M392" i="1"/>
  <c r="L392" i="1"/>
  <c r="K392" i="1"/>
  <c r="J392" i="1"/>
  <c r="M391" i="1"/>
  <c r="L391" i="1"/>
  <c r="K391" i="1"/>
  <c r="J391" i="1"/>
  <c r="M390" i="1"/>
  <c r="L390" i="1"/>
  <c r="K390" i="1"/>
  <c r="J390" i="1"/>
  <c r="M389" i="1"/>
  <c r="L389" i="1"/>
  <c r="K389" i="1"/>
  <c r="J389" i="1"/>
  <c r="M388" i="1"/>
  <c r="L388" i="1"/>
  <c r="K388" i="1"/>
  <c r="J388" i="1"/>
  <c r="M387" i="1"/>
  <c r="L387" i="1"/>
  <c r="K387" i="1"/>
  <c r="J387" i="1"/>
  <c r="M386" i="1"/>
  <c r="L386" i="1"/>
  <c r="K386" i="1"/>
  <c r="J386" i="1"/>
  <c r="M385" i="1"/>
  <c r="L385" i="1"/>
  <c r="K385" i="1"/>
  <c r="J385" i="1"/>
  <c r="M384" i="1"/>
  <c r="L384" i="1"/>
  <c r="K384" i="1"/>
  <c r="J384" i="1"/>
  <c r="M383" i="1"/>
  <c r="L383" i="1"/>
  <c r="K383" i="1"/>
  <c r="J383" i="1"/>
  <c r="M382" i="1"/>
  <c r="L382" i="1"/>
  <c r="K382" i="1"/>
  <c r="J382" i="1"/>
  <c r="M381" i="1"/>
  <c r="L381" i="1"/>
  <c r="K381" i="1"/>
  <c r="J381" i="1"/>
  <c r="M380" i="1"/>
  <c r="L380" i="1"/>
  <c r="K380" i="1"/>
  <c r="J380" i="1"/>
  <c r="M379" i="1"/>
  <c r="L379" i="1"/>
  <c r="K379" i="1"/>
  <c r="J379" i="1"/>
  <c r="M378" i="1"/>
  <c r="L378" i="1"/>
  <c r="K378" i="1"/>
  <c r="J378" i="1"/>
  <c r="M377" i="1"/>
  <c r="L377" i="1"/>
  <c r="K377" i="1"/>
  <c r="J377" i="1"/>
  <c r="M376" i="1"/>
  <c r="L376" i="1"/>
  <c r="K376" i="1"/>
  <c r="J376" i="1"/>
  <c r="M375" i="1"/>
  <c r="L375" i="1"/>
  <c r="K375" i="1"/>
  <c r="J375" i="1"/>
  <c r="M374" i="1"/>
  <c r="L374" i="1"/>
  <c r="K374" i="1"/>
  <c r="J374" i="1"/>
  <c r="M373" i="1"/>
  <c r="L373" i="1"/>
  <c r="K373" i="1"/>
  <c r="J373" i="1"/>
  <c r="M372" i="1"/>
  <c r="L372" i="1"/>
  <c r="K372" i="1"/>
  <c r="J372" i="1"/>
  <c r="M371" i="1"/>
  <c r="L371" i="1"/>
  <c r="K371" i="1"/>
  <c r="J371" i="1"/>
  <c r="M370" i="1"/>
  <c r="L370" i="1"/>
  <c r="K370" i="1"/>
  <c r="J370" i="1"/>
  <c r="M369" i="1"/>
  <c r="L369" i="1"/>
  <c r="K369" i="1"/>
  <c r="J369" i="1"/>
  <c r="M368" i="1"/>
  <c r="L368" i="1"/>
  <c r="K368" i="1"/>
  <c r="J368" i="1"/>
  <c r="M367" i="1"/>
  <c r="L367" i="1"/>
  <c r="K367" i="1"/>
  <c r="J367" i="1"/>
  <c r="M366" i="1"/>
  <c r="L366" i="1"/>
  <c r="K366" i="1"/>
  <c r="J366" i="1"/>
  <c r="M365" i="1"/>
  <c r="L365" i="1"/>
  <c r="K365" i="1"/>
  <c r="J365" i="1"/>
  <c r="M364" i="1"/>
  <c r="L364" i="1"/>
  <c r="K364" i="1"/>
  <c r="J364" i="1"/>
  <c r="M363" i="1"/>
  <c r="L363" i="1"/>
  <c r="K363" i="1"/>
  <c r="J363" i="1"/>
  <c r="M362" i="1"/>
  <c r="L362" i="1"/>
  <c r="K362" i="1"/>
  <c r="J362" i="1"/>
  <c r="M361" i="1"/>
  <c r="L361" i="1"/>
  <c r="K361" i="1"/>
  <c r="J361" i="1"/>
  <c r="M360" i="1"/>
  <c r="L360" i="1"/>
  <c r="K360" i="1"/>
  <c r="J360" i="1"/>
  <c r="M359" i="1"/>
  <c r="L359" i="1"/>
  <c r="K359" i="1"/>
  <c r="J359" i="1"/>
  <c r="M358" i="1"/>
  <c r="L358" i="1"/>
  <c r="K358" i="1"/>
  <c r="J358" i="1"/>
  <c r="M357" i="1"/>
  <c r="L357" i="1"/>
  <c r="K357" i="1"/>
  <c r="J357" i="1"/>
  <c r="M356" i="1"/>
  <c r="L356" i="1"/>
  <c r="K356" i="1"/>
  <c r="J356" i="1"/>
  <c r="M355" i="1"/>
  <c r="L355" i="1"/>
  <c r="K355" i="1"/>
  <c r="J355" i="1"/>
  <c r="M354" i="1"/>
  <c r="L354" i="1"/>
  <c r="K354" i="1"/>
  <c r="J354" i="1"/>
  <c r="M353" i="1"/>
  <c r="L353" i="1"/>
  <c r="K353" i="1"/>
  <c r="J353" i="1"/>
  <c r="M352" i="1"/>
  <c r="L352" i="1"/>
  <c r="K352" i="1"/>
  <c r="J352" i="1"/>
  <c r="M351" i="1"/>
  <c r="L351" i="1"/>
  <c r="K351" i="1"/>
  <c r="J351" i="1"/>
  <c r="M350" i="1"/>
  <c r="L350" i="1"/>
  <c r="K350" i="1"/>
  <c r="J350" i="1"/>
  <c r="M349" i="1"/>
  <c r="L349" i="1"/>
  <c r="K349" i="1"/>
  <c r="J349" i="1"/>
  <c r="M348" i="1"/>
  <c r="L348" i="1"/>
  <c r="K348" i="1"/>
  <c r="J348" i="1"/>
  <c r="M347" i="1"/>
  <c r="L347" i="1"/>
  <c r="K347" i="1"/>
  <c r="J347" i="1"/>
  <c r="M346" i="1"/>
  <c r="L346" i="1"/>
  <c r="K346" i="1"/>
  <c r="J346" i="1"/>
  <c r="M345" i="1"/>
  <c r="L345" i="1"/>
  <c r="K345" i="1"/>
  <c r="J345" i="1"/>
  <c r="M344" i="1"/>
  <c r="L344" i="1"/>
  <c r="K344" i="1"/>
  <c r="J344" i="1"/>
  <c r="M343" i="1"/>
  <c r="L343" i="1"/>
  <c r="K343" i="1"/>
  <c r="J343" i="1"/>
  <c r="M342" i="1"/>
  <c r="L342" i="1"/>
  <c r="K342" i="1"/>
  <c r="J342" i="1"/>
  <c r="M341" i="1"/>
  <c r="L341" i="1"/>
  <c r="K341" i="1"/>
  <c r="J341" i="1"/>
  <c r="M340" i="1"/>
  <c r="L340" i="1"/>
  <c r="K340" i="1"/>
  <c r="J340" i="1"/>
  <c r="M339" i="1"/>
  <c r="L339" i="1"/>
  <c r="K339" i="1"/>
  <c r="J339" i="1"/>
  <c r="M338" i="1"/>
  <c r="L338" i="1"/>
  <c r="K338" i="1"/>
  <c r="J338" i="1"/>
  <c r="M337" i="1"/>
  <c r="L337" i="1"/>
  <c r="K337" i="1"/>
  <c r="J337" i="1"/>
  <c r="M336" i="1"/>
  <c r="L336" i="1"/>
  <c r="K336" i="1"/>
  <c r="J336" i="1"/>
  <c r="M335" i="1"/>
  <c r="L335" i="1"/>
  <c r="K335" i="1"/>
  <c r="J335" i="1"/>
  <c r="M334" i="1"/>
  <c r="L334" i="1"/>
  <c r="K334" i="1"/>
  <c r="J334" i="1"/>
  <c r="M333" i="1"/>
  <c r="L333" i="1"/>
  <c r="K333" i="1"/>
  <c r="J333" i="1"/>
  <c r="M332" i="1"/>
  <c r="L332" i="1"/>
  <c r="K332" i="1"/>
  <c r="J332" i="1"/>
  <c r="M331" i="1"/>
  <c r="L331" i="1"/>
  <c r="K331" i="1"/>
  <c r="J331" i="1"/>
  <c r="M330" i="1"/>
  <c r="L330" i="1"/>
  <c r="K330" i="1"/>
  <c r="J330" i="1"/>
  <c r="M329" i="1"/>
  <c r="L329" i="1"/>
  <c r="K329" i="1"/>
  <c r="J329" i="1"/>
  <c r="M328" i="1"/>
  <c r="L328" i="1"/>
  <c r="K328" i="1"/>
  <c r="J328" i="1"/>
  <c r="M327" i="1"/>
  <c r="L327" i="1"/>
  <c r="K327" i="1"/>
  <c r="J327" i="1"/>
  <c r="M326" i="1"/>
  <c r="L326" i="1"/>
  <c r="K326" i="1"/>
  <c r="J326" i="1"/>
  <c r="M325" i="1"/>
  <c r="L325" i="1"/>
  <c r="K325" i="1"/>
  <c r="J325" i="1"/>
  <c r="M324" i="1"/>
  <c r="L324" i="1"/>
  <c r="K324" i="1"/>
  <c r="J324" i="1"/>
  <c r="M323" i="1"/>
  <c r="L323" i="1"/>
  <c r="K323" i="1"/>
  <c r="J323" i="1"/>
  <c r="M322" i="1"/>
  <c r="L322" i="1"/>
  <c r="K322" i="1"/>
  <c r="J322" i="1"/>
  <c r="M321" i="1"/>
  <c r="L321" i="1"/>
  <c r="K321" i="1"/>
  <c r="J321" i="1"/>
  <c r="M320" i="1"/>
  <c r="L320" i="1"/>
  <c r="K320" i="1"/>
  <c r="J320" i="1"/>
  <c r="M319" i="1"/>
  <c r="L319" i="1"/>
  <c r="K319" i="1"/>
  <c r="J319" i="1"/>
  <c r="M318" i="1"/>
  <c r="L318" i="1"/>
  <c r="K318" i="1"/>
  <c r="J318" i="1"/>
  <c r="M317" i="1"/>
  <c r="L317" i="1"/>
  <c r="K317" i="1"/>
  <c r="J317" i="1"/>
  <c r="M316" i="1"/>
  <c r="L316" i="1"/>
  <c r="K316" i="1"/>
  <c r="J316" i="1"/>
  <c r="M315" i="1"/>
  <c r="L315" i="1"/>
  <c r="K315" i="1"/>
  <c r="J315" i="1"/>
  <c r="M314" i="1"/>
  <c r="L314" i="1"/>
  <c r="K314" i="1"/>
  <c r="J314" i="1"/>
  <c r="M313" i="1"/>
  <c r="L313" i="1"/>
  <c r="K313" i="1"/>
  <c r="J313" i="1"/>
  <c r="M312" i="1"/>
  <c r="L312" i="1"/>
  <c r="K312" i="1"/>
  <c r="J312" i="1"/>
  <c r="M311" i="1"/>
  <c r="L311" i="1"/>
  <c r="K311" i="1"/>
  <c r="J311" i="1"/>
  <c r="M310" i="1"/>
  <c r="L310" i="1"/>
  <c r="K310" i="1"/>
  <c r="J310" i="1"/>
  <c r="M309" i="1"/>
  <c r="L309" i="1"/>
  <c r="K309" i="1"/>
  <c r="J309" i="1"/>
  <c r="M308" i="1"/>
  <c r="L308" i="1"/>
  <c r="K308" i="1"/>
  <c r="J308" i="1"/>
  <c r="M307" i="1"/>
  <c r="L307" i="1"/>
  <c r="K307" i="1"/>
  <c r="J307" i="1"/>
  <c r="M306" i="1"/>
  <c r="L306" i="1"/>
  <c r="K306" i="1"/>
  <c r="J306" i="1"/>
  <c r="M305" i="1"/>
  <c r="L305" i="1"/>
  <c r="K305" i="1"/>
  <c r="J305" i="1"/>
  <c r="M304" i="1"/>
  <c r="L304" i="1"/>
  <c r="K304" i="1"/>
  <c r="J304" i="1"/>
  <c r="M303" i="1"/>
  <c r="L303" i="1"/>
  <c r="K303" i="1"/>
  <c r="J303" i="1"/>
  <c r="M302" i="1"/>
  <c r="L302" i="1"/>
  <c r="K302" i="1"/>
  <c r="J302" i="1"/>
  <c r="M301" i="1"/>
  <c r="L301" i="1"/>
  <c r="K301" i="1"/>
  <c r="J301" i="1"/>
  <c r="M300" i="1"/>
  <c r="L300" i="1"/>
  <c r="K300" i="1"/>
  <c r="J300" i="1"/>
  <c r="M299" i="1"/>
  <c r="L299" i="1"/>
  <c r="K299" i="1"/>
  <c r="J299" i="1"/>
  <c r="M298" i="1"/>
  <c r="L298" i="1"/>
  <c r="K298" i="1"/>
  <c r="J298" i="1"/>
  <c r="M297" i="1"/>
  <c r="L297" i="1"/>
  <c r="K297" i="1"/>
  <c r="J297" i="1"/>
  <c r="M296" i="1"/>
  <c r="L296" i="1"/>
  <c r="K296" i="1"/>
  <c r="J296" i="1"/>
  <c r="M295" i="1"/>
  <c r="L295" i="1"/>
  <c r="K295" i="1"/>
  <c r="J295" i="1"/>
  <c r="M294" i="1"/>
  <c r="L294" i="1"/>
  <c r="K294" i="1"/>
  <c r="J294" i="1"/>
  <c r="M293" i="1"/>
  <c r="L293" i="1"/>
  <c r="K293" i="1"/>
  <c r="J293" i="1"/>
  <c r="M292" i="1"/>
  <c r="L292" i="1"/>
  <c r="K292" i="1"/>
  <c r="J292" i="1"/>
  <c r="M291" i="1"/>
  <c r="L291" i="1"/>
  <c r="K291" i="1"/>
  <c r="J291" i="1"/>
  <c r="M290" i="1"/>
  <c r="L290" i="1"/>
  <c r="K290" i="1"/>
  <c r="J290" i="1"/>
  <c r="M289" i="1"/>
  <c r="L289" i="1"/>
  <c r="K289" i="1"/>
  <c r="J289" i="1"/>
  <c r="M288" i="1"/>
  <c r="L288" i="1"/>
  <c r="K288" i="1"/>
  <c r="J288" i="1"/>
  <c r="M287" i="1"/>
  <c r="L287" i="1"/>
  <c r="K287" i="1"/>
  <c r="J287" i="1"/>
  <c r="M286" i="1"/>
  <c r="L286" i="1"/>
  <c r="K286" i="1"/>
  <c r="J286" i="1"/>
  <c r="M285" i="1"/>
  <c r="L285" i="1"/>
  <c r="K285" i="1"/>
  <c r="J285" i="1"/>
  <c r="M284" i="1"/>
  <c r="L284" i="1"/>
  <c r="K284" i="1"/>
  <c r="J284" i="1"/>
  <c r="M283" i="1"/>
  <c r="L283" i="1"/>
  <c r="K283" i="1"/>
  <c r="J283" i="1"/>
  <c r="M282" i="1"/>
  <c r="L282" i="1"/>
  <c r="K282" i="1"/>
  <c r="J282" i="1"/>
  <c r="M281" i="1"/>
  <c r="L281" i="1"/>
  <c r="K281" i="1"/>
  <c r="J281" i="1"/>
  <c r="M280" i="1"/>
  <c r="L280" i="1"/>
  <c r="K280" i="1"/>
  <c r="J280" i="1"/>
  <c r="M279" i="1"/>
  <c r="L279" i="1"/>
  <c r="K279" i="1"/>
  <c r="J279" i="1"/>
  <c r="M278" i="1"/>
  <c r="L278" i="1"/>
  <c r="K278" i="1"/>
  <c r="J278" i="1"/>
  <c r="M277" i="1"/>
  <c r="L277" i="1"/>
  <c r="K277" i="1"/>
  <c r="J277" i="1"/>
  <c r="M276" i="1"/>
  <c r="L276" i="1"/>
  <c r="K276" i="1"/>
  <c r="J276" i="1"/>
  <c r="M275" i="1"/>
  <c r="L275" i="1"/>
  <c r="K275" i="1"/>
  <c r="J275" i="1"/>
  <c r="M274" i="1"/>
  <c r="L274" i="1"/>
  <c r="K274" i="1"/>
  <c r="J274" i="1"/>
  <c r="M273" i="1"/>
  <c r="L273" i="1"/>
  <c r="K273" i="1"/>
  <c r="J273" i="1"/>
  <c r="M272" i="1"/>
  <c r="L272" i="1"/>
  <c r="K272" i="1"/>
  <c r="J272" i="1"/>
  <c r="M271" i="1"/>
  <c r="L271" i="1"/>
  <c r="K271" i="1"/>
  <c r="J271" i="1"/>
  <c r="M270" i="1"/>
  <c r="L270" i="1"/>
  <c r="K270" i="1"/>
  <c r="J270" i="1"/>
  <c r="M269" i="1"/>
  <c r="L269" i="1"/>
  <c r="K269" i="1"/>
  <c r="J269" i="1"/>
  <c r="M268" i="1"/>
  <c r="L268" i="1"/>
  <c r="K268" i="1"/>
  <c r="J268" i="1"/>
  <c r="M267" i="1"/>
  <c r="L267" i="1"/>
  <c r="K267" i="1"/>
  <c r="J267" i="1"/>
  <c r="M266" i="1"/>
  <c r="L266" i="1"/>
  <c r="K266" i="1"/>
  <c r="J266" i="1"/>
  <c r="M265" i="1"/>
  <c r="L265" i="1"/>
  <c r="K265" i="1"/>
  <c r="J265" i="1"/>
  <c r="M264" i="1"/>
  <c r="L264" i="1"/>
  <c r="K264" i="1"/>
  <c r="J264" i="1"/>
  <c r="M263" i="1"/>
  <c r="L263" i="1"/>
  <c r="K263" i="1"/>
  <c r="J263" i="1"/>
  <c r="M262" i="1"/>
  <c r="L262" i="1"/>
  <c r="K262" i="1"/>
  <c r="J262" i="1"/>
  <c r="M261" i="1"/>
  <c r="L261" i="1"/>
  <c r="K261" i="1"/>
  <c r="J261" i="1"/>
  <c r="M260" i="1"/>
  <c r="L260" i="1"/>
  <c r="K260" i="1"/>
  <c r="J260" i="1"/>
  <c r="M259" i="1"/>
  <c r="L259" i="1"/>
  <c r="K259" i="1"/>
  <c r="J259" i="1"/>
  <c r="M258" i="1"/>
  <c r="L258" i="1"/>
  <c r="K258" i="1"/>
  <c r="J258" i="1"/>
  <c r="M257" i="1"/>
  <c r="L257" i="1"/>
  <c r="K257" i="1"/>
  <c r="J257" i="1"/>
  <c r="M256" i="1"/>
  <c r="L256" i="1"/>
  <c r="K256" i="1"/>
  <c r="J256" i="1"/>
  <c r="M255" i="1"/>
  <c r="L255" i="1"/>
  <c r="K255" i="1"/>
  <c r="J255" i="1"/>
  <c r="M254" i="1"/>
  <c r="L254" i="1"/>
  <c r="K254" i="1"/>
  <c r="J254" i="1"/>
  <c r="M253" i="1"/>
  <c r="L253" i="1"/>
  <c r="K253" i="1"/>
  <c r="J253" i="1"/>
  <c r="M252" i="1"/>
  <c r="L252" i="1"/>
  <c r="K252" i="1"/>
  <c r="J252" i="1"/>
  <c r="M251" i="1"/>
  <c r="L251" i="1"/>
  <c r="K251" i="1"/>
  <c r="J251" i="1"/>
  <c r="M250" i="1"/>
  <c r="L250" i="1"/>
  <c r="K250" i="1"/>
  <c r="J250" i="1"/>
  <c r="M249" i="1"/>
  <c r="L249" i="1"/>
  <c r="K249" i="1"/>
  <c r="J249" i="1"/>
  <c r="M248" i="1"/>
  <c r="L248" i="1"/>
  <c r="K248" i="1"/>
  <c r="J248" i="1"/>
  <c r="M247" i="1"/>
  <c r="L247" i="1"/>
  <c r="K247" i="1"/>
  <c r="J247" i="1"/>
  <c r="M246" i="1"/>
  <c r="L246" i="1"/>
  <c r="K246" i="1"/>
  <c r="J246" i="1"/>
  <c r="M245" i="1"/>
  <c r="L245" i="1"/>
  <c r="K245" i="1"/>
  <c r="J245" i="1"/>
  <c r="M244" i="1"/>
  <c r="L244" i="1"/>
  <c r="K244" i="1"/>
  <c r="J244" i="1"/>
  <c r="M243" i="1"/>
  <c r="L243" i="1"/>
  <c r="K243" i="1"/>
  <c r="J243" i="1"/>
  <c r="M242" i="1"/>
  <c r="L242" i="1"/>
  <c r="K242" i="1"/>
  <c r="J242" i="1"/>
  <c r="M241" i="1"/>
  <c r="L241" i="1"/>
  <c r="K241" i="1"/>
  <c r="J241" i="1"/>
  <c r="M240" i="1"/>
  <c r="L240" i="1"/>
  <c r="K240" i="1"/>
  <c r="J240" i="1"/>
  <c r="M239" i="1"/>
  <c r="L239" i="1"/>
  <c r="K239" i="1"/>
  <c r="J239" i="1"/>
  <c r="M238" i="1"/>
  <c r="L238" i="1"/>
  <c r="K238" i="1"/>
  <c r="J238" i="1"/>
  <c r="M237" i="1"/>
  <c r="L237" i="1"/>
  <c r="K237" i="1"/>
  <c r="J237" i="1"/>
  <c r="M236" i="1"/>
  <c r="L236" i="1"/>
  <c r="K236" i="1"/>
  <c r="J236" i="1"/>
  <c r="M235" i="1"/>
  <c r="L235" i="1"/>
  <c r="K235" i="1"/>
  <c r="J235" i="1"/>
  <c r="M234" i="1"/>
  <c r="L234" i="1"/>
  <c r="K234" i="1"/>
  <c r="J234" i="1"/>
  <c r="M233" i="1"/>
  <c r="L233" i="1"/>
  <c r="K233" i="1"/>
  <c r="J233" i="1"/>
  <c r="M232" i="1"/>
  <c r="L232" i="1"/>
  <c r="K232" i="1"/>
  <c r="J232" i="1"/>
  <c r="M231" i="1"/>
  <c r="L231" i="1"/>
  <c r="K231" i="1"/>
  <c r="J231" i="1"/>
  <c r="M230" i="1"/>
  <c r="L230" i="1"/>
  <c r="K230" i="1"/>
  <c r="J230" i="1"/>
  <c r="M229" i="1"/>
  <c r="L229" i="1"/>
  <c r="K229" i="1"/>
  <c r="J229" i="1"/>
  <c r="M228" i="1"/>
  <c r="L228" i="1"/>
  <c r="K228" i="1"/>
  <c r="J228" i="1"/>
  <c r="M227" i="1"/>
  <c r="L227" i="1"/>
  <c r="K227" i="1"/>
  <c r="J227" i="1"/>
  <c r="M226" i="1"/>
  <c r="L226" i="1"/>
  <c r="K226" i="1"/>
  <c r="J226" i="1"/>
  <c r="M225" i="1"/>
  <c r="L225" i="1"/>
  <c r="K225" i="1"/>
  <c r="J225" i="1"/>
  <c r="M224" i="1"/>
  <c r="L224" i="1"/>
  <c r="K224" i="1"/>
  <c r="J224" i="1"/>
  <c r="M223" i="1"/>
  <c r="L223" i="1"/>
  <c r="K223" i="1"/>
  <c r="J223" i="1"/>
  <c r="M222" i="1"/>
  <c r="L222" i="1"/>
  <c r="K222" i="1"/>
  <c r="J222" i="1"/>
  <c r="M221" i="1"/>
  <c r="L221" i="1"/>
  <c r="K221" i="1"/>
  <c r="J221" i="1"/>
  <c r="M220" i="1"/>
  <c r="L220" i="1"/>
  <c r="K220" i="1"/>
  <c r="J220" i="1"/>
  <c r="M219" i="1"/>
  <c r="L219" i="1"/>
  <c r="K219" i="1"/>
  <c r="J219" i="1"/>
  <c r="M218" i="1"/>
  <c r="L218" i="1"/>
  <c r="K218" i="1"/>
  <c r="J218" i="1"/>
  <c r="M217" i="1"/>
  <c r="L217" i="1"/>
  <c r="K217" i="1"/>
  <c r="J217" i="1"/>
  <c r="M216" i="1"/>
  <c r="L216" i="1"/>
  <c r="K216" i="1"/>
  <c r="J216" i="1"/>
  <c r="M215" i="1"/>
  <c r="L215" i="1"/>
  <c r="K215" i="1"/>
  <c r="J215" i="1"/>
  <c r="M214" i="1"/>
  <c r="L214" i="1"/>
  <c r="K214" i="1"/>
  <c r="J214" i="1"/>
  <c r="M213" i="1"/>
  <c r="L213" i="1"/>
  <c r="K213" i="1"/>
  <c r="J213" i="1"/>
  <c r="M212" i="1"/>
  <c r="L212" i="1"/>
  <c r="K212" i="1"/>
  <c r="J212" i="1"/>
  <c r="M211" i="1"/>
  <c r="L211" i="1"/>
  <c r="K211" i="1"/>
  <c r="J211" i="1"/>
  <c r="M210" i="1"/>
  <c r="L210" i="1"/>
  <c r="K210" i="1"/>
  <c r="J210" i="1"/>
  <c r="M209" i="1"/>
  <c r="L209" i="1"/>
  <c r="K209" i="1"/>
  <c r="J209" i="1"/>
  <c r="M208" i="1"/>
  <c r="L208" i="1"/>
  <c r="K208" i="1"/>
  <c r="J208" i="1"/>
  <c r="M207" i="1"/>
  <c r="L207" i="1"/>
  <c r="K207" i="1"/>
  <c r="J207" i="1"/>
  <c r="M206" i="1"/>
  <c r="L206" i="1"/>
  <c r="K206" i="1"/>
  <c r="J206" i="1"/>
  <c r="M205" i="1"/>
  <c r="L205" i="1"/>
  <c r="K205" i="1"/>
  <c r="J205" i="1"/>
  <c r="M204" i="1"/>
  <c r="L204" i="1"/>
  <c r="K204" i="1"/>
  <c r="J204" i="1"/>
  <c r="M203" i="1"/>
  <c r="L203" i="1"/>
  <c r="K203" i="1"/>
  <c r="J203" i="1"/>
  <c r="M202" i="1"/>
  <c r="L202" i="1"/>
  <c r="K202" i="1"/>
  <c r="J202" i="1"/>
  <c r="M201" i="1"/>
  <c r="L201" i="1"/>
  <c r="K201" i="1"/>
  <c r="J201" i="1"/>
  <c r="M200" i="1"/>
  <c r="L200" i="1"/>
  <c r="K200" i="1"/>
  <c r="J200" i="1"/>
  <c r="M199" i="1"/>
  <c r="L199" i="1"/>
  <c r="K199" i="1"/>
  <c r="J199" i="1"/>
  <c r="M198" i="1"/>
  <c r="L198" i="1"/>
  <c r="K198" i="1"/>
  <c r="J198" i="1"/>
  <c r="M197" i="1"/>
  <c r="L197" i="1"/>
  <c r="K197" i="1"/>
  <c r="J197" i="1"/>
  <c r="M196" i="1"/>
  <c r="L196" i="1"/>
  <c r="K196" i="1"/>
  <c r="J196" i="1"/>
  <c r="M195" i="1"/>
  <c r="L195" i="1"/>
  <c r="K195" i="1"/>
  <c r="J195" i="1"/>
  <c r="M194" i="1"/>
  <c r="L194" i="1"/>
  <c r="K194" i="1"/>
  <c r="J194" i="1"/>
  <c r="M193" i="1"/>
  <c r="L193" i="1"/>
  <c r="K193" i="1"/>
  <c r="J193" i="1"/>
  <c r="M192" i="1"/>
  <c r="L192" i="1"/>
  <c r="K192" i="1"/>
  <c r="J192" i="1"/>
  <c r="M191" i="1"/>
  <c r="L191" i="1"/>
  <c r="K191" i="1"/>
  <c r="J191" i="1"/>
  <c r="M190" i="1"/>
  <c r="L190" i="1"/>
  <c r="K190" i="1"/>
  <c r="J190" i="1"/>
  <c r="M189" i="1"/>
  <c r="L189" i="1"/>
  <c r="K189" i="1"/>
  <c r="J189" i="1"/>
  <c r="M188" i="1"/>
  <c r="L188" i="1"/>
  <c r="K188" i="1"/>
  <c r="J188" i="1"/>
  <c r="M187" i="1"/>
  <c r="L187" i="1"/>
  <c r="K187" i="1"/>
  <c r="J187" i="1"/>
  <c r="M186" i="1"/>
  <c r="L186" i="1"/>
  <c r="K186" i="1"/>
  <c r="J186" i="1"/>
  <c r="M185" i="1"/>
  <c r="L185" i="1"/>
  <c r="K185" i="1"/>
  <c r="J185" i="1"/>
  <c r="M184" i="1"/>
  <c r="L184" i="1"/>
  <c r="K184" i="1"/>
  <c r="J184" i="1"/>
  <c r="M183" i="1"/>
  <c r="L183" i="1"/>
  <c r="K183" i="1"/>
  <c r="J183" i="1"/>
  <c r="M182" i="1"/>
  <c r="L182" i="1"/>
  <c r="K182" i="1"/>
  <c r="J182" i="1"/>
  <c r="M181" i="1"/>
  <c r="L181" i="1"/>
  <c r="K181" i="1"/>
  <c r="J181" i="1"/>
  <c r="M180" i="1"/>
  <c r="L180" i="1"/>
  <c r="K180" i="1"/>
  <c r="J180" i="1"/>
  <c r="M179" i="1"/>
  <c r="L179" i="1"/>
  <c r="K179" i="1"/>
  <c r="J179" i="1"/>
  <c r="M178" i="1"/>
  <c r="L178" i="1"/>
  <c r="K178" i="1"/>
  <c r="J178" i="1"/>
  <c r="M177" i="1"/>
  <c r="L177" i="1"/>
  <c r="K177" i="1"/>
  <c r="J177" i="1"/>
  <c r="M176" i="1"/>
  <c r="L176" i="1"/>
  <c r="K176" i="1"/>
  <c r="J176" i="1"/>
  <c r="M175" i="1"/>
  <c r="L175" i="1"/>
  <c r="K175" i="1"/>
  <c r="J175" i="1"/>
  <c r="M174" i="1"/>
  <c r="L174" i="1"/>
  <c r="K174" i="1"/>
  <c r="J174" i="1"/>
  <c r="M173" i="1"/>
  <c r="L173" i="1"/>
  <c r="K173" i="1"/>
  <c r="J173" i="1"/>
  <c r="M172" i="1"/>
  <c r="L172" i="1"/>
  <c r="K172" i="1"/>
  <c r="J172" i="1"/>
  <c r="M171" i="1"/>
  <c r="L171" i="1"/>
  <c r="K171" i="1"/>
  <c r="J171" i="1"/>
  <c r="M170" i="1"/>
  <c r="L170" i="1"/>
  <c r="K170" i="1"/>
  <c r="J170" i="1"/>
  <c r="M169" i="1"/>
  <c r="L169" i="1"/>
  <c r="K169" i="1"/>
  <c r="J169" i="1"/>
  <c r="M168" i="1"/>
  <c r="L168" i="1"/>
  <c r="K168" i="1"/>
  <c r="J168" i="1"/>
  <c r="M167" i="1"/>
  <c r="L167" i="1"/>
  <c r="K167" i="1"/>
  <c r="J167" i="1"/>
  <c r="M166" i="1"/>
  <c r="L166" i="1"/>
  <c r="K166" i="1"/>
  <c r="J166" i="1"/>
  <c r="M165" i="1"/>
  <c r="L165" i="1"/>
  <c r="K165" i="1"/>
  <c r="J165" i="1"/>
  <c r="M164" i="1"/>
  <c r="L164" i="1"/>
  <c r="K164" i="1"/>
  <c r="J164" i="1"/>
  <c r="M163" i="1"/>
  <c r="L163" i="1"/>
  <c r="K163" i="1"/>
  <c r="J163" i="1"/>
  <c r="M162" i="1"/>
  <c r="L162" i="1"/>
  <c r="K162" i="1"/>
  <c r="J162" i="1"/>
  <c r="M161" i="1"/>
  <c r="L161" i="1"/>
  <c r="K161" i="1"/>
  <c r="J161" i="1"/>
  <c r="M160" i="1"/>
  <c r="L160" i="1"/>
  <c r="K160" i="1"/>
  <c r="J160" i="1"/>
  <c r="M159" i="1"/>
  <c r="L159" i="1"/>
  <c r="K159" i="1"/>
  <c r="J159" i="1"/>
  <c r="M158" i="1"/>
  <c r="L158" i="1"/>
  <c r="K158" i="1"/>
  <c r="J158" i="1"/>
  <c r="M157" i="1"/>
  <c r="L157" i="1"/>
  <c r="K157" i="1"/>
  <c r="J157" i="1"/>
  <c r="M156" i="1"/>
  <c r="L156" i="1"/>
  <c r="K156" i="1"/>
  <c r="J156" i="1"/>
  <c r="M155" i="1"/>
  <c r="L155" i="1"/>
  <c r="K155" i="1"/>
  <c r="J155" i="1"/>
  <c r="M154" i="1"/>
  <c r="L154" i="1"/>
  <c r="K154" i="1"/>
  <c r="J154" i="1"/>
  <c r="M153" i="1"/>
  <c r="L153" i="1"/>
  <c r="K153" i="1"/>
  <c r="J153" i="1"/>
  <c r="M152" i="1"/>
  <c r="L152" i="1"/>
  <c r="K152" i="1"/>
  <c r="J152" i="1"/>
  <c r="M151" i="1"/>
  <c r="L151" i="1"/>
  <c r="K151" i="1"/>
  <c r="J151" i="1"/>
  <c r="M150" i="1"/>
  <c r="L150" i="1"/>
  <c r="K150" i="1"/>
  <c r="J150" i="1"/>
  <c r="M149" i="1"/>
  <c r="L149" i="1"/>
  <c r="K149" i="1"/>
  <c r="J149" i="1"/>
  <c r="M148" i="1"/>
  <c r="L148" i="1"/>
  <c r="K148" i="1"/>
  <c r="J148" i="1"/>
  <c r="M147" i="1"/>
  <c r="L147" i="1"/>
  <c r="K147" i="1"/>
  <c r="J147" i="1"/>
  <c r="M146" i="1"/>
  <c r="L146" i="1"/>
  <c r="K146" i="1"/>
  <c r="J146" i="1"/>
  <c r="M145" i="1"/>
  <c r="L145" i="1"/>
  <c r="K145" i="1"/>
  <c r="J145" i="1"/>
  <c r="M144" i="1"/>
  <c r="L144" i="1"/>
  <c r="K144" i="1"/>
  <c r="J144" i="1"/>
  <c r="M143" i="1"/>
  <c r="L143" i="1"/>
  <c r="K143" i="1"/>
  <c r="J143" i="1"/>
  <c r="M142" i="1"/>
  <c r="L142" i="1"/>
  <c r="K142" i="1"/>
  <c r="J142" i="1"/>
  <c r="M141" i="1"/>
  <c r="L141" i="1"/>
  <c r="K141" i="1"/>
  <c r="J141" i="1"/>
  <c r="M140" i="1"/>
  <c r="L140" i="1"/>
  <c r="K140" i="1"/>
  <c r="J140" i="1"/>
  <c r="M139" i="1"/>
  <c r="L139" i="1"/>
  <c r="K139" i="1"/>
  <c r="J139" i="1"/>
  <c r="M138" i="1"/>
  <c r="L138" i="1"/>
  <c r="K138" i="1"/>
  <c r="J138" i="1"/>
  <c r="M137" i="1"/>
  <c r="L137" i="1"/>
  <c r="K137" i="1"/>
  <c r="J137" i="1"/>
  <c r="M136" i="1"/>
  <c r="L136" i="1"/>
  <c r="K136" i="1"/>
  <c r="J136" i="1"/>
  <c r="M135" i="1"/>
  <c r="L135" i="1"/>
  <c r="K135" i="1"/>
  <c r="J135" i="1"/>
  <c r="M134" i="1"/>
  <c r="L134" i="1"/>
  <c r="K134" i="1"/>
  <c r="J134" i="1"/>
  <c r="M133" i="1"/>
  <c r="L133" i="1"/>
  <c r="K133" i="1"/>
  <c r="J133" i="1"/>
  <c r="M132" i="1"/>
  <c r="L132" i="1"/>
  <c r="K132" i="1"/>
  <c r="J132" i="1"/>
  <c r="M131" i="1"/>
  <c r="L131" i="1"/>
  <c r="K131" i="1"/>
  <c r="J131" i="1"/>
  <c r="M130" i="1"/>
  <c r="L130" i="1"/>
  <c r="K130" i="1"/>
  <c r="J130" i="1"/>
  <c r="M129" i="1"/>
  <c r="L129" i="1"/>
  <c r="K129" i="1"/>
  <c r="J129" i="1"/>
  <c r="M128" i="1"/>
  <c r="L128" i="1"/>
  <c r="K128" i="1"/>
  <c r="J128" i="1"/>
  <c r="M127" i="1"/>
  <c r="L127" i="1"/>
  <c r="K127" i="1"/>
  <c r="J127" i="1"/>
  <c r="M126" i="1"/>
  <c r="L126" i="1"/>
  <c r="K126" i="1"/>
  <c r="J126" i="1"/>
  <c r="M125" i="1"/>
  <c r="L125" i="1"/>
  <c r="K125" i="1"/>
  <c r="J125" i="1"/>
  <c r="M124" i="1"/>
  <c r="L124" i="1"/>
  <c r="K124" i="1"/>
  <c r="J124" i="1"/>
  <c r="M123" i="1"/>
  <c r="L123" i="1"/>
  <c r="K123" i="1"/>
  <c r="J123" i="1"/>
  <c r="M122" i="1"/>
  <c r="L122" i="1"/>
  <c r="K122" i="1"/>
  <c r="J122" i="1"/>
  <c r="M121" i="1"/>
  <c r="L121" i="1"/>
  <c r="K121" i="1"/>
  <c r="J121" i="1"/>
  <c r="M120" i="1"/>
  <c r="L120" i="1"/>
  <c r="K120" i="1"/>
  <c r="J120" i="1"/>
  <c r="M119" i="1"/>
  <c r="L119" i="1"/>
  <c r="K119" i="1"/>
  <c r="J119" i="1"/>
  <c r="M118" i="1"/>
  <c r="L118" i="1"/>
  <c r="K118" i="1"/>
  <c r="J118" i="1"/>
  <c r="M117" i="1"/>
  <c r="L117" i="1"/>
  <c r="K117" i="1"/>
  <c r="J117" i="1"/>
  <c r="M116" i="1"/>
  <c r="L116" i="1"/>
  <c r="K116" i="1"/>
  <c r="J116" i="1"/>
  <c r="M115" i="1"/>
  <c r="L115" i="1"/>
  <c r="K115" i="1"/>
  <c r="J115" i="1"/>
  <c r="M114" i="1"/>
  <c r="L114" i="1"/>
  <c r="K114" i="1"/>
  <c r="J114" i="1"/>
  <c r="M113" i="1"/>
  <c r="L113" i="1"/>
  <c r="K113" i="1"/>
  <c r="J113" i="1"/>
  <c r="M112" i="1"/>
  <c r="L112" i="1"/>
  <c r="K112" i="1"/>
  <c r="J112" i="1"/>
  <c r="M111" i="1"/>
  <c r="L111" i="1"/>
  <c r="K111" i="1"/>
  <c r="J111" i="1"/>
  <c r="M110" i="1"/>
  <c r="L110" i="1"/>
  <c r="K110" i="1"/>
  <c r="J110" i="1"/>
  <c r="M109" i="1"/>
  <c r="L109" i="1"/>
  <c r="K109" i="1"/>
  <c r="J109" i="1"/>
  <c r="M108" i="1"/>
  <c r="L108" i="1"/>
  <c r="K108" i="1"/>
  <c r="J108" i="1"/>
  <c r="M107" i="1"/>
  <c r="L107" i="1"/>
  <c r="K107" i="1"/>
  <c r="J107" i="1"/>
  <c r="M106" i="1"/>
  <c r="L106" i="1"/>
  <c r="K106" i="1"/>
  <c r="J106" i="1"/>
  <c r="M105" i="1"/>
  <c r="L105" i="1"/>
  <c r="K105" i="1"/>
  <c r="J105" i="1"/>
  <c r="M104" i="1"/>
  <c r="L104" i="1"/>
  <c r="K104" i="1"/>
  <c r="J104" i="1"/>
  <c r="M103" i="1"/>
  <c r="L103" i="1"/>
  <c r="K103" i="1"/>
  <c r="J103" i="1"/>
  <c r="M102" i="1"/>
  <c r="L102" i="1"/>
  <c r="K102" i="1"/>
  <c r="J102" i="1"/>
  <c r="M101" i="1"/>
  <c r="L101" i="1"/>
  <c r="K101" i="1"/>
  <c r="J101" i="1"/>
  <c r="M100" i="1"/>
  <c r="L100" i="1"/>
  <c r="K100" i="1"/>
  <c r="J100" i="1"/>
  <c r="M99" i="1"/>
  <c r="L99" i="1"/>
  <c r="K99" i="1"/>
  <c r="J99" i="1"/>
  <c r="M98" i="1"/>
  <c r="L98" i="1"/>
  <c r="K98" i="1"/>
  <c r="J98" i="1"/>
  <c r="M97" i="1"/>
  <c r="L97" i="1"/>
  <c r="K97" i="1"/>
  <c r="J97" i="1"/>
  <c r="M96" i="1"/>
  <c r="L96" i="1"/>
  <c r="K96" i="1"/>
  <c r="J96" i="1"/>
  <c r="M95" i="1"/>
  <c r="L95" i="1"/>
  <c r="K95" i="1"/>
  <c r="J95" i="1"/>
  <c r="M94" i="1"/>
  <c r="L94" i="1"/>
  <c r="K94" i="1"/>
  <c r="J94" i="1"/>
  <c r="M93" i="1"/>
  <c r="L93" i="1"/>
  <c r="K93" i="1"/>
  <c r="J93" i="1"/>
  <c r="M92" i="1"/>
  <c r="L92" i="1"/>
  <c r="K92" i="1"/>
  <c r="J92" i="1"/>
  <c r="M91" i="1"/>
  <c r="L91" i="1"/>
  <c r="K91" i="1"/>
  <c r="J91" i="1"/>
  <c r="M90" i="1"/>
  <c r="L90" i="1"/>
  <c r="K90" i="1"/>
  <c r="J90" i="1"/>
  <c r="M89" i="1"/>
  <c r="L89" i="1"/>
  <c r="K89" i="1"/>
  <c r="J89" i="1"/>
  <c r="M88" i="1"/>
  <c r="L88" i="1"/>
  <c r="K88" i="1"/>
  <c r="J88" i="1"/>
  <c r="M87" i="1"/>
  <c r="L87" i="1"/>
  <c r="K87" i="1"/>
  <c r="J87" i="1"/>
  <c r="M86" i="1"/>
  <c r="L86" i="1"/>
  <c r="K86" i="1"/>
  <c r="J86" i="1"/>
  <c r="M85" i="1"/>
  <c r="L85" i="1"/>
  <c r="K85" i="1"/>
  <c r="J85" i="1"/>
  <c r="M84" i="1"/>
  <c r="L84" i="1"/>
  <c r="K84" i="1"/>
  <c r="J84" i="1"/>
  <c r="M83" i="1"/>
  <c r="L83" i="1"/>
  <c r="K83" i="1"/>
  <c r="J83" i="1"/>
  <c r="M82" i="1"/>
  <c r="L82" i="1"/>
  <c r="K82" i="1"/>
  <c r="J82" i="1"/>
  <c r="M81" i="1"/>
  <c r="L81" i="1"/>
  <c r="K81" i="1"/>
  <c r="J81" i="1"/>
  <c r="M80" i="1"/>
  <c r="L80" i="1"/>
  <c r="K80" i="1"/>
  <c r="J80" i="1"/>
  <c r="M79" i="1"/>
  <c r="L79" i="1"/>
  <c r="K79" i="1"/>
  <c r="J79" i="1"/>
  <c r="M78" i="1"/>
  <c r="L78" i="1"/>
  <c r="K78" i="1"/>
  <c r="J78" i="1"/>
  <c r="M77" i="1"/>
  <c r="L77" i="1"/>
  <c r="K77" i="1"/>
  <c r="J77" i="1"/>
  <c r="M76" i="1"/>
  <c r="L76" i="1"/>
  <c r="K76" i="1"/>
  <c r="J76" i="1"/>
  <c r="M75" i="1"/>
  <c r="L75" i="1"/>
  <c r="K75" i="1"/>
  <c r="J75" i="1"/>
  <c r="M74" i="1"/>
  <c r="L74" i="1"/>
  <c r="K74" i="1"/>
  <c r="J74" i="1"/>
  <c r="M73" i="1"/>
  <c r="L73" i="1"/>
  <c r="K73" i="1"/>
  <c r="J73" i="1"/>
  <c r="M72" i="1"/>
  <c r="L72" i="1"/>
  <c r="K72" i="1"/>
  <c r="J72" i="1"/>
  <c r="M71" i="1"/>
  <c r="L71" i="1"/>
  <c r="K71" i="1"/>
  <c r="J71" i="1"/>
  <c r="M70" i="1"/>
  <c r="L70" i="1"/>
  <c r="K70" i="1"/>
  <c r="J70" i="1"/>
  <c r="M69" i="1"/>
  <c r="L69" i="1"/>
  <c r="K69" i="1"/>
  <c r="J69" i="1"/>
  <c r="M68" i="1"/>
  <c r="L68" i="1"/>
  <c r="K68" i="1"/>
  <c r="J68" i="1"/>
  <c r="M67" i="1"/>
  <c r="L67" i="1"/>
  <c r="K67" i="1"/>
  <c r="J67" i="1"/>
  <c r="M66" i="1"/>
  <c r="L66" i="1"/>
  <c r="K66" i="1"/>
  <c r="J66" i="1"/>
  <c r="M65" i="1"/>
  <c r="L65" i="1"/>
  <c r="K65" i="1"/>
  <c r="J65" i="1"/>
  <c r="M64" i="1"/>
  <c r="L64" i="1"/>
  <c r="K64" i="1"/>
  <c r="J64" i="1"/>
  <c r="M63" i="1"/>
  <c r="L63" i="1"/>
  <c r="K63" i="1"/>
  <c r="J63" i="1"/>
  <c r="M62" i="1"/>
  <c r="L62" i="1"/>
  <c r="K62" i="1"/>
  <c r="J62" i="1"/>
  <c r="M61" i="1"/>
  <c r="L61" i="1"/>
  <c r="K61" i="1"/>
  <c r="J61" i="1"/>
  <c r="M60" i="1"/>
  <c r="L60" i="1"/>
  <c r="K60" i="1"/>
  <c r="J60" i="1"/>
  <c r="M59" i="1"/>
  <c r="L59" i="1"/>
  <c r="K59" i="1"/>
  <c r="J59" i="1"/>
  <c r="M58" i="1"/>
  <c r="L58" i="1"/>
  <c r="K58" i="1"/>
  <c r="J58" i="1"/>
  <c r="M57" i="1"/>
  <c r="L57" i="1"/>
  <c r="K57" i="1"/>
  <c r="J57" i="1"/>
  <c r="M56" i="1"/>
  <c r="L56" i="1"/>
  <c r="K56" i="1"/>
  <c r="J56" i="1"/>
  <c r="M55" i="1"/>
  <c r="L55" i="1"/>
  <c r="K55" i="1"/>
  <c r="J55" i="1"/>
  <c r="M54" i="1"/>
  <c r="L54" i="1"/>
  <c r="K54" i="1"/>
  <c r="J54" i="1"/>
  <c r="M53" i="1"/>
  <c r="L53" i="1"/>
  <c r="K53" i="1"/>
  <c r="J53" i="1"/>
  <c r="M52" i="1"/>
  <c r="L52" i="1"/>
  <c r="K52" i="1"/>
  <c r="J52" i="1"/>
  <c r="M51" i="1"/>
  <c r="L51" i="1"/>
  <c r="K51" i="1"/>
  <c r="J51" i="1"/>
  <c r="M50" i="1"/>
  <c r="L50" i="1"/>
  <c r="K50" i="1"/>
  <c r="J50" i="1"/>
  <c r="M49" i="1"/>
  <c r="L49" i="1"/>
  <c r="K49" i="1"/>
  <c r="J49" i="1"/>
  <c r="M48" i="1"/>
  <c r="L48" i="1"/>
  <c r="K48" i="1"/>
  <c r="J48" i="1"/>
  <c r="M47" i="1"/>
  <c r="L47" i="1"/>
  <c r="K47" i="1"/>
  <c r="J47" i="1"/>
  <c r="M46" i="1"/>
  <c r="L46" i="1"/>
  <c r="K46" i="1"/>
  <c r="J46" i="1"/>
  <c r="M45" i="1"/>
  <c r="L45" i="1"/>
  <c r="K45" i="1"/>
  <c r="J45" i="1"/>
  <c r="M44" i="1"/>
  <c r="L44" i="1"/>
  <c r="K44" i="1"/>
  <c r="J44" i="1"/>
  <c r="M43" i="1"/>
  <c r="L43" i="1"/>
  <c r="K43" i="1"/>
  <c r="J43" i="1"/>
  <c r="M42" i="1"/>
  <c r="L42" i="1"/>
  <c r="K42" i="1"/>
  <c r="J42" i="1"/>
  <c r="M41" i="1"/>
  <c r="L41" i="1"/>
  <c r="K41" i="1"/>
  <c r="J41" i="1"/>
  <c r="M40" i="1"/>
  <c r="L40" i="1"/>
  <c r="K40" i="1"/>
  <c r="J40" i="1"/>
  <c r="M39" i="1"/>
  <c r="L39" i="1"/>
  <c r="K39" i="1"/>
  <c r="J39" i="1"/>
  <c r="M38" i="1"/>
  <c r="L38" i="1"/>
  <c r="K38" i="1"/>
  <c r="J38" i="1"/>
  <c r="M37" i="1"/>
  <c r="L37" i="1"/>
  <c r="K37" i="1"/>
  <c r="J37" i="1"/>
  <c r="M36" i="1"/>
  <c r="L36" i="1"/>
  <c r="K36" i="1"/>
  <c r="J36" i="1"/>
  <c r="M35" i="1"/>
  <c r="L35" i="1"/>
  <c r="K35" i="1"/>
  <c r="J35" i="1"/>
  <c r="M34" i="1"/>
  <c r="L34" i="1"/>
  <c r="K34" i="1"/>
  <c r="J34" i="1"/>
  <c r="M33" i="1"/>
  <c r="L33" i="1"/>
  <c r="K33" i="1"/>
  <c r="J33" i="1"/>
  <c r="M32" i="1"/>
  <c r="L32" i="1"/>
  <c r="K32" i="1"/>
  <c r="J32" i="1"/>
  <c r="M31" i="1"/>
  <c r="L31" i="1"/>
  <c r="K31" i="1"/>
  <c r="J31" i="1"/>
  <c r="M30" i="1"/>
  <c r="L30" i="1"/>
  <c r="K30" i="1"/>
  <c r="J30" i="1"/>
  <c r="M29" i="1"/>
  <c r="L29" i="1"/>
  <c r="K29" i="1"/>
  <c r="J29" i="1"/>
  <c r="M28" i="1"/>
  <c r="L28" i="1"/>
  <c r="K28" i="1"/>
  <c r="J28" i="1"/>
  <c r="M27" i="1"/>
  <c r="L27" i="1"/>
  <c r="K27" i="1"/>
  <c r="J27" i="1"/>
  <c r="M26" i="1"/>
  <c r="L26" i="1"/>
  <c r="K26" i="1"/>
  <c r="J26" i="1"/>
  <c r="M25" i="1"/>
  <c r="L25" i="1"/>
  <c r="K25" i="1"/>
  <c r="J25" i="1"/>
  <c r="M24" i="1"/>
  <c r="L24" i="1"/>
  <c r="K24" i="1"/>
  <c r="J24" i="1"/>
  <c r="M23" i="1"/>
  <c r="L23" i="1"/>
  <c r="K23" i="1"/>
  <c r="J23" i="1"/>
  <c r="M22" i="1"/>
  <c r="L22" i="1"/>
  <c r="K22" i="1"/>
  <c r="J22" i="1"/>
  <c r="M21" i="1"/>
  <c r="L21" i="1"/>
  <c r="K21" i="1"/>
  <c r="J21" i="1"/>
  <c r="M20" i="1"/>
  <c r="L20" i="1"/>
  <c r="K20" i="1"/>
  <c r="J20" i="1"/>
  <c r="M19" i="1"/>
  <c r="L19" i="1"/>
  <c r="K19" i="1"/>
  <c r="J19" i="1"/>
  <c r="M18" i="1"/>
  <c r="L18" i="1"/>
  <c r="K18" i="1"/>
  <c r="J18" i="1"/>
  <c r="M17" i="1"/>
  <c r="L17" i="1"/>
  <c r="K17" i="1"/>
  <c r="J17" i="1"/>
  <c r="M16" i="1"/>
  <c r="L16" i="1"/>
  <c r="K16" i="1"/>
  <c r="J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J12" i="1"/>
  <c r="M11" i="1"/>
  <c r="L11" i="1"/>
  <c r="K11" i="1"/>
  <c r="J11" i="1"/>
  <c r="M10" i="1"/>
  <c r="L10" i="1"/>
  <c r="K10" i="1"/>
  <c r="J10" i="1"/>
  <c r="M9" i="1"/>
  <c r="L9" i="1"/>
  <c r="K9" i="1"/>
  <c r="J9" i="1"/>
  <c r="M8" i="1"/>
  <c r="L8" i="1"/>
  <c r="K8" i="1"/>
  <c r="J8" i="1"/>
  <c r="M7" i="1"/>
  <c r="L7" i="1"/>
  <c r="K7" i="1"/>
  <c r="J7" i="1"/>
  <c r="M6" i="1"/>
  <c r="L6" i="1"/>
  <c r="K6" i="1"/>
  <c r="J6" i="1"/>
  <c r="M5" i="1"/>
  <c r="L5" i="1"/>
  <c r="K5" i="1"/>
  <c r="J5" i="1"/>
  <c r="M4" i="1"/>
  <c r="L4" i="1"/>
  <c r="K4" i="1"/>
  <c r="J4" i="1"/>
  <c r="M3" i="1"/>
  <c r="L3" i="1"/>
  <c r="K3" i="1"/>
  <c r="J3" i="1"/>
  <c r="M2" i="1"/>
  <c r="L2" i="1"/>
  <c r="K2" i="1"/>
  <c r="J2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017" i="2"/>
  <c r="T4016" i="2"/>
  <c r="T4015" i="2"/>
  <c r="T4014" i="2"/>
  <c r="T4013" i="2"/>
  <c r="T4012" i="2"/>
  <c r="T4011" i="2"/>
  <c r="S4011" i="2"/>
  <c r="R4011" i="2"/>
  <c r="Q4011" i="2"/>
  <c r="P4011" i="2"/>
  <c r="O4011" i="2"/>
  <c r="T4010" i="2"/>
  <c r="S4010" i="2"/>
  <c r="R4010" i="2"/>
  <c r="Q4010" i="2"/>
  <c r="P4010" i="2"/>
  <c r="O4010" i="2"/>
  <c r="T4009" i="2"/>
  <c r="S4009" i="2"/>
  <c r="R4009" i="2"/>
  <c r="Q4009" i="2"/>
  <c r="P4009" i="2"/>
  <c r="O4009" i="2"/>
  <c r="T4008" i="2"/>
  <c r="S4008" i="2"/>
  <c r="R4008" i="2"/>
  <c r="Q4008" i="2"/>
  <c r="P4008" i="2"/>
  <c r="O4008" i="2"/>
  <c r="T4007" i="2"/>
  <c r="S4007" i="2"/>
  <c r="R4007" i="2"/>
  <c r="Q4007" i="2"/>
  <c r="P4007" i="2"/>
  <c r="O4007" i="2"/>
  <c r="T4006" i="2"/>
  <c r="S4006" i="2"/>
  <c r="R4006" i="2"/>
  <c r="Q4006" i="2"/>
  <c r="P4006" i="2"/>
  <c r="O4006" i="2"/>
  <c r="T4005" i="2"/>
  <c r="S4005" i="2"/>
  <c r="R4005" i="2"/>
  <c r="Q4005" i="2"/>
  <c r="P4005" i="2"/>
  <c r="O4005" i="2"/>
  <c r="T4004" i="2"/>
  <c r="T4003" i="2"/>
  <c r="T4002" i="2"/>
  <c r="S4002" i="2"/>
  <c r="R4002" i="2"/>
  <c r="Q4002" i="2"/>
  <c r="P4002" i="2"/>
  <c r="O4002" i="2"/>
  <c r="T4001" i="2"/>
  <c r="S4001" i="2"/>
  <c r="R4001" i="2"/>
  <c r="Q4001" i="2"/>
  <c r="P4001" i="2"/>
  <c r="O4001" i="2"/>
  <c r="T4000" i="2"/>
  <c r="S4000" i="2"/>
  <c r="R4000" i="2"/>
  <c r="Q4000" i="2"/>
  <c r="P4000" i="2"/>
  <c r="O4000" i="2"/>
  <c r="T3999" i="2"/>
  <c r="S3999" i="2"/>
  <c r="R3999" i="2"/>
  <c r="Q3999" i="2"/>
  <c r="P3999" i="2"/>
  <c r="O3999" i="2"/>
  <c r="T3998" i="2"/>
  <c r="S3998" i="2"/>
  <c r="R3998" i="2"/>
  <c r="Q3998" i="2"/>
  <c r="P3998" i="2"/>
  <c r="O3998" i="2"/>
  <c r="T3997" i="2"/>
  <c r="S3997" i="2"/>
  <c r="R3997" i="2"/>
  <c r="Q3997" i="2"/>
  <c r="P3997" i="2"/>
  <c r="O3997" i="2"/>
  <c r="T3996" i="2"/>
  <c r="S3996" i="2"/>
  <c r="R3996" i="2"/>
  <c r="Q3996" i="2"/>
  <c r="P3996" i="2"/>
  <c r="O3996" i="2"/>
  <c r="T3995" i="2"/>
  <c r="S3995" i="2"/>
  <c r="R3995" i="2"/>
  <c r="Q3995" i="2"/>
  <c r="P3995" i="2"/>
  <c r="O3995" i="2"/>
  <c r="T3994" i="2"/>
  <c r="S3994" i="2"/>
  <c r="R3994" i="2"/>
  <c r="Q3994" i="2"/>
  <c r="P3994" i="2"/>
  <c r="O3994" i="2"/>
  <c r="T3993" i="2"/>
  <c r="S3993" i="2"/>
  <c r="R3993" i="2"/>
  <c r="Q3993" i="2"/>
  <c r="P3993" i="2"/>
  <c r="O3993" i="2"/>
  <c r="T3992" i="2"/>
  <c r="S3992" i="2"/>
  <c r="R3992" i="2"/>
  <c r="Q3992" i="2"/>
  <c r="P3992" i="2"/>
  <c r="O3992" i="2"/>
  <c r="T3991" i="2"/>
  <c r="S3991" i="2"/>
  <c r="R3991" i="2"/>
  <c r="Q3991" i="2"/>
  <c r="P3991" i="2"/>
  <c r="O3991" i="2"/>
  <c r="T3990" i="2"/>
  <c r="S3990" i="2"/>
  <c r="R3990" i="2"/>
  <c r="Q3990" i="2"/>
  <c r="P3990" i="2"/>
  <c r="O3990" i="2"/>
  <c r="T3989" i="2"/>
  <c r="S3989" i="2"/>
  <c r="R3989" i="2"/>
  <c r="Q3989" i="2"/>
  <c r="P3989" i="2"/>
  <c r="O3989" i="2"/>
  <c r="T3988" i="2"/>
  <c r="S3988" i="2"/>
  <c r="R3988" i="2"/>
  <c r="Q3988" i="2"/>
  <c r="P3988" i="2"/>
  <c r="O3988" i="2"/>
  <c r="T3987" i="2"/>
  <c r="S3987" i="2"/>
  <c r="R3987" i="2"/>
  <c r="Q3987" i="2"/>
  <c r="P3987" i="2"/>
  <c r="O3987" i="2"/>
  <c r="T3986" i="2"/>
  <c r="S3986" i="2"/>
  <c r="R3986" i="2"/>
  <c r="Q3986" i="2"/>
  <c r="P3986" i="2"/>
  <c r="O3986" i="2"/>
  <c r="T3985" i="2"/>
  <c r="S3985" i="2"/>
  <c r="R3985" i="2"/>
  <c r="Q3985" i="2"/>
  <c r="P3985" i="2"/>
  <c r="O3985" i="2"/>
  <c r="T3984" i="2"/>
  <c r="S3984" i="2"/>
  <c r="R3984" i="2"/>
  <c r="Q3984" i="2"/>
  <c r="P3984" i="2"/>
  <c r="O3984" i="2"/>
  <c r="T3983" i="2"/>
  <c r="S3983" i="2"/>
  <c r="R3983" i="2"/>
  <c r="Q3983" i="2"/>
  <c r="P3983" i="2"/>
  <c r="O3983" i="2"/>
  <c r="T3982" i="2"/>
  <c r="S3982" i="2"/>
  <c r="R3982" i="2"/>
  <c r="Q3982" i="2"/>
  <c r="P3982" i="2"/>
  <c r="O3982" i="2"/>
  <c r="T3981" i="2"/>
  <c r="S3981" i="2"/>
  <c r="R3981" i="2"/>
  <c r="Q3981" i="2"/>
  <c r="P3981" i="2"/>
  <c r="O3981" i="2"/>
  <c r="T3980" i="2"/>
  <c r="S3980" i="2"/>
  <c r="R3980" i="2"/>
  <c r="Q3980" i="2"/>
  <c r="P3980" i="2"/>
  <c r="O3980" i="2"/>
  <c r="T3979" i="2"/>
  <c r="S3979" i="2"/>
  <c r="R3979" i="2"/>
  <c r="Q3979" i="2"/>
  <c r="P3979" i="2"/>
  <c r="O3979" i="2"/>
  <c r="T3978" i="2"/>
  <c r="S3978" i="2"/>
  <c r="R3978" i="2"/>
  <c r="Q3978" i="2"/>
  <c r="P3978" i="2"/>
  <c r="O3978" i="2"/>
  <c r="T3977" i="2"/>
  <c r="S3977" i="2"/>
  <c r="R3977" i="2"/>
  <c r="Q3977" i="2"/>
  <c r="P3977" i="2"/>
  <c r="O3977" i="2"/>
  <c r="T3976" i="2"/>
  <c r="S3976" i="2"/>
  <c r="R3976" i="2"/>
  <c r="Q3976" i="2"/>
  <c r="P3976" i="2"/>
  <c r="O3976" i="2"/>
  <c r="T3975" i="2"/>
  <c r="S3975" i="2"/>
  <c r="R3975" i="2"/>
  <c r="Q3975" i="2"/>
  <c r="P3975" i="2"/>
  <c r="O3975" i="2"/>
  <c r="T3974" i="2"/>
  <c r="S3974" i="2"/>
  <c r="R3974" i="2"/>
  <c r="Q3974" i="2"/>
  <c r="P3974" i="2"/>
  <c r="O3974" i="2"/>
  <c r="T3973" i="2"/>
  <c r="S3973" i="2"/>
  <c r="R3973" i="2"/>
  <c r="Q3973" i="2"/>
  <c r="P3973" i="2"/>
  <c r="O3973" i="2"/>
  <c r="T3972" i="2"/>
  <c r="S3972" i="2"/>
  <c r="R3972" i="2"/>
  <c r="Q3972" i="2"/>
  <c r="P3972" i="2"/>
  <c r="O3972" i="2"/>
  <c r="T3971" i="2"/>
  <c r="S3971" i="2"/>
  <c r="R3971" i="2"/>
  <c r="Q3971" i="2"/>
  <c r="P3971" i="2"/>
  <c r="O3971" i="2"/>
  <c r="T3970" i="2"/>
  <c r="S3970" i="2"/>
  <c r="R3970" i="2"/>
  <c r="Q3970" i="2"/>
  <c r="P3970" i="2"/>
  <c r="O3970" i="2"/>
  <c r="T3969" i="2"/>
  <c r="S3969" i="2"/>
  <c r="R3969" i="2"/>
  <c r="Q3969" i="2"/>
  <c r="P3969" i="2"/>
  <c r="O3969" i="2"/>
  <c r="T3968" i="2"/>
  <c r="S3968" i="2"/>
  <c r="R3968" i="2"/>
  <c r="Q3968" i="2"/>
  <c r="P3968" i="2"/>
  <c r="O3968" i="2"/>
  <c r="T3967" i="2"/>
  <c r="S3967" i="2"/>
  <c r="R3967" i="2"/>
  <c r="Q3967" i="2"/>
  <c r="P3967" i="2"/>
  <c r="O3967" i="2"/>
  <c r="T3966" i="2"/>
  <c r="S3966" i="2"/>
  <c r="R3966" i="2"/>
  <c r="Q3966" i="2"/>
  <c r="P3966" i="2"/>
  <c r="O3966" i="2"/>
  <c r="T3965" i="2"/>
  <c r="S3965" i="2"/>
  <c r="R3965" i="2"/>
  <c r="Q3965" i="2"/>
  <c r="P3965" i="2"/>
  <c r="O3965" i="2"/>
  <c r="T3964" i="2"/>
  <c r="S3964" i="2"/>
  <c r="R3964" i="2"/>
  <c r="Q3964" i="2"/>
  <c r="P3964" i="2"/>
  <c r="O3964" i="2"/>
  <c r="T3963" i="2"/>
  <c r="S3963" i="2"/>
  <c r="R3963" i="2"/>
  <c r="Q3963" i="2"/>
  <c r="P3963" i="2"/>
  <c r="O3963" i="2"/>
  <c r="T3962" i="2"/>
  <c r="S3962" i="2"/>
  <c r="R3962" i="2"/>
  <c r="Q3962" i="2"/>
  <c r="P3962" i="2"/>
  <c r="O3962" i="2"/>
  <c r="T3961" i="2"/>
  <c r="S3961" i="2"/>
  <c r="R3961" i="2"/>
  <c r="Q3961" i="2"/>
  <c r="P3961" i="2"/>
  <c r="O3961" i="2"/>
  <c r="T3960" i="2"/>
  <c r="S3960" i="2"/>
  <c r="R3960" i="2"/>
  <c r="Q3960" i="2"/>
  <c r="P3960" i="2"/>
  <c r="O3960" i="2"/>
  <c r="T3959" i="2"/>
  <c r="S3959" i="2"/>
  <c r="R3959" i="2"/>
  <c r="Q3959" i="2"/>
  <c r="P3959" i="2"/>
  <c r="O3959" i="2"/>
  <c r="T3958" i="2"/>
  <c r="S3958" i="2"/>
  <c r="R3958" i="2"/>
  <c r="Q3958" i="2"/>
  <c r="P3958" i="2"/>
  <c r="O3958" i="2"/>
  <c r="T3957" i="2"/>
  <c r="S3957" i="2"/>
  <c r="R3957" i="2"/>
  <c r="Q3957" i="2"/>
  <c r="P3957" i="2"/>
  <c r="O3957" i="2"/>
  <c r="T3956" i="2"/>
  <c r="S3956" i="2"/>
  <c r="R3956" i="2"/>
  <c r="Q3956" i="2"/>
  <c r="P3956" i="2"/>
  <c r="O3956" i="2"/>
  <c r="T3955" i="2"/>
  <c r="S3955" i="2"/>
  <c r="R3955" i="2"/>
  <c r="Q3955" i="2"/>
  <c r="P3955" i="2"/>
  <c r="O3955" i="2"/>
  <c r="T3954" i="2"/>
  <c r="S3954" i="2"/>
  <c r="R3954" i="2"/>
  <c r="Q3954" i="2"/>
  <c r="P3954" i="2"/>
  <c r="O3954" i="2"/>
  <c r="T3953" i="2"/>
  <c r="S3953" i="2"/>
  <c r="R3953" i="2"/>
  <c r="Q3953" i="2"/>
  <c r="P3953" i="2"/>
  <c r="O3953" i="2"/>
  <c r="T3952" i="2"/>
  <c r="S3952" i="2"/>
  <c r="R3952" i="2"/>
  <c r="Q3952" i="2"/>
  <c r="P3952" i="2"/>
  <c r="O3952" i="2"/>
  <c r="T3951" i="2"/>
  <c r="S3951" i="2"/>
  <c r="R3951" i="2"/>
  <c r="Q3951" i="2"/>
  <c r="P3951" i="2"/>
  <c r="O3951" i="2"/>
  <c r="T3950" i="2"/>
  <c r="S3950" i="2"/>
  <c r="R3950" i="2"/>
  <c r="Q3950" i="2"/>
  <c r="P3950" i="2"/>
  <c r="O3950" i="2"/>
  <c r="T3949" i="2"/>
  <c r="S3949" i="2"/>
  <c r="R3949" i="2"/>
  <c r="Q3949" i="2"/>
  <c r="P3949" i="2"/>
  <c r="O3949" i="2"/>
  <c r="T3948" i="2"/>
  <c r="S3948" i="2"/>
  <c r="R3948" i="2"/>
  <c r="Q3948" i="2"/>
  <c r="P3948" i="2"/>
  <c r="O3948" i="2"/>
  <c r="T3947" i="2"/>
  <c r="S3947" i="2"/>
  <c r="R3947" i="2"/>
  <c r="Q3947" i="2"/>
  <c r="P3947" i="2"/>
  <c r="O3947" i="2"/>
  <c r="T3946" i="2"/>
  <c r="S3946" i="2"/>
  <c r="R3946" i="2"/>
  <c r="Q3946" i="2"/>
  <c r="P3946" i="2"/>
  <c r="O3946" i="2"/>
  <c r="T3945" i="2"/>
  <c r="S3945" i="2"/>
  <c r="R3945" i="2"/>
  <c r="Q3945" i="2"/>
  <c r="P3945" i="2"/>
  <c r="O3945" i="2"/>
  <c r="T3944" i="2"/>
  <c r="S3944" i="2"/>
  <c r="R3944" i="2"/>
  <c r="Q3944" i="2"/>
  <c r="P3944" i="2"/>
  <c r="O3944" i="2"/>
  <c r="T3943" i="2"/>
  <c r="S3943" i="2"/>
  <c r="R3943" i="2"/>
  <c r="Q3943" i="2"/>
  <c r="P3943" i="2"/>
  <c r="O3943" i="2"/>
  <c r="T3942" i="2"/>
  <c r="S3942" i="2"/>
  <c r="R3942" i="2"/>
  <c r="Q3942" i="2"/>
  <c r="P3942" i="2"/>
  <c r="O3942" i="2"/>
  <c r="T3941" i="2"/>
  <c r="S3941" i="2"/>
  <c r="R3941" i="2"/>
  <c r="Q3941" i="2"/>
  <c r="P3941" i="2"/>
  <c r="O3941" i="2"/>
  <c r="T3940" i="2"/>
  <c r="S3940" i="2"/>
  <c r="R3940" i="2"/>
  <c r="Q3940" i="2"/>
  <c r="P3940" i="2"/>
  <c r="O3940" i="2"/>
  <c r="T3939" i="2"/>
  <c r="S3939" i="2"/>
  <c r="R3939" i="2"/>
  <c r="Q3939" i="2"/>
  <c r="P3939" i="2"/>
  <c r="O3939" i="2"/>
  <c r="T3938" i="2"/>
  <c r="S3938" i="2"/>
  <c r="R3938" i="2"/>
  <c r="Q3938" i="2"/>
  <c r="P3938" i="2"/>
  <c r="O3938" i="2"/>
  <c r="T3937" i="2"/>
  <c r="S3937" i="2"/>
  <c r="R3937" i="2"/>
  <c r="Q3937" i="2"/>
  <c r="P3937" i="2"/>
  <c r="O3937" i="2"/>
  <c r="T3936" i="2"/>
  <c r="S3936" i="2"/>
  <c r="R3936" i="2"/>
  <c r="Q3936" i="2"/>
  <c r="P3936" i="2"/>
  <c r="O3936" i="2"/>
  <c r="T3935" i="2"/>
  <c r="S3935" i="2"/>
  <c r="R3935" i="2"/>
  <c r="Q3935" i="2"/>
  <c r="P3935" i="2"/>
  <c r="O3935" i="2"/>
  <c r="T3934" i="2"/>
  <c r="S3934" i="2"/>
  <c r="R3934" i="2"/>
  <c r="Q3934" i="2"/>
  <c r="P3934" i="2"/>
  <c r="O3934" i="2"/>
  <c r="T3933" i="2"/>
  <c r="S3933" i="2"/>
  <c r="R3933" i="2"/>
  <c r="Q3933" i="2"/>
  <c r="P3933" i="2"/>
  <c r="O3933" i="2"/>
  <c r="T3932" i="2"/>
  <c r="S3932" i="2"/>
  <c r="R3932" i="2"/>
  <c r="Q3932" i="2"/>
  <c r="P3932" i="2"/>
  <c r="O3932" i="2"/>
  <c r="T3931" i="2"/>
  <c r="S3931" i="2"/>
  <c r="R3931" i="2"/>
  <c r="Q3931" i="2"/>
  <c r="P3931" i="2"/>
  <c r="O3931" i="2"/>
  <c r="T3930" i="2"/>
  <c r="S3930" i="2"/>
  <c r="R3930" i="2"/>
  <c r="Q3930" i="2"/>
  <c r="P3930" i="2"/>
  <c r="O3930" i="2"/>
  <c r="T3929" i="2"/>
  <c r="S3929" i="2"/>
  <c r="R3929" i="2"/>
  <c r="Q3929" i="2"/>
  <c r="P3929" i="2"/>
  <c r="O3929" i="2"/>
  <c r="T3928" i="2"/>
  <c r="S3928" i="2"/>
  <c r="R3928" i="2"/>
  <c r="Q3928" i="2"/>
  <c r="P3928" i="2"/>
  <c r="O3928" i="2"/>
  <c r="T3927" i="2"/>
  <c r="T3926" i="2"/>
  <c r="T3925" i="2"/>
  <c r="T3924" i="2"/>
  <c r="T3923" i="2"/>
  <c r="T3922" i="2"/>
  <c r="T3921" i="2"/>
  <c r="S3921" i="2"/>
  <c r="R3921" i="2"/>
  <c r="Q3921" i="2"/>
  <c r="P3921" i="2"/>
  <c r="O3921" i="2"/>
  <c r="T3920" i="2"/>
  <c r="S3920" i="2"/>
  <c r="R3920" i="2"/>
  <c r="Q3920" i="2"/>
  <c r="P3920" i="2"/>
  <c r="O3920" i="2"/>
  <c r="T3919" i="2"/>
  <c r="S3919" i="2"/>
  <c r="R3919" i="2"/>
  <c r="Q3919" i="2"/>
  <c r="P3919" i="2"/>
  <c r="O3919" i="2"/>
  <c r="T3918" i="2"/>
  <c r="S3918" i="2"/>
  <c r="R3918" i="2"/>
  <c r="Q3918" i="2"/>
  <c r="P3918" i="2"/>
  <c r="O3918" i="2"/>
  <c r="T3917" i="2"/>
  <c r="S3917" i="2"/>
  <c r="R3917" i="2"/>
  <c r="Q3917" i="2"/>
  <c r="P3917" i="2"/>
  <c r="O3917" i="2"/>
  <c r="T3916" i="2"/>
  <c r="S3916" i="2"/>
  <c r="R3916" i="2"/>
  <c r="Q3916" i="2"/>
  <c r="P3916" i="2"/>
  <c r="O3916" i="2"/>
  <c r="T3915" i="2"/>
  <c r="S3915" i="2"/>
  <c r="R3915" i="2"/>
  <c r="Q3915" i="2"/>
  <c r="P3915" i="2"/>
  <c r="O3915" i="2"/>
  <c r="T3914" i="2"/>
  <c r="S3914" i="2"/>
  <c r="R3914" i="2"/>
  <c r="Q3914" i="2"/>
  <c r="P3914" i="2"/>
  <c r="O3914" i="2"/>
  <c r="T3913" i="2"/>
  <c r="S3913" i="2"/>
  <c r="R3913" i="2"/>
  <c r="Q3913" i="2"/>
  <c r="P3913" i="2"/>
  <c r="O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S3884" i="2"/>
  <c r="R3884" i="2"/>
  <c r="Q3884" i="2"/>
  <c r="P3884" i="2"/>
  <c r="O3884" i="2"/>
  <c r="T3883" i="2"/>
  <c r="S3883" i="2"/>
  <c r="R3883" i="2"/>
  <c r="Q3883" i="2"/>
  <c r="P3883" i="2"/>
  <c r="O3883" i="2"/>
  <c r="T3882" i="2"/>
  <c r="S3882" i="2"/>
  <c r="R3882" i="2"/>
  <c r="Q3882" i="2"/>
  <c r="P3882" i="2"/>
  <c r="O3882" i="2"/>
  <c r="T3881" i="2"/>
  <c r="S3881" i="2"/>
  <c r="R3881" i="2"/>
  <c r="Q3881" i="2"/>
  <c r="P3881" i="2"/>
  <c r="O3881" i="2"/>
  <c r="T3880" i="2"/>
  <c r="S3880" i="2"/>
  <c r="R3880" i="2"/>
  <c r="Q3880" i="2"/>
  <c r="P3880" i="2"/>
  <c r="O3880" i="2"/>
  <c r="T3879" i="2"/>
  <c r="S3879" i="2"/>
  <c r="R3879" i="2"/>
  <c r="Q3879" i="2"/>
  <c r="P3879" i="2"/>
  <c r="O3879" i="2"/>
  <c r="T3878" i="2"/>
  <c r="S3878" i="2"/>
  <c r="R3878" i="2"/>
  <c r="Q3878" i="2"/>
  <c r="P3878" i="2"/>
  <c r="O3878" i="2"/>
  <c r="T3877" i="2"/>
  <c r="S3877" i="2"/>
  <c r="R3877" i="2"/>
  <c r="Q3877" i="2"/>
  <c r="P3877" i="2"/>
  <c r="O3877" i="2"/>
  <c r="T3876" i="2"/>
  <c r="S3876" i="2"/>
  <c r="R3876" i="2"/>
  <c r="Q3876" i="2"/>
  <c r="P3876" i="2"/>
  <c r="O3876" i="2"/>
  <c r="T3875" i="2"/>
  <c r="S3875" i="2"/>
  <c r="R3875" i="2"/>
  <c r="Q3875" i="2"/>
  <c r="P3875" i="2"/>
  <c r="O3875" i="2"/>
  <c r="T3874" i="2"/>
  <c r="S3874" i="2"/>
  <c r="R3874" i="2"/>
  <c r="Q3874" i="2"/>
  <c r="P3874" i="2"/>
  <c r="O3874" i="2"/>
  <c r="T3873" i="2"/>
  <c r="S3873" i="2"/>
  <c r="R3873" i="2"/>
  <c r="Q3873" i="2"/>
  <c r="P3873" i="2"/>
  <c r="O3873" i="2"/>
  <c r="T3872" i="2"/>
  <c r="S3872" i="2"/>
  <c r="R3872" i="2"/>
  <c r="Q3872" i="2"/>
  <c r="P3872" i="2"/>
  <c r="O3872" i="2"/>
  <c r="T3871" i="2"/>
  <c r="S3871" i="2"/>
  <c r="R3871" i="2"/>
  <c r="Q3871" i="2"/>
  <c r="P3871" i="2"/>
  <c r="O3871" i="2"/>
  <c r="T3870" i="2"/>
  <c r="S3870" i="2"/>
  <c r="R3870" i="2"/>
  <c r="Q3870" i="2"/>
  <c r="P3870" i="2"/>
  <c r="O3870" i="2"/>
  <c r="T3869" i="2"/>
  <c r="S3869" i="2"/>
  <c r="R3869" i="2"/>
  <c r="Q3869" i="2"/>
  <c r="P3869" i="2"/>
  <c r="O3869" i="2"/>
  <c r="T3868" i="2"/>
  <c r="S3868" i="2"/>
  <c r="R3868" i="2"/>
  <c r="Q3868" i="2"/>
  <c r="P3868" i="2"/>
  <c r="O3868" i="2"/>
  <c r="T3867" i="2"/>
  <c r="S3867" i="2"/>
  <c r="R3867" i="2"/>
  <c r="Q3867" i="2"/>
  <c r="P3867" i="2"/>
  <c r="O3867" i="2"/>
  <c r="T3866" i="2"/>
  <c r="S3866" i="2"/>
  <c r="R3866" i="2"/>
  <c r="Q3866" i="2"/>
  <c r="P3866" i="2"/>
  <c r="O3866" i="2"/>
  <c r="T3865" i="2"/>
  <c r="S3865" i="2"/>
  <c r="R3865" i="2"/>
  <c r="Q3865" i="2"/>
  <c r="P3865" i="2"/>
  <c r="O3865" i="2"/>
  <c r="T3864" i="2"/>
  <c r="S3864" i="2"/>
  <c r="R3864" i="2"/>
  <c r="Q3864" i="2"/>
  <c r="P3864" i="2"/>
  <c r="O3864" i="2"/>
  <c r="T3863" i="2"/>
  <c r="S3863" i="2"/>
  <c r="R3863" i="2"/>
  <c r="Q3863" i="2"/>
  <c r="P3863" i="2"/>
  <c r="O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L928" i="2"/>
  <c r="O928" i="2" s="1"/>
  <c r="T927" i="2"/>
  <c r="S927" i="2"/>
  <c r="R927" i="2"/>
  <c r="Q927" i="2"/>
  <c r="P927" i="2"/>
  <c r="L927" i="2"/>
  <c r="O927" i="2" s="1"/>
  <c r="T926" i="2"/>
  <c r="S926" i="2"/>
  <c r="R926" i="2"/>
  <c r="Q926" i="2"/>
  <c r="P926" i="2"/>
  <c r="O926" i="2"/>
  <c r="L926" i="2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R923" i="2"/>
  <c r="Q923" i="2"/>
  <c r="P923" i="2"/>
  <c r="L923" i="2"/>
  <c r="S923" i="2" s="1"/>
  <c r="T922" i="2"/>
  <c r="R922" i="2"/>
  <c r="Q922" i="2"/>
  <c r="P922" i="2"/>
  <c r="L922" i="2"/>
  <c r="S922" i="2" s="1"/>
  <c r="T921" i="2"/>
  <c r="R921" i="2"/>
  <c r="Q921" i="2"/>
  <c r="P921" i="2"/>
  <c r="L921" i="2"/>
  <c r="O921" i="2" s="1"/>
  <c r="T920" i="2"/>
  <c r="S920" i="2"/>
  <c r="R920" i="2"/>
  <c r="Q920" i="2"/>
  <c r="P920" i="2"/>
  <c r="L920" i="2"/>
  <c r="O920" i="2" s="1"/>
  <c r="T919" i="2"/>
  <c r="R919" i="2"/>
  <c r="Q919" i="2"/>
  <c r="P919" i="2"/>
  <c r="L919" i="2"/>
  <c r="O919" i="2" s="1"/>
  <c r="T918" i="2"/>
  <c r="R918" i="2"/>
  <c r="Q918" i="2"/>
  <c r="P918" i="2"/>
  <c r="O918" i="2"/>
  <c r="L918" i="2"/>
  <c r="S918" i="2" s="1"/>
  <c r="T917" i="2"/>
  <c r="S917" i="2"/>
  <c r="R917" i="2"/>
  <c r="Q917" i="2"/>
  <c r="P917" i="2"/>
  <c r="O917" i="2"/>
  <c r="L917" i="2"/>
  <c r="T916" i="2"/>
  <c r="R916" i="2"/>
  <c r="Q916" i="2"/>
  <c r="P916" i="2"/>
  <c r="O916" i="2"/>
  <c r="L916" i="2"/>
  <c r="S916" i="2" s="1"/>
  <c r="T915" i="2"/>
  <c r="S915" i="2"/>
  <c r="R915" i="2"/>
  <c r="Q915" i="2"/>
  <c r="P915" i="2"/>
  <c r="O915" i="2"/>
  <c r="L915" i="2"/>
  <c r="T914" i="2"/>
  <c r="S914" i="2"/>
  <c r="R914" i="2"/>
  <c r="Q914" i="2"/>
  <c r="P914" i="2"/>
  <c r="L914" i="2"/>
  <c r="O914" i="2" s="1"/>
  <c r="T913" i="2"/>
  <c r="R913" i="2"/>
  <c r="Q913" i="2"/>
  <c r="P913" i="2"/>
  <c r="L913" i="2"/>
  <c r="S913" i="2" s="1"/>
  <c r="T912" i="2"/>
  <c r="R912" i="2"/>
  <c r="Q912" i="2"/>
  <c r="P912" i="2"/>
  <c r="L912" i="2"/>
  <c r="S912" i="2" s="1"/>
  <c r="T911" i="2"/>
  <c r="R911" i="2"/>
  <c r="Q911" i="2"/>
  <c r="P911" i="2"/>
  <c r="L911" i="2"/>
  <c r="S911" i="2" s="1"/>
  <c r="T910" i="2"/>
  <c r="S910" i="2"/>
  <c r="R910" i="2"/>
  <c r="Q910" i="2"/>
  <c r="P910" i="2"/>
  <c r="L910" i="2"/>
  <c r="O910" i="2" s="1"/>
  <c r="T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O204" i="2" s="1"/>
  <c r="T203" i="2"/>
  <c r="S203" i="2"/>
  <c r="R203" i="2"/>
  <c r="Q203" i="2"/>
  <c r="P203" i="2"/>
  <c r="O203" i="2"/>
  <c r="L203" i="2"/>
  <c r="T202" i="2"/>
  <c r="R202" i="2"/>
  <c r="Q202" i="2"/>
  <c r="P202" i="2"/>
  <c r="L202" i="2"/>
  <c r="O202" i="2" s="1"/>
  <c r="T201" i="2"/>
  <c r="S201" i="2"/>
  <c r="R201" i="2"/>
  <c r="Q201" i="2"/>
  <c r="P201" i="2"/>
  <c r="O201" i="2"/>
  <c r="L201" i="2"/>
  <c r="T200" i="2"/>
  <c r="R200" i="2"/>
  <c r="Q200" i="2"/>
  <c r="P200" i="2"/>
  <c r="L200" i="2"/>
  <c r="S200" i="2" s="1"/>
  <c r="T199" i="2"/>
  <c r="S199" i="2"/>
  <c r="R199" i="2"/>
  <c r="Q199" i="2"/>
  <c r="P199" i="2"/>
  <c r="O199" i="2"/>
  <c r="L199" i="2"/>
  <c r="T198" i="2"/>
  <c r="R198" i="2"/>
  <c r="Q198" i="2"/>
  <c r="P198" i="2"/>
  <c r="O198" i="2"/>
  <c r="L198" i="2"/>
  <c r="S198" i="2" s="1"/>
  <c r="T197" i="2"/>
  <c r="R197" i="2"/>
  <c r="Q197" i="2"/>
  <c r="P197" i="2"/>
  <c r="O197" i="2"/>
  <c r="L197" i="2"/>
  <c r="S197" i="2" s="1"/>
  <c r="T196" i="2"/>
  <c r="R196" i="2"/>
  <c r="Q196" i="2"/>
  <c r="P196" i="2"/>
  <c r="L196" i="2"/>
  <c r="S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R193" i="2"/>
  <c r="Q193" i="2"/>
  <c r="P193" i="2"/>
  <c r="L193" i="2"/>
  <c r="S193" i="2" s="1"/>
  <c r="T192" i="2"/>
  <c r="R192" i="2"/>
  <c r="Q192" i="2"/>
  <c r="P192" i="2"/>
  <c r="L192" i="2"/>
  <c r="O192" i="2" s="1"/>
  <c r="T191" i="2"/>
  <c r="S191" i="2"/>
  <c r="R191" i="2"/>
  <c r="Q191" i="2"/>
  <c r="P191" i="2"/>
  <c r="O191" i="2"/>
  <c r="L191" i="2"/>
  <c r="T190" i="2"/>
  <c r="R190" i="2"/>
  <c r="Q190" i="2"/>
  <c r="P190" i="2"/>
  <c r="L190" i="2"/>
  <c r="O190" i="2" s="1"/>
  <c r="T189" i="2"/>
  <c r="S189" i="2"/>
  <c r="R189" i="2"/>
  <c r="Q189" i="2"/>
  <c r="P189" i="2"/>
  <c r="O189" i="2"/>
  <c r="L189" i="2"/>
  <c r="T188" i="2"/>
  <c r="R188" i="2"/>
  <c r="Q188" i="2"/>
  <c r="P188" i="2"/>
  <c r="L188" i="2"/>
  <c r="S188" i="2" s="1"/>
  <c r="T187" i="2"/>
  <c r="S187" i="2"/>
  <c r="R187" i="2"/>
  <c r="Q187" i="2"/>
  <c r="P187" i="2"/>
  <c r="O187" i="2"/>
  <c r="L187" i="2"/>
  <c r="T186" i="2"/>
  <c r="R186" i="2"/>
  <c r="Q186" i="2"/>
  <c r="P186" i="2"/>
  <c r="O186" i="2"/>
  <c r="L186" i="2"/>
  <c r="S186" i="2" s="1"/>
  <c r="T185" i="2"/>
  <c r="R185" i="2"/>
  <c r="Q185" i="2"/>
  <c r="P185" i="2"/>
  <c r="O185" i="2"/>
  <c r="L185" i="2"/>
  <c r="S185" i="2" s="1"/>
  <c r="T184" i="2"/>
  <c r="R184" i="2"/>
  <c r="Q184" i="2"/>
  <c r="P184" i="2"/>
  <c r="L184" i="2"/>
  <c r="S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457" i="1" l="1"/>
  <c r="I288" i="1"/>
  <c r="I448" i="1"/>
  <c r="I382" i="1"/>
  <c r="I406" i="1"/>
  <c r="I418" i="1"/>
  <c r="I12" i="1"/>
  <c r="I18" i="1"/>
  <c r="I312" i="1"/>
  <c r="I456" i="1"/>
  <c r="I397" i="1"/>
  <c r="I421" i="1"/>
  <c r="I439" i="1"/>
  <c r="I445" i="1"/>
  <c r="I451" i="1"/>
  <c r="I461" i="1"/>
  <c r="I467" i="1"/>
  <c r="I37" i="1"/>
  <c r="I73" i="1"/>
  <c r="I133" i="1"/>
  <c r="I3" i="1"/>
  <c r="I27" i="1"/>
  <c r="I39" i="1"/>
  <c r="I51" i="1"/>
  <c r="I87" i="1"/>
  <c r="I159" i="1"/>
  <c r="I171" i="1"/>
  <c r="I195" i="1"/>
  <c r="I219" i="1"/>
  <c r="I255" i="1"/>
  <c r="I291" i="1"/>
  <c r="I303" i="1"/>
  <c r="I327" i="1"/>
  <c r="I375" i="1"/>
  <c r="I393" i="1"/>
  <c r="I399" i="1"/>
  <c r="I405" i="1"/>
  <c r="I411" i="1"/>
  <c r="I417" i="1"/>
  <c r="I423" i="1"/>
  <c r="I441" i="1"/>
  <c r="I447" i="1"/>
  <c r="I453" i="1"/>
  <c r="I463" i="1"/>
  <c r="I112" i="1"/>
  <c r="I232" i="1"/>
  <c r="I328" i="1"/>
  <c r="I72" i="1"/>
  <c r="I84" i="1"/>
  <c r="I102" i="1"/>
  <c r="I126" i="1"/>
  <c r="I132" i="1"/>
  <c r="I144" i="1"/>
  <c r="I162" i="1"/>
  <c r="I210" i="1"/>
  <c r="I222" i="1"/>
  <c r="I252" i="1"/>
  <c r="I264" i="1"/>
  <c r="I342" i="1"/>
  <c r="I354" i="1"/>
  <c r="I366" i="1"/>
  <c r="I372" i="1"/>
  <c r="I390" i="1"/>
  <c r="I420" i="1"/>
  <c r="I466" i="1"/>
  <c r="I11" i="1"/>
  <c r="I251" i="1"/>
  <c r="I181" i="1"/>
  <c r="I38" i="1"/>
  <c r="I50" i="1"/>
  <c r="I98" i="1"/>
  <c r="I164" i="1"/>
  <c r="I182" i="1"/>
  <c r="I188" i="1"/>
  <c r="I194" i="1"/>
  <c r="I200" i="1"/>
  <c r="I212" i="1"/>
  <c r="I224" i="1"/>
  <c r="I236" i="1"/>
  <c r="I248" i="1"/>
  <c r="I260" i="1"/>
  <c r="I272" i="1"/>
  <c r="I284" i="1"/>
  <c r="I296" i="1"/>
  <c r="I308" i="1"/>
  <c r="I320" i="1"/>
  <c r="I332" i="1"/>
  <c r="I398" i="1"/>
  <c r="I410" i="1"/>
  <c r="I440" i="1"/>
  <c r="I446" i="1"/>
  <c r="I452" i="1"/>
  <c r="I462" i="1"/>
  <c r="I429" i="1"/>
  <c r="I435" i="1"/>
  <c r="I121" i="1"/>
  <c r="I16" i="1"/>
  <c r="I28" i="1"/>
  <c r="I76" i="1"/>
  <c r="I160" i="1"/>
  <c r="I172" i="1"/>
  <c r="I220" i="1"/>
  <c r="I256" i="1"/>
  <c r="I268" i="1"/>
  <c r="I292" i="1"/>
  <c r="I304" i="1"/>
  <c r="I340" i="1"/>
  <c r="I364" i="1"/>
  <c r="I376" i="1"/>
  <c r="I394" i="1"/>
  <c r="I442" i="1"/>
  <c r="I454" i="1"/>
  <c r="I458" i="1"/>
  <c r="I464" i="1"/>
  <c r="I15" i="1"/>
  <c r="I99" i="1"/>
  <c r="I111" i="1"/>
  <c r="I123" i="1"/>
  <c r="I147" i="1"/>
  <c r="I183" i="1"/>
  <c r="I231" i="1"/>
  <c r="I267" i="1"/>
  <c r="I143" i="1"/>
  <c r="I155" i="1"/>
  <c r="I203" i="1"/>
  <c r="I215" i="1"/>
  <c r="I239" i="1"/>
  <c r="I275" i="1"/>
  <c r="I287" i="1"/>
  <c r="I311" i="1"/>
  <c r="I323" i="1"/>
  <c r="I347" i="1"/>
  <c r="I359" i="1"/>
  <c r="I383" i="1"/>
  <c r="I437" i="1"/>
  <c r="I443" i="1"/>
  <c r="I449" i="1"/>
  <c r="I455" i="1"/>
  <c r="I459" i="1"/>
  <c r="I465" i="1"/>
  <c r="I6" i="1"/>
  <c r="I30" i="1"/>
  <c r="I48" i="1"/>
  <c r="I60" i="1"/>
  <c r="I66" i="1"/>
  <c r="I78" i="1"/>
  <c r="I90" i="1"/>
  <c r="I108" i="1"/>
  <c r="I120" i="1"/>
  <c r="I138" i="1"/>
  <c r="I150" i="1"/>
  <c r="I156" i="1"/>
  <c r="I174" i="1"/>
  <c r="I192" i="1"/>
  <c r="I204" i="1"/>
  <c r="I216" i="1"/>
  <c r="I228" i="1"/>
  <c r="I240" i="1"/>
  <c r="I246" i="1"/>
  <c r="I258" i="1"/>
  <c r="I276" i="1"/>
  <c r="I282" i="1"/>
  <c r="I294" i="1"/>
  <c r="I300" i="1"/>
  <c r="I318" i="1"/>
  <c r="I324" i="1"/>
  <c r="I330" i="1"/>
  <c r="I336" i="1"/>
  <c r="I348" i="1"/>
  <c r="I360" i="1"/>
  <c r="I378" i="1"/>
  <c r="I384" i="1"/>
  <c r="I396" i="1"/>
  <c r="I402" i="1"/>
  <c r="I408" i="1"/>
  <c r="I414" i="1"/>
  <c r="I426" i="1"/>
  <c r="I432" i="1"/>
  <c r="I438" i="1"/>
  <c r="I444" i="1"/>
  <c r="I450" i="1"/>
  <c r="I460" i="1"/>
  <c r="I409" i="1"/>
  <c r="I433" i="1"/>
  <c r="I14" i="1"/>
  <c r="I23" i="1"/>
  <c r="I26" i="1"/>
  <c r="I35" i="1"/>
  <c r="I47" i="1"/>
  <c r="I59" i="1"/>
  <c r="I62" i="1"/>
  <c r="I71" i="1"/>
  <c r="I74" i="1"/>
  <c r="I83" i="1"/>
  <c r="I86" i="1"/>
  <c r="I95" i="1"/>
  <c r="I107" i="1"/>
  <c r="I110" i="1"/>
  <c r="I119" i="1"/>
  <c r="I122" i="1"/>
  <c r="I131" i="1"/>
  <c r="I134" i="1"/>
  <c r="I146" i="1"/>
  <c r="I158" i="1"/>
  <c r="I167" i="1"/>
  <c r="I170" i="1"/>
  <c r="I179" i="1"/>
  <c r="I191" i="1"/>
  <c r="I206" i="1"/>
  <c r="I218" i="1"/>
  <c r="I227" i="1"/>
  <c r="I230" i="1"/>
  <c r="I242" i="1"/>
  <c r="I254" i="1"/>
  <c r="I263" i="1"/>
  <c r="I266" i="1"/>
  <c r="I278" i="1"/>
  <c r="I290" i="1"/>
  <c r="I299" i="1"/>
  <c r="I302" i="1"/>
  <c r="I314" i="1"/>
  <c r="I326" i="1"/>
  <c r="I335" i="1"/>
  <c r="I338" i="1"/>
  <c r="I344" i="1"/>
  <c r="I350" i="1"/>
  <c r="I356" i="1"/>
  <c r="I362" i="1"/>
  <c r="I368" i="1"/>
  <c r="I371" i="1"/>
  <c r="I374" i="1"/>
  <c r="I380" i="1"/>
  <c r="I386" i="1"/>
  <c r="I392" i="1"/>
  <c r="I395" i="1"/>
  <c r="I401" i="1"/>
  <c r="I404" i="1"/>
  <c r="I407" i="1"/>
  <c r="I413" i="1"/>
  <c r="I416" i="1"/>
  <c r="I419" i="1"/>
  <c r="I422" i="1"/>
  <c r="I425" i="1"/>
  <c r="I428" i="1"/>
  <c r="I431" i="1"/>
  <c r="I434" i="1"/>
  <c r="I9" i="1"/>
  <c r="I21" i="1"/>
  <c r="I33" i="1"/>
  <c r="I45" i="1"/>
  <c r="I57" i="1"/>
  <c r="I69" i="1"/>
  <c r="I81" i="1"/>
  <c r="I93" i="1"/>
  <c r="I105" i="1"/>
  <c r="I117" i="1"/>
  <c r="I129" i="1"/>
  <c r="I141" i="1"/>
  <c r="I153" i="1"/>
  <c r="I165" i="1"/>
  <c r="I177" i="1"/>
  <c r="I189" i="1"/>
  <c r="I201" i="1"/>
  <c r="I213" i="1"/>
  <c r="I225" i="1"/>
  <c r="I237" i="1"/>
  <c r="I249" i="1"/>
  <c r="I261" i="1"/>
  <c r="I273" i="1"/>
  <c r="I285" i="1"/>
  <c r="I297" i="1"/>
  <c r="I309" i="1"/>
  <c r="I321" i="1"/>
  <c r="I333" i="1"/>
  <c r="I339" i="1"/>
  <c r="I345" i="1"/>
  <c r="I351" i="1"/>
  <c r="I357" i="1"/>
  <c r="I363" i="1"/>
  <c r="I369" i="1"/>
  <c r="I381" i="1"/>
  <c r="I387" i="1"/>
  <c r="I24" i="1"/>
  <c r="I36" i="1"/>
  <c r="I42" i="1"/>
  <c r="I54" i="1"/>
  <c r="I63" i="1"/>
  <c r="I75" i="1"/>
  <c r="I96" i="1"/>
  <c r="I114" i="1"/>
  <c r="I135" i="1"/>
  <c r="I168" i="1"/>
  <c r="I180" i="1"/>
  <c r="I186" i="1"/>
  <c r="I198" i="1"/>
  <c r="I207" i="1"/>
  <c r="I234" i="1"/>
  <c r="I243" i="1"/>
  <c r="I270" i="1"/>
  <c r="I279" i="1"/>
  <c r="I306" i="1"/>
  <c r="I315" i="1"/>
  <c r="I4" i="1"/>
  <c r="I13" i="1"/>
  <c r="I25" i="1"/>
  <c r="I40" i="1"/>
  <c r="I49" i="1"/>
  <c r="I52" i="1"/>
  <c r="I61" i="1"/>
  <c r="I64" i="1"/>
  <c r="I85" i="1"/>
  <c r="I88" i="1"/>
  <c r="I97" i="1"/>
  <c r="I100" i="1"/>
  <c r="I109" i="1"/>
  <c r="I124" i="1"/>
  <c r="I136" i="1"/>
  <c r="I145" i="1"/>
  <c r="I148" i="1"/>
  <c r="I157" i="1"/>
  <c r="I169" i="1"/>
  <c r="I184" i="1"/>
  <c r="I193" i="1"/>
  <c r="I196" i="1"/>
  <c r="I205" i="1"/>
  <c r="I208" i="1"/>
  <c r="I214" i="1"/>
  <c r="I217" i="1"/>
  <c r="I226" i="1"/>
  <c r="I229" i="1"/>
  <c r="I238" i="1"/>
  <c r="I241" i="1"/>
  <c r="I244" i="1"/>
  <c r="I250" i="1"/>
  <c r="I253" i="1"/>
  <c r="I262" i="1"/>
  <c r="I265" i="1"/>
  <c r="I274" i="1"/>
  <c r="I277" i="1"/>
  <c r="I280" i="1"/>
  <c r="I286" i="1"/>
  <c r="I289" i="1"/>
  <c r="I298" i="1"/>
  <c r="I301" i="1"/>
  <c r="I310" i="1"/>
  <c r="I313" i="1"/>
  <c r="I316" i="1"/>
  <c r="I322" i="1"/>
  <c r="I325" i="1"/>
  <c r="I334" i="1"/>
  <c r="I337" i="1"/>
  <c r="I346" i="1"/>
  <c r="I349" i="1"/>
  <c r="I352" i="1"/>
  <c r="I358" i="1"/>
  <c r="I361" i="1"/>
  <c r="I370" i="1"/>
  <c r="I373" i="1"/>
  <c r="I385" i="1"/>
  <c r="I388" i="1"/>
  <c r="I400" i="1"/>
  <c r="I403" i="1"/>
  <c r="I412" i="1"/>
  <c r="I415" i="1"/>
  <c r="I424" i="1"/>
  <c r="I427" i="1"/>
  <c r="I430" i="1"/>
  <c r="I436" i="1"/>
  <c r="I8" i="1"/>
  <c r="I20" i="1"/>
  <c r="I32" i="1"/>
  <c r="I44" i="1"/>
  <c r="I56" i="1"/>
  <c r="I68" i="1"/>
  <c r="I80" i="1"/>
  <c r="I92" i="1"/>
  <c r="I104" i="1"/>
  <c r="I116" i="1"/>
  <c r="I128" i="1"/>
  <c r="I140" i="1"/>
  <c r="I152" i="1"/>
  <c r="I176" i="1"/>
  <c r="I10" i="1"/>
  <c r="I22" i="1"/>
  <c r="I34" i="1"/>
  <c r="I46" i="1"/>
  <c r="I58" i="1"/>
  <c r="I70" i="1"/>
  <c r="I82" i="1"/>
  <c r="I94" i="1"/>
  <c r="I106" i="1"/>
  <c r="I118" i="1"/>
  <c r="I130" i="1"/>
  <c r="I142" i="1"/>
  <c r="I154" i="1"/>
  <c r="I166" i="1"/>
  <c r="I178" i="1"/>
  <c r="I190" i="1"/>
  <c r="I202" i="1"/>
  <c r="I5" i="1"/>
  <c r="I17" i="1"/>
  <c r="I29" i="1"/>
  <c r="I41" i="1"/>
  <c r="I53" i="1"/>
  <c r="I65" i="1"/>
  <c r="I77" i="1"/>
  <c r="I89" i="1"/>
  <c r="I101" i="1"/>
  <c r="I113" i="1"/>
  <c r="I125" i="1"/>
  <c r="I137" i="1"/>
  <c r="I149" i="1"/>
  <c r="I161" i="1"/>
  <c r="I173" i="1"/>
  <c r="I185" i="1"/>
  <c r="I197" i="1"/>
  <c r="I209" i="1"/>
  <c r="I221" i="1"/>
  <c r="I233" i="1"/>
  <c r="I245" i="1"/>
  <c r="I257" i="1"/>
  <c r="I269" i="1"/>
  <c r="I281" i="1"/>
  <c r="I293" i="1"/>
  <c r="I305" i="1"/>
  <c r="I317" i="1"/>
  <c r="I329" i="1"/>
  <c r="I341" i="1"/>
  <c r="I353" i="1"/>
  <c r="I365" i="1"/>
  <c r="I377" i="1"/>
  <c r="I389" i="1"/>
  <c r="I7" i="1"/>
  <c r="I19" i="1"/>
  <c r="I31" i="1"/>
  <c r="I43" i="1"/>
  <c r="I55" i="1"/>
  <c r="I67" i="1"/>
  <c r="I79" i="1"/>
  <c r="I91" i="1"/>
  <c r="I103" i="1"/>
  <c r="I115" i="1"/>
  <c r="I127" i="1"/>
  <c r="I139" i="1"/>
  <c r="I151" i="1"/>
  <c r="I163" i="1"/>
  <c r="I175" i="1"/>
  <c r="I187" i="1"/>
  <c r="I199" i="1"/>
  <c r="I211" i="1"/>
  <c r="I223" i="1"/>
  <c r="I235" i="1"/>
  <c r="I247" i="1"/>
  <c r="I259" i="1"/>
  <c r="I271" i="1"/>
  <c r="I283" i="1"/>
  <c r="I295" i="1"/>
  <c r="I307" i="1"/>
  <c r="I319" i="1"/>
  <c r="I331" i="1"/>
  <c r="I343" i="1"/>
  <c r="I355" i="1"/>
  <c r="I367" i="1"/>
  <c r="I379" i="1"/>
  <c r="I391" i="1"/>
  <c r="I2" i="1"/>
  <c r="O911" i="2"/>
  <c r="S919" i="2"/>
  <c r="O923" i="2"/>
  <c r="S190" i="2"/>
  <c r="O194" i="2"/>
  <c r="S202" i="2"/>
  <c r="S909" i="2"/>
  <c r="O913" i="2"/>
  <c r="S921" i="2"/>
  <c r="O925" i="2"/>
  <c r="O184" i="2"/>
  <c r="S192" i="2"/>
  <c r="O196" i="2"/>
  <c r="S204" i="2"/>
  <c r="O922" i="2"/>
  <c r="O193" i="2"/>
  <c r="O188" i="2"/>
  <c r="O200" i="2"/>
  <c r="O912" i="2"/>
  <c r="O924" i="2"/>
</calcChain>
</file>

<file path=xl/sharedStrings.xml><?xml version="1.0" encoding="utf-8"?>
<sst xmlns="http://schemas.openxmlformats.org/spreadsheetml/2006/main" count="42398" uniqueCount="4967">
  <si>
    <t>Order#</t>
  </si>
  <si>
    <t>Account</t>
  </si>
  <si>
    <t>Name</t>
  </si>
  <si>
    <t>Branch</t>
  </si>
  <si>
    <t>SKU</t>
  </si>
  <si>
    <t>Quantity</t>
  </si>
  <si>
    <t>2509-720988</t>
  </si>
  <si>
    <t>GF000041</t>
  </si>
  <si>
    <t>OFF-QUALITY PRODUCTS</t>
  </si>
  <si>
    <t>TAYLNGVJ1614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</si>
  <si>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</si>
  <si>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</si>
  <si>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</si>
  <si>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</si>
  <si>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</si>
  <si>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</si>
  <si>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</si>
  <si>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</si>
  <si>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</si>
  <si>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</si>
  <si>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</si>
  <si>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</si>
  <si>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</si>
  <si>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</si>
  <si>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</si>
  <si>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</si>
  <si>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</si>
  <si>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</si>
  <si>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</si>
  <si>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</si>
  <si>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</si>
  <si>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</si>
  <si>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</si>
  <si>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</si>
  <si>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</si>
  <si>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</si>
  <si>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</si>
  <si>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</si>
  <si>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2511-738279</t>
  </si>
  <si>
    <t>CMKD1419MS</t>
  </si>
  <si>
    <t>CMKD1420MS</t>
  </si>
  <si>
    <t>CMKD148MS</t>
  </si>
  <si>
    <t>CMKD149MS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</si>
  <si>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</si>
  <si>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</si>
  <si>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</si>
  <si>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</si>
  <si>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</si>
  <si>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</si>
  <si>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</si>
  <si>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</si>
  <si>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</si>
  <si>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</si>
  <si>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</si>
  <si>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</si>
  <si>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</si>
  <si>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</si>
  <si>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</si>
  <si>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2512-747986</t>
  </si>
  <si>
    <t>TCRNGOPX167</t>
  </si>
  <si>
    <t>TCRNGOPX1610</t>
  </si>
  <si>
    <t>TCRNGOPX1616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</si>
  <si>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</si>
  <si>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</si>
  <si>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</si>
  <si>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</si>
  <si>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</si>
  <si>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</si>
  <si>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</si>
  <si>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</si>
  <si>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</si>
  <si>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</si>
  <si>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</si>
  <si>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</si>
  <si>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</si>
  <si>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</si>
  <si>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</si>
  <si>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</si>
  <si>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</si>
  <si>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</si>
  <si>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</si>
  <si>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</si>
  <si>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</si>
  <si>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</si>
  <si>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CMKD1412MS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</si>
  <si>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</si>
  <si>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</si>
  <si>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</si>
  <si>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</si>
  <si>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</si>
  <si>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</si>
  <si>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</si>
  <si>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</si>
  <si>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</si>
  <si>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</si>
  <si>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</si>
  <si>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</si>
  <si>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</si>
  <si>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</si>
  <si>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</si>
  <si>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</si>
  <si>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</si>
  <si>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</si>
  <si>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</si>
  <si>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</si>
  <si>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</si>
  <si>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</si>
  <si>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</si>
  <si>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</si>
  <si>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</si>
  <si>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</si>
  <si>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</si>
  <si>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</si>
  <si>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</si>
  <si>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</si>
  <si>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</si>
  <si>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</si>
  <si>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</si>
  <si>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</si>
  <si>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</si>
  <si>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TAYLNGVJ164</t>
  </si>
  <si>
    <t>TAYLNGVJ166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</si>
  <si>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</si>
  <si>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</si>
  <si>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</si>
  <si>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</si>
  <si>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</si>
  <si>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</si>
  <si>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</si>
  <si>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</si>
  <si>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</si>
  <si>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</si>
  <si>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</si>
  <si>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</si>
  <si>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</si>
  <si>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</si>
  <si>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</si>
  <si>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</si>
  <si>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</si>
  <si>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</si>
  <si>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2603-769176</t>
  </si>
  <si>
    <t>TAYVJ1414</t>
  </si>
  <si>
    <t>2603-769740</t>
  </si>
  <si>
    <t>GF000024</t>
  </si>
  <si>
    <t>LUMBER PLUS COMPANY</t>
  </si>
  <si>
    <t>CMKD165S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</si>
  <si>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</si>
  <si>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</si>
  <si>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</si>
  <si>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</si>
  <si>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</si>
  <si>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</si>
  <si>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</si>
  <si>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Cash Sales</t>
  </si>
  <si>
    <t>IPEKD1410S</t>
  </si>
  <si>
    <t>IPEKD1412S</t>
  </si>
  <si>
    <t>IPEKD1418S</t>
  </si>
  <si>
    <t>2604-777013</t>
  </si>
  <si>
    <t>TCRNGOPX1614</t>
  </si>
  <si>
    <t>TCRNGOPX1618</t>
  </si>
  <si>
    <t>2604-780260</t>
  </si>
  <si>
    <t>IPEBTILE2424</t>
  </si>
  <si>
    <t>2605-787682</t>
  </si>
  <si>
    <t>TAYLNGVJ1613</t>
  </si>
  <si>
    <t>2606-792598</t>
  </si>
  <si>
    <t>CMTILE2424</t>
  </si>
  <si>
    <t>IPE2212S</t>
  </si>
  <si>
    <t>IPE2218S</t>
  </si>
  <si>
    <t>IPE2410S</t>
  </si>
  <si>
    <t>IPE2414S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</si>
  <si>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</si>
  <si>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</si>
  <si>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</si>
  <si>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</si>
  <si>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</si>
  <si>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</si>
  <si>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</si>
  <si>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</si>
  <si>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</si>
  <si>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</si>
  <si>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</si>
  <si>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2606-794485</t>
  </si>
  <si>
    <t>RUSSIN LUMBER COMPANY</t>
  </si>
  <si>
    <t>IPEKD541214S</t>
  </si>
  <si>
    <t>2606-795531</t>
  </si>
  <si>
    <t>LUMBER PALM BEACH</t>
  </si>
  <si>
    <t>TAYLNGVJ169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</si>
  <si>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</si>
  <si>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</si>
  <si>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</si>
  <si>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</si>
  <si>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</si>
  <si>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</si>
  <si>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</si>
  <si>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</si>
  <si>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</si>
  <si>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</si>
  <si>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</si>
  <si>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</si>
  <si>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</si>
  <si>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</si>
  <si>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</si>
  <si>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</si>
  <si>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</si>
  <si>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</si>
  <si>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2606-796915</t>
  </si>
  <si>
    <t>IPE2612S</t>
  </si>
  <si>
    <t>2606-797452</t>
  </si>
  <si>
    <t>TAYL166S</t>
  </si>
  <si>
    <t>TAYL167S</t>
  </si>
  <si>
    <t>TAYL168S</t>
  </si>
  <si>
    <t>TAYL169S</t>
  </si>
  <si>
    <t>TAYL1610S</t>
  </si>
  <si>
    <t>TAYL1613S</t>
  </si>
  <si>
    <t>TAYL1614S</t>
  </si>
  <si>
    <t>TAYL1615S</t>
  </si>
  <si>
    <t>TAYL1616S</t>
  </si>
  <si>
    <t>2606-798712</t>
  </si>
  <si>
    <t>2607-798929</t>
  </si>
  <si>
    <t>CWP ARCHITECTURAL</t>
  </si>
  <si>
    <t>IPE4410S</t>
  </si>
  <si>
    <t>2607-799407</t>
  </si>
  <si>
    <t>CMKD2114512S</t>
  </si>
  <si>
    <t>2607-799964</t>
  </si>
  <si>
    <t>TSPRUCE1814S</t>
  </si>
  <si>
    <t>GF000029</t>
  </si>
  <si>
    <t>TAYLNGVJ1615</t>
  </si>
  <si>
    <t>TAYLTG167CL5</t>
  </si>
  <si>
    <t>TAYLTG1612CL5</t>
  </si>
  <si>
    <t>2607-802750</t>
  </si>
  <si>
    <t>NXCLBB16</t>
  </si>
  <si>
    <t>2607-802788</t>
  </si>
  <si>
    <t>TAYJPLL11016</t>
  </si>
  <si>
    <t>TAYJPLL11017</t>
  </si>
  <si>
    <t>2607-803534</t>
  </si>
  <si>
    <t>TAYL1611S</t>
  </si>
  <si>
    <t>TAYL1612S</t>
  </si>
  <si>
    <t>TAYL164S</t>
  </si>
  <si>
    <t>2607-805031</t>
  </si>
  <si>
    <t>TAYJPLLVJNG1614</t>
  </si>
  <si>
    <t>2607-805132</t>
  </si>
  <si>
    <t>TAYCNGVJ1614</t>
  </si>
  <si>
    <t>TAYCNGVJ168</t>
  </si>
  <si>
    <t>2607-805878</t>
  </si>
  <si>
    <t>2607-805920</t>
  </si>
  <si>
    <t>GF000016</t>
  </si>
  <si>
    <t>HARDWOODS USLP - PERRIS</t>
  </si>
  <si>
    <t>IPEKD1810S</t>
  </si>
  <si>
    <t>IPEKD1812S</t>
  </si>
  <si>
    <t>IPEKD1816S</t>
  </si>
  <si>
    <t>IPE248S</t>
  </si>
  <si>
    <t>IPE2614S</t>
  </si>
  <si>
    <t>TAYJPLL11010</t>
  </si>
  <si>
    <t>TAYJPLL11011</t>
  </si>
  <si>
    <t>TAYJPLL11014</t>
  </si>
  <si>
    <t>2607-805926</t>
  </si>
  <si>
    <t>IPE2418S</t>
  </si>
  <si>
    <t>IPE2420S</t>
  </si>
  <si>
    <t>2607-806246</t>
  </si>
  <si>
    <t>TAYLVJ1613</t>
  </si>
  <si>
    <t>TAYLVJ1618</t>
  </si>
  <si>
    <t>2607-806271</t>
  </si>
  <si>
    <t>2607-806303</t>
  </si>
  <si>
    <t>2608-806784</t>
  </si>
  <si>
    <t>TAYL165S</t>
  </si>
  <si>
    <t>2608-806797</t>
  </si>
  <si>
    <t>GLOBAL LBM</t>
  </si>
  <si>
    <t>TAY5447S</t>
  </si>
  <si>
    <t>TAY5449S</t>
  </si>
  <si>
    <t>TAY54411S</t>
  </si>
  <si>
    <t>IPEKD54614S</t>
  </si>
  <si>
    <t>IPEKD54612S</t>
  </si>
  <si>
    <t>IPEKD54616S</t>
  </si>
  <si>
    <t>IPEKD54620S</t>
  </si>
  <si>
    <t>IPEKD5468TK</t>
  </si>
  <si>
    <t>IPEKD54610TK</t>
  </si>
  <si>
    <t>IPEKD1612S</t>
  </si>
  <si>
    <t>IPEKD1616S</t>
  </si>
  <si>
    <t>IPEKD54618S</t>
  </si>
  <si>
    <t>IPEKD54612G</t>
  </si>
  <si>
    <t>IPEKD54616G</t>
  </si>
  <si>
    <t>IPEKD54618G</t>
  </si>
  <si>
    <t>TCRNGOPX1615</t>
  </si>
  <si>
    <t>TCRNGOPX169</t>
  </si>
  <si>
    <t>TPNGVJ167</t>
  </si>
  <si>
    <t>TPVJ58412S</t>
  </si>
  <si>
    <t>TPVJ58414S</t>
  </si>
  <si>
    <t>TPVJ58415S</t>
  </si>
  <si>
    <t>IPEKD1610S</t>
  </si>
  <si>
    <t>IPEKD1614S</t>
  </si>
  <si>
    <t>IPEKD1618S</t>
  </si>
  <si>
    <t>IPEKD1620S</t>
  </si>
  <si>
    <t>IPEKD1622S</t>
  </si>
  <si>
    <t>TAYLTG1611CL5</t>
  </si>
  <si>
    <t>TAYLTG1613CL5</t>
  </si>
  <si>
    <t>TA166SSEM</t>
  </si>
  <si>
    <t>TA167SSEM</t>
  </si>
  <si>
    <t>TA168SSEM</t>
  </si>
  <si>
    <t>TA169SSEM</t>
  </si>
  <si>
    <t>TA1610SSEM</t>
  </si>
  <si>
    <t>TA1611SSEM</t>
  </si>
  <si>
    <t>TA1613SSEM</t>
  </si>
  <si>
    <t>2608-807641</t>
  </si>
  <si>
    <t>GF000001</t>
  </si>
  <si>
    <t>ACCORD LUMBER COMPANY</t>
  </si>
  <si>
    <t>GPKD1610S</t>
  </si>
  <si>
    <t>GPKD1611S</t>
  </si>
  <si>
    <t>GPKD1613S</t>
  </si>
  <si>
    <t>GPKD1615S</t>
  </si>
  <si>
    <t>GPKD168S</t>
  </si>
  <si>
    <t>TCRNGOPX164</t>
  </si>
  <si>
    <t>IPEKD5468S</t>
  </si>
  <si>
    <t>IPEKD5468G</t>
  </si>
  <si>
    <t>IPEKD54610G</t>
  </si>
  <si>
    <t>IPEKD54614G</t>
  </si>
  <si>
    <t>IPEKD54620G</t>
  </si>
  <si>
    <t>IPEKD54622G</t>
  </si>
  <si>
    <t>2608-807955</t>
  </si>
  <si>
    <t>GF000030</t>
  </si>
  <si>
    <t>UNITTA EXOTIQUE WOODS</t>
  </si>
  <si>
    <t>CMKD1610MS</t>
  </si>
  <si>
    <t>CMKD1612MS</t>
  </si>
  <si>
    <t>CMKD1614MS</t>
  </si>
  <si>
    <t>CMKD1616MS</t>
  </si>
  <si>
    <t>CMKD1618MS</t>
  </si>
  <si>
    <t>CMKD1620MS</t>
  </si>
  <si>
    <t>2608-808381</t>
  </si>
  <si>
    <t>2608-808645</t>
  </si>
  <si>
    <t>2608-808728</t>
  </si>
  <si>
    <t>TAYJPLLVJNG1611</t>
  </si>
  <si>
    <t>TAYJPLLVJNG1612</t>
  </si>
  <si>
    <t>TAYJPLLVJNG1613</t>
  </si>
  <si>
    <t>NXPCLIPE16</t>
  </si>
  <si>
    <t>NXCLPN16</t>
  </si>
  <si>
    <t>NXCLFACH16</t>
  </si>
  <si>
    <t>NXCLFADB16</t>
  </si>
  <si>
    <t>NXCLFAGR16</t>
  </si>
  <si>
    <t>NXCLFALB16</t>
  </si>
  <si>
    <t>NXPCLTE16</t>
  </si>
  <si>
    <t>2608-808920</t>
  </si>
  <si>
    <t>GF000023</t>
  </si>
  <si>
    <t>LUMBER PLUS BOSTON</t>
  </si>
  <si>
    <t>IPE4414S</t>
  </si>
  <si>
    <t>CMKD168MS</t>
  </si>
  <si>
    <t>TAYJPLLVJNG1616</t>
  </si>
  <si>
    <t>TAYDVJ1612</t>
  </si>
  <si>
    <t>IPE3616S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</si>
  <si>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</si>
  <si>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</si>
  <si>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</si>
  <si>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</si>
  <si>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</si>
  <si>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</si>
  <si>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</si>
  <si>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</si>
  <si>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</si>
  <si>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Length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</si>
  <si>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</si>
  <si>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</si>
  <si>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</si>
  <si>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</si>
  <si>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</si>
  <si>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</si>
  <si>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</si>
  <si>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</si>
  <si>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</si>
  <si>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</si>
  <si>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</si>
  <si>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</si>
  <si>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</si>
  <si>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</si>
  <si>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</si>
  <si>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</si>
  <si>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</si>
  <si>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</si>
  <si>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</si>
  <si>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</si>
  <si>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</si>
  <si>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</si>
  <si>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</si>
  <si>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</si>
  <si>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</si>
  <si>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</si>
  <si>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</si>
  <si>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</si>
  <si>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</si>
  <si>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</si>
  <si>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</si>
  <si>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</si>
  <si>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</si>
  <si>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</si>
  <si>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</si>
  <si>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</si>
  <si>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</si>
  <si>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</si>
  <si>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</si>
  <si>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</si>
  <si>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</si>
  <si>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</si>
  <si>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</si>
  <si>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</si>
  <si>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</si>
  <si>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</si>
  <si>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</si>
  <si>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</si>
  <si>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</si>
  <si>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</si>
  <si>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</si>
  <si>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</si>
  <si>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</si>
  <si>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</si>
  <si>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</si>
  <si>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</si>
  <si>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</si>
  <si>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</si>
  <si>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</si>
  <si>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</si>
  <si>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</si>
  <si>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</si>
  <si>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</si>
  <si>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</si>
  <si>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</si>
  <si>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</si>
  <si>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</si>
  <si>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</si>
  <si>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</si>
  <si>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</si>
  <si>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</si>
  <si>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</si>
  <si>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</si>
  <si>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</si>
  <si>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</si>
  <si>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</si>
  <si>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</si>
  <si>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</si>
  <si>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</si>
  <si>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</si>
  <si>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</si>
  <si>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</si>
  <si>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</si>
  <si>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</si>
  <si>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</si>
  <si>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</si>
  <si>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</si>
  <si>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</si>
  <si>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</si>
  <si>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</si>
  <si>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</si>
  <si>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</si>
  <si>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</si>
  <si>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</si>
  <si>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</si>
  <si>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</si>
  <si>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</si>
  <si>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</si>
  <si>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</si>
  <si>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</si>
  <si>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</si>
  <si>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</si>
  <si>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</si>
  <si>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</si>
  <si>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</si>
  <si>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</si>
  <si>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</si>
  <si>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</si>
  <si>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</si>
  <si>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</si>
  <si>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</si>
  <si>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</si>
  <si>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</si>
  <si>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</si>
  <si>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</si>
  <si>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</si>
  <si>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</si>
  <si>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</si>
  <si>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</si>
  <si>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</si>
  <si>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</si>
  <si>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</si>
  <si>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</si>
  <si>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</si>
  <si>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</si>
  <si>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</si>
  <si>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</si>
  <si>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</si>
  <si>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</si>
  <si>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</si>
  <si>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</si>
  <si>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</si>
  <si>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</si>
  <si>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</si>
  <si>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</si>
  <si>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</si>
  <si>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</si>
  <si>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</si>
  <si>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</si>
  <si>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</si>
  <si>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</si>
  <si>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</si>
  <si>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</si>
  <si>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</si>
  <si>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</si>
  <si>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</si>
  <si>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</si>
  <si>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</si>
  <si>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</si>
  <si>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</si>
  <si>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</si>
  <si>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</si>
  <si>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</si>
  <si>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</si>
  <si>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</si>
  <si>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</si>
  <si>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</si>
  <si>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</si>
  <si>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</si>
  <si>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</si>
  <si>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</si>
  <si>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</si>
  <si>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</si>
  <si>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</si>
  <si>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</si>
  <si>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</si>
  <si>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</si>
  <si>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</si>
  <si>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</si>
  <si>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</si>
  <si>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</si>
  <si>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</si>
  <si>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</si>
  <si>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</si>
  <si>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</si>
  <si>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</si>
  <si>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</si>
  <si>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</si>
  <si>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</si>
  <si>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</si>
  <si>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</si>
  <si>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</si>
  <si>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</si>
  <si>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</si>
  <si>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</si>
  <si>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</si>
  <si>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</si>
  <si>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</si>
  <si>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</si>
  <si>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</si>
  <si>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</si>
  <si>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</si>
  <si>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</si>
  <si>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</si>
  <si>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</si>
  <si>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</si>
  <si>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</si>
  <si>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</si>
  <si>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</si>
  <si>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</si>
  <si>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</si>
  <si>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</si>
  <si>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</si>
  <si>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</si>
  <si>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</si>
  <si>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</si>
  <si>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</si>
  <si>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</si>
  <si>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</si>
  <si>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</si>
  <si>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</si>
  <si>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</si>
  <si>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</si>
  <si>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</si>
  <si>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</si>
  <si>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</si>
  <si>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</si>
  <si>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</si>
  <si>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</si>
  <si>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</si>
  <si>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</si>
  <si>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</si>
  <si>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</si>
  <si>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</si>
  <si>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</si>
  <si>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</si>
  <si>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</si>
  <si>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</si>
  <si>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</si>
  <si>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</si>
  <si>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</si>
  <si>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</si>
  <si>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</si>
  <si>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</si>
  <si>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</si>
  <si>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</si>
  <si>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</si>
  <si>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</si>
  <si>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</si>
  <si>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</si>
  <si>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</si>
  <si>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</si>
  <si>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</si>
  <si>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</si>
  <si>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</si>
  <si>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</si>
  <si>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</si>
  <si>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</si>
  <si>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</si>
  <si>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</si>
  <si>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</si>
  <si>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</si>
  <si>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</si>
  <si>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</si>
  <si>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</si>
  <si>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</si>
  <si>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</si>
  <si>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</si>
  <si>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</si>
  <si>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</si>
  <si>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</si>
  <si>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</si>
  <si>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</si>
  <si>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</si>
  <si>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</si>
  <si>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</si>
  <si>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</si>
  <si>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</si>
  <si>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</si>
  <si>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</si>
  <si>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</si>
  <si>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</si>
  <si>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</si>
  <si>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</si>
  <si>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</si>
  <si>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</si>
  <si>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</si>
  <si>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</si>
  <si>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</si>
  <si>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</si>
  <si>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</si>
  <si>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</si>
  <si>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</si>
  <si>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</si>
  <si>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</si>
  <si>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</si>
  <si>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</si>
  <si>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</si>
  <si>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</si>
  <si>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</si>
  <si>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</si>
  <si>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</si>
  <si>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</si>
  <si>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</si>
  <si>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</si>
  <si>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</si>
  <si>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</si>
  <si>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</si>
  <si>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</si>
  <si>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</si>
  <si>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</si>
  <si>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</si>
  <si>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</si>
  <si>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</si>
  <si>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</si>
  <si>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</si>
  <si>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</si>
  <si>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</si>
  <si>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</si>
  <si>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</si>
  <si>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</si>
  <si>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</si>
  <si>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</si>
  <si>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</si>
  <si>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</si>
  <si>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</si>
  <si>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</si>
  <si>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</si>
  <si>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</si>
  <si>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</si>
  <si>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</si>
  <si>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</si>
  <si>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</si>
  <si>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</si>
  <si>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</si>
  <si>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</si>
  <si>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</si>
  <si>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</si>
  <si>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</si>
  <si>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</si>
  <si>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</si>
  <si>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</si>
  <si>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</si>
  <si>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</si>
  <si>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</si>
  <si>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</si>
  <si>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</si>
  <si>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</si>
  <si>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</si>
  <si>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</si>
  <si>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</si>
  <si>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</si>
  <si>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</si>
  <si>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</si>
  <si>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</si>
  <si>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</si>
  <si>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</si>
  <si>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</si>
  <si>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</si>
  <si>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</si>
  <si>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</si>
  <si>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</si>
  <si>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</si>
  <si>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</si>
  <si>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</si>
  <si>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</si>
  <si>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</si>
  <si>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</si>
  <si>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</si>
  <si>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</si>
  <si>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</si>
  <si>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</si>
  <si>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</si>
  <si>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</si>
  <si>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</si>
  <si>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</si>
  <si>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</si>
  <si>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</si>
  <si>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</si>
  <si>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</si>
  <si>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</si>
  <si>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</si>
  <si>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</si>
  <si>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</si>
  <si>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</si>
  <si>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</si>
  <si>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</si>
  <si>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</si>
  <si>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</si>
  <si>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</si>
  <si>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</si>
  <si>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</si>
  <si>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</si>
  <si>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</si>
  <si>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</si>
  <si>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</si>
  <si>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</si>
  <si>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</si>
  <si>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</si>
  <si>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</si>
  <si>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</si>
  <si>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</si>
  <si>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CMKD163S</t>
  </si>
  <si>
    <t>CMKD164S</t>
  </si>
  <si>
    <t>CMKD166S</t>
  </si>
  <si>
    <t>CMKD167S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</si>
  <si>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</si>
  <si>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</si>
  <si>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</si>
  <si>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</si>
  <si>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</si>
  <si>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</si>
  <si>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</si>
  <si>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</si>
  <si>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</si>
  <si>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</si>
  <si>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</si>
  <si>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</si>
  <si>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</si>
  <si>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</si>
  <si>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</si>
  <si>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</si>
  <si>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</si>
  <si>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</si>
  <si>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</si>
  <si>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</si>
  <si>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</si>
  <si>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</si>
  <si>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</si>
  <si>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</si>
  <si>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</si>
  <si>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</si>
  <si>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</si>
  <si>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CMKD2114510S</t>
  </si>
  <si>
    <t>Cumaru S4S E4E 21x145</t>
  </si>
  <si>
    <t>21x145</t>
  </si>
  <si>
    <t>CMKD2114511S</t>
  </si>
  <si>
    <t>CMKD2114513S</t>
  </si>
  <si>
    <t>CMKD2114514S</t>
  </si>
  <si>
    <t>CMKD2114515S</t>
  </si>
  <si>
    <t>CMKD2114516S</t>
  </si>
  <si>
    <t>CMKD2114517S</t>
  </si>
  <si>
    <t>CMKD2114518S</t>
  </si>
  <si>
    <t>CMKD2114519S</t>
  </si>
  <si>
    <t>CMKD2114520S</t>
  </si>
  <si>
    <t>CMKD211456S</t>
  </si>
  <si>
    <t>CMKD211457S</t>
  </si>
  <si>
    <t>CMKD211458S</t>
  </si>
  <si>
    <t>CMKD211459S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</si>
  <si>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</si>
  <si>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</si>
  <si>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</si>
  <si>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</si>
  <si>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</si>
  <si>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</si>
  <si>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</si>
  <si>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</si>
  <si>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</si>
  <si>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</si>
  <si>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</si>
  <si>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</si>
  <si>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</si>
  <si>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</si>
  <si>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</si>
  <si>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</si>
  <si>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</si>
  <si>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</si>
  <si>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</si>
  <si>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</si>
  <si>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</si>
  <si>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</si>
  <si>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</si>
  <si>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</si>
  <si>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</si>
  <si>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</si>
  <si>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</si>
  <si>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</si>
  <si>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</si>
  <si>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</si>
  <si>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</si>
  <si>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</si>
  <si>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</si>
  <si>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</si>
  <si>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</si>
  <si>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</si>
  <si>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</si>
  <si>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</si>
  <si>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</si>
  <si>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</si>
  <si>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</si>
  <si>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</si>
  <si>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</si>
  <si>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</si>
  <si>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</si>
  <si>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</si>
  <si>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</si>
  <si>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</si>
  <si>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</si>
  <si>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</si>
  <si>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</si>
  <si>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</si>
  <si>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</si>
  <si>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</si>
  <si>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</si>
  <si>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</si>
  <si>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</si>
  <si>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</si>
  <si>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</si>
  <si>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</si>
  <si>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</si>
  <si>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</si>
  <si>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</si>
  <si>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</si>
  <si>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</si>
  <si>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</si>
  <si>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</si>
  <si>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</si>
  <si>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</si>
  <si>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</si>
  <si>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</si>
  <si>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</si>
  <si>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</si>
  <si>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</si>
  <si>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</si>
  <si>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</si>
  <si>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</si>
  <si>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</si>
  <si>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</si>
  <si>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</si>
  <si>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</si>
  <si>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</si>
  <si>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</si>
  <si>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</si>
  <si>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</si>
  <si>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</si>
  <si>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</si>
  <si>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CMKD2412S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</si>
  <si>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</si>
  <si>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</si>
  <si>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</si>
  <si>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</si>
  <si>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</si>
  <si>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</si>
  <si>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</si>
  <si>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</si>
  <si>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</si>
  <si>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</si>
  <si>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</si>
  <si>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</si>
  <si>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</si>
  <si>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</si>
  <si>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</si>
  <si>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</si>
  <si>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</si>
  <si>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</si>
  <si>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</si>
  <si>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</si>
  <si>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</si>
  <si>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</si>
  <si>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</si>
  <si>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</si>
  <si>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</si>
  <si>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</si>
  <si>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</si>
  <si>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</si>
  <si>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</si>
  <si>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</si>
  <si>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</si>
  <si>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</si>
  <si>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</si>
  <si>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</si>
  <si>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</si>
  <si>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</si>
  <si>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</si>
  <si>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</si>
  <si>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</si>
  <si>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</si>
  <si>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</si>
  <si>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</si>
  <si>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</si>
  <si>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</si>
  <si>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</si>
  <si>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</si>
  <si>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</si>
  <si>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</si>
  <si>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</si>
  <si>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</si>
  <si>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</si>
  <si>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</si>
  <si>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</si>
  <si>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</si>
  <si>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</si>
  <si>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</si>
  <si>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</si>
  <si>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</si>
  <si>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</si>
  <si>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</si>
  <si>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</si>
  <si>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</si>
  <si>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</si>
  <si>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</si>
  <si>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</si>
  <si>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</si>
  <si>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</si>
  <si>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</si>
  <si>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</si>
  <si>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</si>
  <si>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</si>
  <si>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</si>
  <si>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</si>
  <si>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</si>
  <si>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</si>
  <si>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</si>
  <si>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</si>
  <si>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</si>
  <si>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</si>
  <si>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</si>
  <si>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</si>
  <si>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</si>
  <si>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</si>
  <si>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</si>
  <si>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</si>
  <si>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</si>
  <si>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</si>
  <si>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</si>
  <si>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</si>
  <si>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</si>
  <si>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</si>
  <si>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</si>
  <si>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</si>
  <si>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</si>
  <si>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</si>
  <si>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</si>
  <si>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</si>
  <si>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</si>
  <si>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</si>
  <si>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</si>
  <si>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</si>
  <si>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</si>
  <si>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</si>
  <si>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</si>
  <si>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</si>
  <si>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</si>
  <si>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</si>
  <si>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</si>
  <si>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</si>
  <si>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</si>
  <si>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</si>
  <si>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</si>
  <si>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</si>
  <si>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</si>
  <si>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</si>
  <si>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</si>
  <si>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</si>
  <si>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</si>
  <si>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</si>
  <si>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</si>
  <si>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</si>
  <si>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</si>
  <si>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</si>
  <si>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</si>
  <si>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</si>
  <si>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</si>
  <si>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</si>
  <si>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</si>
  <si>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</si>
  <si>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</si>
  <si>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</si>
  <si>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</si>
  <si>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</si>
  <si>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</si>
  <si>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</si>
  <si>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</si>
  <si>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</si>
  <si>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</si>
  <si>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</si>
  <si>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</si>
  <si>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</si>
  <si>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</si>
  <si>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</si>
  <si>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</si>
  <si>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</si>
  <si>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</si>
  <si>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</si>
  <si>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</si>
  <si>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</si>
  <si>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</si>
  <si>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</si>
  <si>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</si>
  <si>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</si>
  <si>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</si>
  <si>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</si>
  <si>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</si>
  <si>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</si>
  <si>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</si>
  <si>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</si>
  <si>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</si>
  <si>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</si>
  <si>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</si>
  <si>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</si>
  <si>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</si>
  <si>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</si>
  <si>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</si>
  <si>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</si>
  <si>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</si>
  <si>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</si>
  <si>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</si>
  <si>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</si>
  <si>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</si>
  <si>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</si>
  <si>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</si>
  <si>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</si>
  <si>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</si>
  <si>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</si>
  <si>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</si>
  <si>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</si>
  <si>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</si>
  <si>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</si>
  <si>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</si>
  <si>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</si>
  <si>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</si>
  <si>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</si>
  <si>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</si>
  <si>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</si>
  <si>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</si>
  <si>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</si>
  <si>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</si>
  <si>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</si>
  <si>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</si>
  <si>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</si>
  <si>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</si>
  <si>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</si>
  <si>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</si>
  <si>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</si>
  <si>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</si>
  <si>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</si>
  <si>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</si>
  <si>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</si>
  <si>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</si>
  <si>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</si>
  <si>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</si>
  <si>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</si>
  <si>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</si>
  <si>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</si>
  <si>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</si>
  <si>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</si>
  <si>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</si>
  <si>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</si>
  <si>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</si>
  <si>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</si>
  <si>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</si>
  <si>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</si>
  <si>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</si>
  <si>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</si>
  <si>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</si>
  <si>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</si>
  <si>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</si>
  <si>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</si>
  <si>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</si>
  <si>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</si>
  <si>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</si>
  <si>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</si>
  <si>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</si>
  <si>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</si>
  <si>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</si>
  <si>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</si>
  <si>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</si>
  <si>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</si>
  <si>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</si>
  <si>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</si>
  <si>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</si>
  <si>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</si>
  <si>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</si>
  <si>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</si>
  <si>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</si>
  <si>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</si>
  <si>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</si>
  <si>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</si>
  <si>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</si>
  <si>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</si>
  <si>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</si>
  <si>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</si>
  <si>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</si>
  <si>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</si>
  <si>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</si>
  <si>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</si>
  <si>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</si>
  <si>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</si>
  <si>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</si>
  <si>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</si>
  <si>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</si>
  <si>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</si>
  <si>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</si>
  <si>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</si>
  <si>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</si>
  <si>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</si>
  <si>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</si>
  <si>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</si>
  <si>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</si>
  <si>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</si>
  <si>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</si>
  <si>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</si>
  <si>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</si>
  <si>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</si>
  <si>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</si>
  <si>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</si>
  <si>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</si>
  <si>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</si>
  <si>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</si>
  <si>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</si>
  <si>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</si>
  <si>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</si>
  <si>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</si>
  <si>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</si>
  <si>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</si>
  <si>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</si>
  <si>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</si>
  <si>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</si>
  <si>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</si>
  <si>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</si>
  <si>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</si>
  <si>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</si>
  <si>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</si>
  <si>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</si>
  <si>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</si>
  <si>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</si>
  <si>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</si>
  <si>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</si>
  <si>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</si>
  <si>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</si>
  <si>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</si>
  <si>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</si>
  <si>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</si>
  <si>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</si>
  <si>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</si>
  <si>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</si>
  <si>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</si>
  <si>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</si>
  <si>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</si>
  <si>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</si>
  <si>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</si>
  <si>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</si>
  <si>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</si>
  <si>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</si>
  <si>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</si>
  <si>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</si>
  <si>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</si>
  <si>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CMKD54616S</t>
  </si>
  <si>
    <t>CMKD54617S</t>
  </si>
  <si>
    <t>CMKD54619S</t>
  </si>
  <si>
    <t>CMKD54620S</t>
  </si>
  <si>
    <t>CMKD54621S</t>
  </si>
  <si>
    <t>CMKD54622S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</si>
  <si>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</si>
  <si>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</si>
  <si>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</si>
  <si>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</si>
  <si>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</si>
  <si>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</si>
  <si>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</si>
  <si>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</si>
  <si>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</si>
  <si>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</si>
  <si>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</si>
  <si>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</si>
  <si>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</si>
  <si>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</si>
  <si>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</si>
  <si>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</si>
  <si>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</si>
  <si>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</si>
  <si>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</si>
  <si>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</si>
  <si>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</si>
  <si>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</si>
  <si>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</si>
  <si>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</si>
  <si>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</si>
  <si>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</si>
  <si>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</si>
  <si>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</si>
  <si>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</si>
  <si>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</si>
  <si>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</si>
  <si>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</si>
  <si>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</si>
  <si>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</si>
  <si>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</si>
  <si>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</si>
  <si>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</si>
  <si>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</si>
  <si>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</si>
  <si>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</si>
  <si>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</si>
  <si>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</si>
  <si>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</si>
  <si>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</si>
  <si>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</si>
  <si>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</si>
  <si>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</si>
  <si>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</si>
  <si>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</si>
  <si>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</si>
  <si>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</si>
  <si>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</si>
  <si>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</si>
  <si>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</si>
  <si>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</si>
  <si>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</si>
  <si>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</si>
  <si>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</si>
  <si>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</si>
  <si>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</si>
  <si>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</si>
  <si>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</si>
  <si>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</si>
  <si>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</si>
  <si>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</si>
  <si>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</si>
  <si>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</si>
  <si>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</si>
  <si>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</si>
  <si>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</si>
  <si>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</si>
  <si>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</si>
  <si>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</si>
  <si>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</si>
  <si>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</si>
  <si>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</si>
  <si>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</si>
  <si>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</si>
  <si>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</si>
  <si>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</si>
  <si>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</si>
  <si>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</si>
  <si>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</si>
  <si>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</si>
  <si>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</si>
  <si>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</si>
  <si>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</si>
  <si>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</si>
  <si>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</si>
  <si>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</si>
  <si>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</si>
  <si>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</si>
  <si>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</si>
  <si>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</si>
  <si>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</si>
  <si>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</si>
  <si>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</si>
  <si>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</si>
  <si>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</si>
  <si>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</si>
  <si>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</si>
  <si>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</si>
  <si>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</si>
  <si>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</si>
  <si>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</si>
  <si>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</si>
  <si>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</si>
  <si>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</si>
  <si>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</si>
  <si>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</si>
  <si>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</si>
  <si>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</si>
  <si>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</si>
  <si>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</si>
  <si>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</si>
  <si>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</si>
  <si>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</si>
  <si>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</si>
  <si>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</si>
  <si>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CM8816S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</si>
  <si>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</si>
  <si>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</si>
  <si>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</si>
  <si>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</si>
  <si>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</si>
  <si>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</si>
  <si>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</si>
  <si>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</si>
  <si>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</si>
  <si>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</si>
  <si>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</si>
  <si>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CM888S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</si>
  <si>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</si>
  <si>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</si>
  <si>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</si>
  <si>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</si>
  <si>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</si>
  <si>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</si>
  <si>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</si>
  <si>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</si>
  <si>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</si>
  <si>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</si>
  <si>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</si>
  <si>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</si>
  <si>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</si>
  <si>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</si>
  <si>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</si>
  <si>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</si>
  <si>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</si>
  <si>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</si>
  <si>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</si>
  <si>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</si>
  <si>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</si>
  <si>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</si>
  <si>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</si>
  <si>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</si>
  <si>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</si>
  <si>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</si>
  <si>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</si>
  <si>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</si>
  <si>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</si>
  <si>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</si>
  <si>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</si>
  <si>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</si>
  <si>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</si>
  <si>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</si>
  <si>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</si>
  <si>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</si>
  <si>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</si>
  <si>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</si>
  <si>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</si>
  <si>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</si>
  <si>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</si>
  <si>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</si>
  <si>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</si>
  <si>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</si>
  <si>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</si>
  <si>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</si>
  <si>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</si>
  <si>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</si>
  <si>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</si>
  <si>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</si>
  <si>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</si>
  <si>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</si>
  <si>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</si>
  <si>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</si>
  <si>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</si>
  <si>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</si>
  <si>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</si>
  <si>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</si>
  <si>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</si>
  <si>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</si>
  <si>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</si>
  <si>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</si>
  <si>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</si>
  <si>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</si>
  <si>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</si>
  <si>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</si>
  <si>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</si>
  <si>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</si>
  <si>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</si>
  <si>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</si>
  <si>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</si>
  <si>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</si>
  <si>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</si>
  <si>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</si>
  <si>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</si>
  <si>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</si>
  <si>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</si>
  <si>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</si>
  <si>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</si>
  <si>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</si>
  <si>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</si>
  <si>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</si>
  <si>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</si>
  <si>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</si>
  <si>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</si>
  <si>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</si>
  <si>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</si>
  <si>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</si>
  <si>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</si>
  <si>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</si>
  <si>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</si>
  <si>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</si>
  <si>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</si>
  <si>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</si>
  <si>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</si>
  <si>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</si>
  <si>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</si>
  <si>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</si>
  <si>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</si>
  <si>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</si>
  <si>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</si>
  <si>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</si>
  <si>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</si>
  <si>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</si>
  <si>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</si>
  <si>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</si>
  <si>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</si>
  <si>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</si>
  <si>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</si>
  <si>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</si>
  <si>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</si>
  <si>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</si>
  <si>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</si>
  <si>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</si>
  <si>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</si>
  <si>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</si>
  <si>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</si>
  <si>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</si>
  <si>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</si>
  <si>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</si>
  <si>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</si>
  <si>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</si>
  <si>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</si>
  <si>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</si>
  <si>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</si>
  <si>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</si>
  <si>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</si>
  <si>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</si>
  <si>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</si>
  <si>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</si>
  <si>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</si>
  <si>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</si>
  <si>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</si>
  <si>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</si>
  <si>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</si>
  <si>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</si>
  <si>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</si>
  <si>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</si>
  <si>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</si>
  <si>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</si>
  <si>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</si>
  <si>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</si>
  <si>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</si>
  <si>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</si>
  <si>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</si>
  <si>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</si>
  <si>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</si>
  <si>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</si>
  <si>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</si>
  <si>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</si>
  <si>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</si>
  <si>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</si>
  <si>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</si>
  <si>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</si>
  <si>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</si>
  <si>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</si>
  <si>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</si>
  <si>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</si>
  <si>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</si>
  <si>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</si>
  <si>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</si>
  <si>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</si>
  <si>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</si>
  <si>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</si>
  <si>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</si>
  <si>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</si>
  <si>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</si>
  <si>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</si>
  <si>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</si>
  <si>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</si>
  <si>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</si>
  <si>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</si>
  <si>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</si>
  <si>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</si>
  <si>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</si>
  <si>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</si>
  <si>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</si>
  <si>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</si>
  <si>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</si>
  <si>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</si>
  <si>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</si>
  <si>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</si>
  <si>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</si>
  <si>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</si>
  <si>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</si>
  <si>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</si>
  <si>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</si>
  <si>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</si>
  <si>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</si>
  <si>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</si>
  <si>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</si>
  <si>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</si>
  <si>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</si>
  <si>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</si>
  <si>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</si>
  <si>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</si>
  <si>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</si>
  <si>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</si>
  <si>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</si>
  <si>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</si>
  <si>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</si>
  <si>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</si>
  <si>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</si>
  <si>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</si>
  <si>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</si>
  <si>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</si>
  <si>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</si>
  <si>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</si>
  <si>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</si>
  <si>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</si>
  <si>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</si>
  <si>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</si>
  <si>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</si>
  <si>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</si>
  <si>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</si>
  <si>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</si>
  <si>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</si>
  <si>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</si>
  <si>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</si>
  <si>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</si>
  <si>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</si>
  <si>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</si>
  <si>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</si>
  <si>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</si>
  <si>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</si>
  <si>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</si>
  <si>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</si>
  <si>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</si>
  <si>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</si>
  <si>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</si>
  <si>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</si>
  <si>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</si>
  <si>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</si>
  <si>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</si>
  <si>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</si>
  <si>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</si>
  <si>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</si>
  <si>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</si>
  <si>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</si>
  <si>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</si>
  <si>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</si>
  <si>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</si>
  <si>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</si>
  <si>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</si>
  <si>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 S4S E4E 1x6</t>
  </si>
  <si>
    <t>IPEKD1611S</t>
  </si>
  <si>
    <t>IPEKD1613S</t>
  </si>
  <si>
    <t>IPEKD1615S</t>
  </si>
  <si>
    <t>IPEKD1617S</t>
  </si>
  <si>
    <t>IPEKD1619S</t>
  </si>
  <si>
    <t>IPEKD1621S</t>
  </si>
  <si>
    <t>IPEKD163S</t>
  </si>
  <si>
    <t>IPEKD165S</t>
  </si>
  <si>
    <t>IPEKD167S</t>
  </si>
  <si>
    <t>IPEKD169S</t>
  </si>
  <si>
    <t>Ipe 1x8</t>
  </si>
  <si>
    <t>Ipe S4S E4E 1x8</t>
  </si>
  <si>
    <t>IPEKD1811S</t>
  </si>
  <si>
    <t>IPEKD1813S</t>
  </si>
  <si>
    <t>IPEKD1814S</t>
  </si>
  <si>
    <t>IPEKD1815S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</si>
  <si>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</si>
  <si>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</si>
  <si>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</si>
  <si>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</si>
  <si>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</si>
  <si>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</si>
  <si>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</si>
  <si>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</si>
  <si>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</si>
  <si>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</si>
  <si>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</si>
  <si>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</si>
  <si>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</si>
  <si>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</si>
  <si>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</si>
  <si>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</si>
  <si>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</si>
  <si>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</si>
  <si>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</si>
  <si>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</si>
  <si>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</si>
  <si>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</si>
  <si>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</si>
  <si>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</si>
  <si>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</si>
  <si>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</si>
  <si>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</si>
  <si>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</si>
  <si>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</si>
  <si>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</si>
  <si>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</si>
  <si>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</si>
  <si>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</si>
  <si>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</si>
  <si>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</si>
  <si>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</si>
  <si>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</si>
  <si>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</si>
  <si>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</si>
  <si>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</si>
  <si>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</si>
  <si>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</si>
  <si>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</si>
  <si>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</si>
  <si>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</si>
  <si>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</si>
  <si>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</si>
  <si>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</si>
  <si>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</si>
  <si>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</si>
  <si>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</si>
  <si>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</si>
  <si>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</si>
  <si>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</si>
  <si>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</si>
  <si>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</si>
  <si>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</si>
  <si>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IPE2210S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</si>
  <si>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</si>
  <si>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</si>
  <si>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</si>
  <si>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</si>
  <si>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</si>
  <si>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</si>
  <si>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</si>
  <si>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</si>
  <si>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</si>
  <si>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</si>
  <si>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</si>
  <si>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</si>
  <si>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</si>
  <si>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</si>
  <si>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</si>
  <si>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</si>
  <si>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</si>
  <si>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</si>
  <si>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</si>
  <si>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</si>
  <si>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</si>
  <si>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</si>
  <si>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</si>
  <si>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IPE2412S</t>
  </si>
  <si>
    <t>IPEKD2412S</t>
  </si>
  <si>
    <t>IPE2413S</t>
  </si>
  <si>
    <t>IPEKD2413S</t>
  </si>
  <si>
    <t>IPEKD2414S</t>
  </si>
  <si>
    <t>IPE2415S</t>
  </si>
  <si>
    <t>IPEKD2415S</t>
  </si>
  <si>
    <t>IPE2416S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</si>
  <si>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</si>
  <si>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</si>
  <si>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</si>
  <si>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</si>
  <si>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</si>
  <si>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</si>
  <si>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</si>
  <si>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</si>
  <si>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</si>
  <si>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IPE2422S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</si>
  <si>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</si>
  <si>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</si>
  <si>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</si>
  <si>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</si>
  <si>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</si>
  <si>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</si>
  <si>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</si>
  <si>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</si>
  <si>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</si>
  <si>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</si>
  <si>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</si>
  <si>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</si>
  <si>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</si>
  <si>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</si>
  <si>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</si>
  <si>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</si>
  <si>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</si>
  <si>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</si>
  <si>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</si>
  <si>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</si>
  <si>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</si>
  <si>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</si>
  <si>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</si>
  <si>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</si>
  <si>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IPE2616S</t>
  </si>
  <si>
    <t>IPEKD2616S</t>
  </si>
  <si>
    <t>IPE2617S</t>
  </si>
  <si>
    <t>IPEKD2617S</t>
  </si>
  <si>
    <t>IPEKD2618S</t>
  </si>
  <si>
    <t>IPE2619S</t>
  </si>
  <si>
    <t>IPEKD2619S</t>
  </si>
  <si>
    <t>IPE2620S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</si>
  <si>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</si>
  <si>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</si>
  <si>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</si>
  <si>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</si>
  <si>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</si>
  <si>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</si>
  <si>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</si>
  <si>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</si>
  <si>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</si>
  <si>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</si>
  <si>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</si>
  <si>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</si>
  <si>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</si>
  <si>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</si>
  <si>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</si>
  <si>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</si>
  <si>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</si>
  <si>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</si>
  <si>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</si>
  <si>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</si>
  <si>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</si>
  <si>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</si>
  <si>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</si>
  <si>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</si>
  <si>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</si>
  <si>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</si>
  <si>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</si>
  <si>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</si>
  <si>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</si>
  <si>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</si>
  <si>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</si>
  <si>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</si>
  <si>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</si>
  <si>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</si>
  <si>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</si>
  <si>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</si>
  <si>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</si>
  <si>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</si>
  <si>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</si>
  <si>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</si>
  <si>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</si>
  <si>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</si>
  <si>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</si>
  <si>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</si>
  <si>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</si>
  <si>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</si>
  <si>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</si>
  <si>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</si>
  <si>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</si>
  <si>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</si>
  <si>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</si>
  <si>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</si>
  <si>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</si>
  <si>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</si>
  <si>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</si>
  <si>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</si>
  <si>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</si>
  <si>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</si>
  <si>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</si>
  <si>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</si>
  <si>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</si>
  <si>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</si>
  <si>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</si>
  <si>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</si>
  <si>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</si>
  <si>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</si>
  <si>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</si>
  <si>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</si>
  <si>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</si>
  <si>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</si>
  <si>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</si>
  <si>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</si>
  <si>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</si>
  <si>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</si>
  <si>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</si>
  <si>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</si>
  <si>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</si>
  <si>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</si>
  <si>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</si>
  <si>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</si>
  <si>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</si>
  <si>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</si>
  <si>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</si>
  <si>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</si>
  <si>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</si>
  <si>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</si>
  <si>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</si>
  <si>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</si>
  <si>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</si>
  <si>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</si>
  <si>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</si>
  <si>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</si>
  <si>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</si>
  <si>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</si>
  <si>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</si>
  <si>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</si>
  <si>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</si>
  <si>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</si>
  <si>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</si>
  <si>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</si>
  <si>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</si>
  <si>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</si>
  <si>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</si>
  <si>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</si>
  <si>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</si>
  <si>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</si>
  <si>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</si>
  <si>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</si>
  <si>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</si>
  <si>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</si>
  <si>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</si>
  <si>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</si>
  <si>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</si>
  <si>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IPE3812S</t>
  </si>
  <si>
    <t>IPE3813S</t>
  </si>
  <si>
    <t>IPE3815S</t>
  </si>
  <si>
    <t>IPE3816S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</si>
  <si>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</si>
  <si>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</si>
  <si>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</si>
  <si>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</si>
  <si>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</si>
  <si>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</si>
  <si>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</si>
  <si>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</si>
  <si>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</si>
  <si>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</si>
  <si>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</si>
  <si>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</si>
  <si>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</si>
  <si>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</si>
  <si>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</si>
  <si>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</si>
  <si>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</si>
  <si>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</si>
  <si>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</si>
  <si>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</si>
  <si>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</si>
  <si>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</si>
  <si>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</si>
  <si>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</si>
  <si>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</si>
  <si>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</si>
  <si>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</si>
  <si>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</si>
  <si>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</si>
  <si>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</si>
  <si>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</si>
  <si>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</si>
  <si>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</si>
  <si>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</si>
  <si>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</si>
  <si>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</si>
  <si>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</si>
  <si>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</si>
  <si>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</si>
  <si>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</si>
  <si>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</si>
  <si>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</si>
  <si>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</si>
  <si>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</si>
  <si>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</si>
  <si>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</si>
  <si>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</si>
  <si>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IPE41220S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</si>
  <si>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</si>
  <si>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</si>
  <si>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</si>
  <si>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</si>
  <si>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</si>
  <si>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</si>
  <si>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</si>
  <si>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</si>
  <si>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</si>
  <si>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</si>
  <si>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</si>
  <si>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</si>
  <si>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IPE4412S</t>
  </si>
  <si>
    <t>IPE4413S</t>
  </si>
  <si>
    <t>IPE4415S</t>
  </si>
  <si>
    <t>IPE4416S</t>
  </si>
  <si>
    <t>IPE4417S</t>
  </si>
  <si>
    <t>IPE4418S</t>
  </si>
  <si>
    <t>IPE4419S</t>
  </si>
  <si>
    <t>IPE4420S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</si>
  <si>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</si>
  <si>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</si>
  <si>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</si>
  <si>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</si>
  <si>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</si>
  <si>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</si>
  <si>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</si>
  <si>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</si>
  <si>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</si>
  <si>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</si>
  <si>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</si>
  <si>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</si>
  <si>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</si>
  <si>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</si>
  <si>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</si>
  <si>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</si>
  <si>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</si>
  <si>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</si>
  <si>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</si>
  <si>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</si>
  <si>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</si>
  <si>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</si>
  <si>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</si>
  <si>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</si>
  <si>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</si>
  <si>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</si>
  <si>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</si>
  <si>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</si>
  <si>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</si>
  <si>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</si>
  <si>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</si>
  <si>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</si>
  <si>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</si>
  <si>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</si>
  <si>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</si>
  <si>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</si>
  <si>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</si>
  <si>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</si>
  <si>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</si>
  <si>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</si>
  <si>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</si>
  <si>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</si>
  <si>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</si>
  <si>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</si>
  <si>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</si>
  <si>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</si>
  <si>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</si>
  <si>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IPE4822S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</si>
  <si>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</si>
  <si>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</si>
  <si>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</si>
  <si>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</si>
  <si>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</si>
  <si>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</si>
  <si>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</si>
  <si>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</si>
  <si>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</si>
  <si>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</si>
  <si>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</si>
  <si>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</si>
  <si>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</si>
  <si>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</si>
  <si>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</si>
  <si>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</si>
  <si>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</si>
  <si>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</si>
  <si>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</si>
  <si>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</si>
  <si>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</si>
  <si>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</si>
  <si>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</si>
  <si>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</si>
  <si>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</si>
  <si>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</si>
  <si>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</si>
  <si>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</si>
  <si>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</si>
  <si>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</si>
  <si>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</si>
  <si>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</si>
  <si>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</si>
  <si>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</si>
  <si>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</si>
  <si>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</si>
  <si>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</si>
  <si>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</si>
  <si>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</si>
  <si>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</si>
  <si>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</si>
  <si>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</si>
  <si>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</si>
  <si>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</si>
  <si>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</si>
  <si>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</si>
  <si>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</si>
  <si>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</si>
  <si>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</si>
  <si>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</si>
  <si>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</si>
  <si>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</si>
  <si>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</si>
  <si>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</si>
  <si>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</si>
  <si>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</si>
  <si>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</si>
  <si>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</si>
  <si>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</si>
  <si>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</si>
  <si>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</si>
  <si>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</si>
  <si>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</si>
  <si>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</si>
  <si>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</si>
  <si>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</si>
  <si>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</si>
  <si>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</si>
  <si>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</si>
  <si>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</si>
  <si>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</si>
  <si>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</si>
  <si>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</si>
  <si>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</si>
  <si>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</si>
  <si>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</si>
  <si>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</si>
  <si>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</si>
  <si>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</si>
  <si>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</si>
  <si>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</si>
  <si>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</si>
  <si>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</si>
  <si>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</si>
  <si>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</si>
  <si>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</si>
  <si>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</si>
  <si>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</si>
  <si>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</si>
  <si>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</si>
  <si>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</si>
  <si>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</si>
  <si>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</si>
  <si>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</si>
  <si>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</si>
  <si>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</si>
  <si>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</si>
  <si>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</si>
  <si>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</si>
  <si>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</si>
  <si>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</si>
  <si>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</si>
  <si>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</si>
  <si>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</si>
  <si>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</si>
  <si>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</si>
  <si>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</si>
  <si>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</si>
  <si>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</si>
  <si>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</si>
  <si>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</si>
  <si>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</si>
  <si>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</si>
  <si>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</si>
  <si>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</si>
  <si>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</si>
  <si>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</si>
  <si>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</si>
  <si>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</si>
  <si>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</si>
  <si>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</si>
  <si>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</si>
  <si>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</si>
  <si>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</si>
  <si>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</si>
  <si>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</si>
  <si>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</si>
  <si>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</si>
  <si>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</si>
  <si>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</si>
  <si>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</si>
  <si>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</si>
  <si>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</si>
  <si>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</si>
  <si>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</si>
  <si>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</si>
  <si>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</si>
  <si>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</si>
  <si>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</si>
  <si>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</si>
  <si>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</si>
  <si>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</si>
  <si>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</si>
  <si>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</si>
  <si>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</si>
  <si>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</si>
  <si>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</si>
  <si>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</si>
  <si>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</si>
  <si>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</si>
  <si>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</si>
  <si>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</si>
  <si>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</si>
  <si>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</si>
  <si>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</si>
  <si>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</si>
  <si>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</si>
  <si>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</si>
  <si>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</si>
  <si>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</si>
  <si>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</si>
  <si>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</si>
  <si>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</si>
  <si>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</si>
  <si>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</si>
  <si>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</si>
  <si>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</si>
  <si>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</si>
  <si>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</si>
  <si>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</si>
  <si>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</si>
  <si>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</si>
  <si>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</si>
  <si>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</si>
  <si>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</si>
  <si>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</si>
  <si>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</si>
  <si>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</si>
  <si>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</si>
  <si>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IPEKD54622S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</si>
  <si>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</si>
  <si>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</si>
  <si>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</si>
  <si>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</si>
  <si>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</si>
  <si>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</si>
  <si>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</si>
  <si>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</si>
  <si>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</si>
  <si>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</si>
  <si>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</si>
  <si>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</si>
  <si>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</si>
  <si>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</si>
  <si>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</si>
  <si>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</si>
  <si>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</si>
  <si>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</si>
  <si>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</si>
  <si>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</si>
  <si>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</si>
  <si>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</si>
  <si>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</si>
  <si>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</si>
  <si>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</si>
  <si>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</si>
  <si>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</si>
  <si>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</si>
  <si>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</si>
  <si>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</si>
  <si>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</si>
  <si>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</si>
  <si>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</si>
  <si>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</si>
  <si>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</si>
  <si>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</si>
  <si>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</si>
  <si>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</si>
  <si>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</si>
  <si>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</si>
  <si>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</si>
  <si>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</si>
  <si>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</si>
  <si>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</si>
  <si>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</si>
  <si>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</si>
  <si>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</si>
  <si>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</si>
  <si>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</si>
  <si>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</si>
  <si>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</si>
  <si>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</si>
  <si>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</si>
  <si>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</si>
  <si>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</si>
  <si>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</si>
  <si>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</si>
  <si>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</si>
  <si>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</si>
  <si>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</si>
  <si>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</si>
  <si>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</si>
  <si>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</si>
  <si>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</si>
  <si>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</si>
  <si>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</si>
  <si>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</si>
  <si>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</si>
  <si>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</si>
  <si>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</si>
  <si>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</si>
  <si>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</si>
  <si>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</si>
  <si>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</si>
  <si>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</si>
  <si>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</si>
  <si>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</si>
  <si>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</si>
  <si>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</si>
  <si>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</si>
  <si>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</si>
  <si>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</si>
  <si>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</si>
  <si>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</si>
  <si>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</si>
  <si>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</si>
  <si>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</si>
  <si>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</si>
  <si>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</si>
  <si>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</si>
  <si>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</si>
  <si>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</si>
  <si>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</si>
  <si>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</si>
  <si>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</si>
  <si>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</si>
  <si>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IPE6812S</t>
  </si>
  <si>
    <t>IPE6813S</t>
  </si>
  <si>
    <t>IPE6814S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</si>
  <si>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</si>
  <si>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</si>
  <si>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</si>
  <si>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</si>
  <si>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</si>
  <si>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</si>
  <si>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</si>
  <si>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</si>
  <si>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</si>
  <si>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</si>
  <si>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</si>
  <si>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</si>
  <si>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</si>
  <si>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</si>
  <si>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</si>
  <si>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</si>
  <si>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</si>
  <si>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</si>
  <si>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</si>
  <si>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IPE8812S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</si>
  <si>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</si>
  <si>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</si>
  <si>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</si>
  <si>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</si>
  <si>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</si>
  <si>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</si>
  <si>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</si>
  <si>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</si>
  <si>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</si>
  <si>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</si>
  <si>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</si>
  <si>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</si>
  <si>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</si>
  <si>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</si>
  <si>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</si>
  <si>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</si>
  <si>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</si>
  <si>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</si>
  <si>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</si>
  <si>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</si>
  <si>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</si>
  <si>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</si>
  <si>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</si>
  <si>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</si>
  <si>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</si>
  <si>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</si>
  <si>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</si>
  <si>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</si>
  <si>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</si>
  <si>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</si>
  <si>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</si>
  <si>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</si>
  <si>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</si>
  <si>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</si>
  <si>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</si>
  <si>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</si>
  <si>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</si>
  <si>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</si>
  <si>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</si>
  <si>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</si>
  <si>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</si>
  <si>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</si>
  <si>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</si>
  <si>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</si>
  <si>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</si>
  <si>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</si>
  <si>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</si>
  <si>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</si>
  <si>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</si>
  <si>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</si>
  <si>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</si>
  <si>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</si>
  <si>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</si>
  <si>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</si>
  <si>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</si>
  <si>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</si>
  <si>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</si>
  <si>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</si>
  <si>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</si>
  <si>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</si>
  <si>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</si>
  <si>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</si>
  <si>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</si>
  <si>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</si>
  <si>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</si>
  <si>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</si>
  <si>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</si>
  <si>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</si>
  <si>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</si>
  <si>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</si>
  <si>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</si>
  <si>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</si>
  <si>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</si>
  <si>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</si>
  <si>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</si>
  <si>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</si>
  <si>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</si>
  <si>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</si>
  <si>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</si>
  <si>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</si>
  <si>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</si>
  <si>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</si>
  <si>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</si>
  <si>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</si>
  <si>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</si>
  <si>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</si>
  <si>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</si>
  <si>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</si>
  <si>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</si>
  <si>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</si>
  <si>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</si>
  <si>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</si>
  <si>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</si>
  <si>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</si>
  <si>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</si>
  <si>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</si>
  <si>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</si>
  <si>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</si>
  <si>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</si>
  <si>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</si>
  <si>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</si>
  <si>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</si>
  <si>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</si>
  <si>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</si>
  <si>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</si>
  <si>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</si>
  <si>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</si>
  <si>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</si>
  <si>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</si>
  <si>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</si>
  <si>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</si>
  <si>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</si>
  <si>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</si>
  <si>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</si>
  <si>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</si>
  <si>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</si>
  <si>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</si>
  <si>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</si>
  <si>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</si>
  <si>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</si>
  <si>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</si>
  <si>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</si>
  <si>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</si>
  <si>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</si>
  <si>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</si>
  <si>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</si>
  <si>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</si>
  <si>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</si>
  <si>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</si>
  <si>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</si>
  <si>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</si>
  <si>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</si>
  <si>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</si>
  <si>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</si>
  <si>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</si>
  <si>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</si>
  <si>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</si>
  <si>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</si>
  <si>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</si>
  <si>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</si>
  <si>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</si>
  <si>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</si>
  <si>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</si>
  <si>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</si>
  <si>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</si>
  <si>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</si>
  <si>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</si>
  <si>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</si>
  <si>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</si>
  <si>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</si>
  <si>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</si>
  <si>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</si>
  <si>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</si>
  <si>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</si>
  <si>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</si>
  <si>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</si>
  <si>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</si>
  <si>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</si>
  <si>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</si>
  <si>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</si>
  <si>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</si>
  <si>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</si>
  <si>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</si>
  <si>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</si>
  <si>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</si>
  <si>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</si>
  <si>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</si>
  <si>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</si>
  <si>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</si>
  <si>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</si>
  <si>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</si>
  <si>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</si>
  <si>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</si>
  <si>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</si>
  <si>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</si>
  <si>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</si>
  <si>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</si>
  <si>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</si>
  <si>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</si>
  <si>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</si>
  <si>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</si>
  <si>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</si>
  <si>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</si>
  <si>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</si>
  <si>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</si>
  <si>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</si>
  <si>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</si>
  <si>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</si>
  <si>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</si>
  <si>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</si>
  <si>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</si>
  <si>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</si>
  <si>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</si>
  <si>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</si>
  <si>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</si>
  <si>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</si>
  <si>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</si>
  <si>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</si>
  <si>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</si>
  <si>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</si>
  <si>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</si>
  <si>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</si>
  <si>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</si>
  <si>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</si>
  <si>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</si>
  <si>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</si>
  <si>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</si>
  <si>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</si>
  <si>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</si>
  <si>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</si>
  <si>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</si>
  <si>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</si>
  <si>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</si>
  <si>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</si>
  <si>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</si>
  <si>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</si>
  <si>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</si>
  <si>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</si>
  <si>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</si>
  <si>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</si>
  <si>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</si>
  <si>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</si>
  <si>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</si>
  <si>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</si>
  <si>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</si>
  <si>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</si>
  <si>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</si>
  <si>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</si>
  <si>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</si>
  <si>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</si>
  <si>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</si>
  <si>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</si>
  <si>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</si>
  <si>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</si>
  <si>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</si>
  <si>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</si>
  <si>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</si>
  <si>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</si>
  <si>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</si>
  <si>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</si>
  <si>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</si>
  <si>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</si>
  <si>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</si>
  <si>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</si>
  <si>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</si>
  <si>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</si>
  <si>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</si>
  <si>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</si>
  <si>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</si>
  <si>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</si>
  <si>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</si>
  <si>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</si>
  <si>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</si>
  <si>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</si>
  <si>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</si>
  <si>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</si>
  <si>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</si>
  <si>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</si>
  <si>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</si>
  <si>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</si>
  <si>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</si>
  <si>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</si>
  <si>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</si>
  <si>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</si>
  <si>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</si>
  <si>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</si>
  <si>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</si>
  <si>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</si>
  <si>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</si>
  <si>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</si>
  <si>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</si>
  <si>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</si>
  <si>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</si>
  <si>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</si>
  <si>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</si>
  <si>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</si>
  <si>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</si>
  <si>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</si>
  <si>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</si>
  <si>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</si>
  <si>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</si>
  <si>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</si>
  <si>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</si>
  <si>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</si>
  <si>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</si>
  <si>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</si>
  <si>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</si>
  <si>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</si>
  <si>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</si>
  <si>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</si>
  <si>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</si>
  <si>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</si>
  <si>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</si>
  <si>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</si>
  <si>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</si>
  <si>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</si>
  <si>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</si>
  <si>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</si>
  <si>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</si>
  <si>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</si>
  <si>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</si>
  <si>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</si>
  <si>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</si>
  <si>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</si>
  <si>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</si>
  <si>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</si>
  <si>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</si>
  <si>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</si>
  <si>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</si>
  <si>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</si>
  <si>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</si>
  <si>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</si>
  <si>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</si>
  <si>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</si>
  <si>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</si>
  <si>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</si>
  <si>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</si>
  <si>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</si>
  <si>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</si>
  <si>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</si>
  <si>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</si>
  <si>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</si>
  <si>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</si>
  <si>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</si>
  <si>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</si>
  <si>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</si>
  <si>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</si>
  <si>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</si>
  <si>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</si>
  <si>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</si>
  <si>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</si>
  <si>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</si>
  <si>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</si>
  <si>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</si>
  <si>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</si>
  <si>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</si>
  <si>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</si>
  <si>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</si>
  <si>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</si>
  <si>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</si>
  <si>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</si>
  <si>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</si>
  <si>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</si>
  <si>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</si>
  <si>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</si>
  <si>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</si>
  <si>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</si>
  <si>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</si>
  <si>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</si>
  <si>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</si>
  <si>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</si>
  <si>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</si>
  <si>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</si>
  <si>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</si>
  <si>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</si>
  <si>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</si>
  <si>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</si>
  <si>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</si>
  <si>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</si>
  <si>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</si>
  <si>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</si>
  <si>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</si>
  <si>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</si>
  <si>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</si>
  <si>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</si>
  <si>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</si>
  <si>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</si>
  <si>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</si>
  <si>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</si>
  <si>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</si>
  <si>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</si>
  <si>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</si>
  <si>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</si>
  <si>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</si>
  <si>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</si>
  <si>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</si>
  <si>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</si>
  <si>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</si>
  <si>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</si>
  <si>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</si>
  <si>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</si>
  <si>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</si>
  <si>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</si>
  <si>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</si>
  <si>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</si>
  <si>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</si>
  <si>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</si>
  <si>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</si>
  <si>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</si>
  <si>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</si>
  <si>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</si>
  <si>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</si>
  <si>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</si>
  <si>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</si>
  <si>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</si>
  <si>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</si>
  <si>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</si>
  <si>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</si>
  <si>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</si>
  <si>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</si>
  <si>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</si>
  <si>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</si>
  <si>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</si>
  <si>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</si>
  <si>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</si>
  <si>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</si>
  <si>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</si>
  <si>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</si>
  <si>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</si>
  <si>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</si>
  <si>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</si>
  <si>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</si>
  <si>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</si>
  <si>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</si>
  <si>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</si>
  <si>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</si>
  <si>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</si>
  <si>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</si>
  <si>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</si>
  <si>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</si>
  <si>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</si>
  <si>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</si>
  <si>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</si>
  <si>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</si>
  <si>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</si>
  <si>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</si>
  <si>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</si>
  <si>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</si>
  <si>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</si>
  <si>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</si>
  <si>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</si>
  <si>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</si>
  <si>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</si>
  <si>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</si>
  <si>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</si>
  <si>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</si>
  <si>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</si>
  <si>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</si>
  <si>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</si>
  <si>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</si>
  <si>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</si>
  <si>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Fascia Charcoal Fascia Collection Profile 1x6</t>
  </si>
  <si>
    <t>Fascia Charcoal</t>
  </si>
  <si>
    <t>Fascia Dark Brown Fascia Collection Profile 1x6</t>
  </si>
  <si>
    <t>Fascia Dark Brown</t>
  </si>
  <si>
    <t>Fascia Gray Fascia Collection Profile 1x6</t>
  </si>
  <si>
    <t>Fascia Gray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</si>
  <si>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</si>
  <si>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</si>
  <si>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</si>
  <si>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</si>
  <si>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</si>
  <si>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</si>
  <si>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</si>
  <si>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</si>
  <si>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</si>
  <si>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</si>
  <si>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</si>
  <si>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</si>
  <si>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</si>
  <si>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</si>
  <si>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</si>
  <si>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</si>
  <si>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</si>
  <si>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</si>
  <si>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</si>
  <si>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</si>
  <si>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</si>
  <si>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</si>
  <si>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</si>
  <si>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</si>
  <si>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</si>
  <si>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</si>
  <si>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</si>
  <si>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</si>
  <si>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</si>
  <si>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</si>
  <si>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</si>
  <si>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</si>
  <si>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</si>
  <si>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</si>
  <si>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</si>
  <si>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</si>
  <si>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</si>
  <si>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</si>
  <si>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</si>
  <si>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</si>
  <si>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</si>
  <si>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</si>
  <si>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</si>
  <si>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</si>
  <si>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</si>
  <si>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</si>
  <si>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</si>
  <si>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</si>
  <si>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</si>
  <si>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</si>
  <si>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</si>
  <si>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</si>
  <si>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</si>
  <si>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</si>
  <si>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</si>
  <si>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</si>
  <si>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</si>
  <si>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</si>
  <si>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</si>
  <si>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</si>
  <si>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</si>
  <si>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</si>
  <si>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</si>
  <si>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</si>
  <si>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</si>
  <si>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</si>
  <si>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</si>
  <si>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</si>
  <si>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</si>
  <si>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</si>
  <si>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</si>
  <si>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</si>
  <si>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</si>
  <si>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</si>
  <si>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</si>
  <si>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</si>
  <si>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</si>
  <si>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</si>
  <si>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</si>
  <si>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</si>
  <si>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</si>
  <si>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</si>
  <si>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</si>
  <si>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</si>
  <si>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</si>
  <si>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</si>
  <si>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</si>
  <si>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</si>
  <si>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</si>
  <si>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</si>
  <si>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</si>
  <si>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</si>
  <si>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</si>
  <si>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</si>
  <si>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</si>
  <si>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</si>
  <si>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</si>
  <si>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</si>
  <si>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</si>
  <si>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</si>
  <si>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</si>
  <si>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</si>
  <si>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</si>
  <si>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</si>
  <si>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</si>
  <si>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</si>
  <si>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</si>
  <si>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</si>
  <si>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</si>
  <si>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</si>
  <si>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</si>
  <si>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</si>
  <si>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</si>
  <si>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</si>
  <si>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</si>
  <si>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</si>
  <si>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</si>
  <si>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</si>
  <si>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</si>
  <si>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</si>
  <si>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</si>
  <si>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</si>
  <si>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</si>
  <si>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</si>
  <si>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</si>
  <si>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</si>
  <si>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</si>
  <si>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</si>
  <si>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</si>
  <si>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</si>
  <si>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</si>
  <si>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</si>
  <si>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</si>
  <si>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</si>
  <si>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</si>
  <si>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</si>
  <si>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</si>
  <si>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</si>
  <si>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</si>
  <si>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</si>
  <si>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</si>
  <si>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</si>
  <si>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</si>
  <si>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</si>
  <si>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</si>
  <si>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</si>
  <si>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</si>
  <si>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</si>
  <si>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</si>
  <si>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</si>
  <si>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</si>
  <si>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</si>
  <si>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</si>
  <si>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</si>
  <si>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</si>
  <si>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</si>
  <si>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</si>
  <si>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</si>
  <si>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</si>
  <si>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</si>
  <si>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</si>
  <si>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</si>
  <si>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</si>
  <si>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</si>
  <si>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</si>
  <si>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</si>
  <si>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</si>
  <si>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</si>
  <si>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</si>
  <si>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</si>
  <si>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</si>
  <si>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</si>
  <si>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</si>
  <si>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</si>
  <si>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</si>
  <si>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</si>
  <si>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</si>
  <si>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</si>
  <si>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</si>
  <si>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</si>
  <si>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</si>
  <si>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</si>
  <si>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</si>
  <si>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</si>
  <si>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</si>
  <si>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</si>
  <si>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</si>
  <si>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</si>
  <si>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</si>
  <si>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</si>
  <si>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</si>
  <si>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</si>
  <si>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</si>
  <si>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</si>
  <si>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</si>
  <si>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</si>
  <si>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</si>
  <si>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</si>
  <si>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</si>
  <si>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</si>
  <si>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</si>
  <si>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</si>
  <si>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</si>
  <si>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</si>
  <si>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</si>
  <si>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</si>
  <si>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</si>
  <si>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</si>
  <si>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</si>
  <si>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</si>
  <si>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</si>
  <si>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</si>
  <si>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</si>
  <si>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</si>
  <si>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</si>
  <si>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</si>
  <si>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</si>
  <si>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</si>
  <si>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</si>
  <si>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</si>
  <si>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</si>
  <si>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</si>
  <si>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</si>
  <si>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</si>
  <si>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</si>
  <si>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</si>
  <si>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</si>
  <si>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</si>
  <si>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</si>
  <si>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</si>
  <si>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</si>
  <si>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</si>
  <si>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</si>
  <si>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</si>
  <si>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</si>
  <si>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</si>
  <si>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</si>
  <si>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</si>
  <si>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</si>
  <si>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</si>
  <si>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</si>
  <si>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</si>
  <si>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</si>
  <si>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</si>
  <si>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</si>
  <si>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</si>
  <si>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</si>
  <si>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</si>
  <si>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</si>
  <si>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</si>
  <si>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</si>
  <si>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</si>
  <si>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</si>
  <si>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</si>
  <si>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</si>
  <si>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</si>
  <si>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</si>
  <si>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</si>
  <si>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</si>
  <si>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</si>
  <si>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</si>
  <si>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</si>
  <si>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</si>
  <si>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</si>
  <si>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</si>
  <si>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</si>
  <si>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</si>
  <si>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</si>
  <si>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</si>
  <si>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</si>
  <si>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</si>
  <si>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</si>
  <si>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</si>
  <si>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</si>
  <si>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</si>
  <si>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</si>
  <si>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</si>
  <si>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</si>
  <si>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</si>
  <si>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</si>
  <si>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</si>
  <si>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</si>
  <si>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</si>
  <si>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</si>
  <si>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</si>
  <si>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</si>
  <si>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</si>
  <si>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</si>
  <si>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</si>
  <si>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</si>
  <si>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</si>
  <si>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</si>
  <si>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</si>
  <si>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</si>
  <si>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</si>
  <si>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</si>
  <si>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</si>
  <si>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</si>
  <si>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</si>
  <si>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</si>
  <si>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</si>
  <si>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</si>
  <si>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</si>
  <si>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</si>
  <si>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</si>
  <si>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</si>
  <si>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</si>
  <si>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</si>
  <si>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</si>
  <si>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</si>
  <si>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</si>
  <si>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</si>
  <si>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</si>
  <si>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</si>
  <si>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</si>
  <si>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</si>
  <si>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</si>
  <si>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</si>
  <si>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</si>
  <si>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</si>
  <si>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</si>
  <si>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</si>
  <si>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</si>
  <si>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</si>
  <si>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</si>
  <si>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</si>
  <si>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</si>
  <si>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</si>
  <si>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</si>
  <si>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</si>
  <si>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</si>
  <si>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</si>
  <si>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</si>
  <si>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</si>
  <si>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</si>
  <si>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</si>
  <si>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</si>
  <si>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</si>
  <si>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</si>
  <si>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</si>
  <si>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</si>
  <si>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</si>
  <si>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</si>
  <si>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</si>
  <si>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</si>
  <si>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</si>
  <si>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</si>
  <si>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</si>
  <si>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</si>
  <si>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</si>
  <si>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</si>
  <si>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</si>
  <si>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</si>
  <si>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</si>
  <si>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</si>
  <si>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</si>
  <si>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</si>
  <si>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</si>
  <si>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</si>
  <si>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</si>
  <si>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</si>
  <si>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</si>
  <si>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</si>
  <si>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</si>
  <si>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</si>
  <si>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</si>
  <si>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</si>
  <si>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</si>
  <si>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</si>
  <si>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</si>
  <si>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</si>
  <si>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</si>
  <si>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</si>
  <si>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</si>
  <si>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</si>
  <si>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</si>
  <si>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</si>
  <si>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</si>
  <si>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</si>
  <si>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</si>
  <si>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</si>
  <si>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</si>
  <si>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</si>
  <si>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</si>
  <si>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</si>
  <si>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</si>
  <si>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</si>
  <si>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</si>
  <si>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</si>
  <si>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</si>
  <si>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</si>
  <si>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</si>
  <si>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</si>
  <si>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</si>
  <si>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</si>
  <si>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</si>
  <si>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</si>
  <si>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</si>
  <si>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</si>
  <si>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</si>
  <si>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</si>
  <si>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</si>
  <si>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</si>
  <si>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</si>
  <si>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</si>
  <si>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</si>
  <si>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</si>
  <si>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</si>
  <si>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</si>
  <si>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</si>
  <si>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</si>
  <si>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</si>
  <si>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</si>
  <si>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</si>
  <si>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</si>
  <si>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</si>
  <si>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</si>
  <si>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</si>
  <si>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</si>
  <si>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</si>
  <si>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</si>
  <si>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</si>
  <si>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</si>
  <si>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</si>
  <si>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</si>
  <si>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</si>
  <si>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</si>
  <si>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</si>
  <si>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</si>
  <si>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</si>
  <si>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</si>
  <si>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</si>
  <si>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</si>
  <si>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</si>
  <si>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</si>
  <si>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</si>
  <si>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</si>
  <si>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</si>
  <si>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</si>
  <si>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</si>
  <si>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</si>
  <si>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</si>
  <si>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</si>
  <si>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</si>
  <si>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</si>
  <si>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</si>
  <si>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</si>
  <si>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TW Milling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</si>
  <si>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</si>
  <si>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</si>
  <si>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</si>
  <si>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</si>
  <si>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</si>
  <si>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</si>
  <si>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</si>
  <si>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</si>
  <si>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</si>
  <si>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</si>
  <si>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</si>
  <si>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</si>
  <si>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</si>
  <si>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</si>
  <si>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</si>
  <si>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</si>
  <si>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</si>
  <si>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</si>
  <si>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</si>
  <si>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</si>
  <si>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</si>
  <si>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</si>
  <si>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</si>
  <si>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</si>
  <si>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</si>
  <si>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</si>
  <si>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</si>
  <si>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</si>
  <si>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</si>
  <si>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</si>
  <si>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</si>
  <si>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</si>
  <si>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</si>
  <si>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</si>
  <si>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</si>
  <si>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</si>
  <si>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</si>
  <si>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</si>
  <si>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</si>
  <si>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</si>
  <si>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</si>
  <si>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</si>
  <si>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</si>
  <si>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</si>
  <si>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</si>
  <si>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</si>
  <si>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</si>
  <si>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</si>
  <si>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</si>
  <si>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</si>
  <si>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</si>
  <si>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</si>
  <si>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</si>
  <si>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</si>
  <si>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</si>
  <si>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</si>
  <si>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</si>
  <si>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TA1612SSEM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</si>
  <si>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</si>
  <si>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</si>
  <si>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</si>
  <si>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</si>
  <si>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</si>
  <si>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</si>
  <si>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</si>
  <si>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</si>
  <si>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</si>
  <si>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</si>
  <si>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</si>
  <si>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</si>
  <si>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</si>
  <si>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</si>
  <si>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</si>
  <si>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</si>
  <si>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</si>
  <si>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</si>
  <si>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</si>
  <si>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</si>
  <si>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</si>
  <si>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</si>
  <si>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</si>
  <si>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</si>
  <si>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</si>
  <si>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</si>
  <si>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</si>
  <si>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</si>
  <si>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</si>
  <si>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</si>
  <si>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</si>
  <si>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</si>
  <si>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</si>
  <si>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</si>
  <si>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</si>
  <si>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</si>
  <si>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</si>
  <si>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</si>
  <si>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</si>
  <si>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</si>
  <si>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</si>
  <si>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</si>
  <si>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</si>
  <si>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</si>
  <si>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</si>
  <si>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</si>
  <si>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</si>
  <si>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</si>
  <si>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</si>
  <si>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</si>
  <si>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</si>
  <si>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</si>
  <si>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</si>
  <si>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</si>
  <si>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</si>
  <si>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</si>
  <si>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</si>
  <si>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</si>
  <si>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</si>
  <si>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</si>
  <si>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</si>
  <si>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</si>
  <si>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</si>
  <si>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</si>
  <si>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</si>
  <si>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</si>
  <si>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</si>
  <si>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</si>
  <si>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</si>
  <si>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</si>
  <si>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</si>
  <si>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</si>
  <si>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</si>
  <si>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</si>
  <si>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</si>
  <si>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</si>
  <si>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</si>
  <si>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</si>
  <si>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</si>
  <si>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</si>
  <si>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</si>
  <si>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</si>
  <si>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</si>
  <si>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</si>
  <si>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</si>
  <si>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</si>
  <si>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</si>
  <si>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</si>
  <si>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</si>
  <si>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</si>
  <si>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</si>
  <si>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</si>
  <si>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</si>
  <si>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</si>
  <si>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</si>
  <si>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</si>
  <si>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</si>
  <si>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</si>
  <si>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</si>
  <si>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</si>
  <si>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</si>
  <si>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</si>
  <si>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</si>
  <si>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</si>
  <si>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</si>
  <si>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</si>
  <si>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</si>
  <si>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</si>
  <si>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</si>
  <si>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</si>
  <si>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</si>
  <si>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</si>
  <si>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</si>
  <si>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</si>
  <si>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</si>
  <si>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</si>
  <si>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</si>
  <si>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</si>
  <si>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</si>
  <si>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</si>
  <si>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</si>
  <si>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</si>
  <si>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</si>
  <si>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</si>
  <si>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</si>
  <si>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</si>
  <si>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</si>
  <si>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</si>
  <si>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</si>
  <si>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</si>
  <si>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</si>
  <si>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</si>
  <si>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</si>
  <si>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</si>
  <si>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</si>
  <si>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</si>
  <si>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</si>
  <si>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</si>
  <si>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</si>
  <si>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</si>
  <si>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</si>
  <si>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</si>
  <si>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</si>
  <si>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</si>
  <si>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</si>
  <si>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</si>
  <si>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</si>
  <si>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</si>
  <si>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</si>
  <si>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</si>
  <si>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</si>
  <si>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</si>
  <si>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</si>
  <si>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</si>
  <si>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</si>
  <si>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</si>
  <si>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</si>
  <si>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</si>
  <si>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</si>
  <si>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</si>
  <si>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</si>
  <si>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</si>
  <si>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</si>
  <si>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</si>
  <si>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</si>
  <si>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</si>
  <si>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</si>
  <si>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</si>
  <si>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</si>
  <si>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</si>
  <si>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</si>
  <si>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</si>
  <si>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</si>
  <si>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</si>
  <si>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</si>
  <si>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</si>
  <si>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</si>
  <si>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</si>
  <si>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</si>
  <si>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</si>
  <si>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</si>
  <si>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</si>
  <si>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</si>
  <si>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</si>
  <si>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</si>
  <si>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</si>
  <si>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</si>
  <si>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</si>
  <si>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</si>
  <si>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</si>
  <si>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</si>
  <si>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</si>
  <si>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</si>
  <si>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</si>
  <si>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</si>
  <si>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</si>
  <si>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</si>
  <si>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</si>
  <si>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</si>
  <si>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</si>
  <si>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</si>
  <si>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</si>
  <si>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</si>
  <si>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</si>
  <si>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</si>
  <si>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</si>
  <si>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</si>
  <si>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</si>
  <si>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</si>
  <si>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</si>
  <si>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</si>
  <si>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</si>
  <si>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</si>
  <si>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</si>
  <si>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</si>
  <si>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</si>
  <si>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</si>
  <si>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</si>
  <si>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</si>
  <si>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</si>
  <si>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</si>
  <si>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</si>
  <si>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</si>
  <si>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</si>
  <si>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</si>
  <si>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</si>
  <si>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</si>
  <si>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</si>
  <si>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</si>
  <si>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</si>
  <si>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</si>
  <si>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</si>
  <si>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</si>
  <si>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</si>
  <si>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</si>
  <si>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</si>
  <si>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</si>
  <si>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</si>
  <si>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</si>
  <si>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</si>
  <si>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</si>
  <si>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</si>
  <si>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</si>
  <si>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</si>
  <si>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</si>
  <si>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</si>
  <si>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</si>
  <si>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</si>
  <si>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</si>
  <si>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</si>
  <si>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</si>
  <si>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</si>
  <si>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</si>
  <si>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</si>
  <si>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</si>
  <si>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</si>
  <si>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</si>
  <si>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</si>
  <si>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</si>
  <si>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</si>
  <si>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</si>
  <si>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</si>
  <si>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</si>
  <si>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</si>
  <si>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</si>
  <si>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</si>
  <si>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</si>
  <si>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</si>
  <si>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</si>
  <si>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</si>
  <si>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</si>
  <si>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</si>
  <si>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</si>
  <si>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</si>
  <si>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</si>
  <si>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</si>
  <si>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</si>
  <si>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</si>
  <si>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</si>
  <si>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</si>
  <si>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</si>
  <si>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</si>
  <si>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</si>
  <si>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</si>
  <si>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TAYLTG1616CL5</t>
  </si>
  <si>
    <t>TAYLTG1617CL5</t>
  </si>
  <si>
    <t>TAYLTG1618CL5</t>
  </si>
  <si>
    <t>TAYLTG164CL5</t>
  </si>
  <si>
    <t>TAYLTG165CL5</t>
  </si>
  <si>
    <t>TAYLTG166CL5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</si>
  <si>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</si>
  <si>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</si>
  <si>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</si>
  <si>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</si>
  <si>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</si>
  <si>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</si>
  <si>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</si>
  <si>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</si>
  <si>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</si>
  <si>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</si>
  <si>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</si>
  <si>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</si>
  <si>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</si>
  <si>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</si>
  <si>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</si>
  <si>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</si>
  <si>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</si>
  <si>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</si>
  <si>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</si>
  <si>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</si>
  <si>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Maximo Thermo Ayous JPL S4S E4E 1x10</t>
  </si>
  <si>
    <t>TAYJPLL11012</t>
  </si>
  <si>
    <t>TAYJPLL11013</t>
  </si>
  <si>
    <t>TAYJPLL11015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</si>
  <si>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</si>
  <si>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</si>
  <si>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</si>
  <si>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</si>
  <si>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</si>
  <si>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</si>
  <si>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</si>
  <si>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</si>
  <si>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</si>
  <si>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</si>
  <si>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</si>
  <si>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</si>
  <si>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</si>
  <si>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</si>
  <si>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</si>
  <si>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</si>
  <si>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</si>
  <si>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</si>
  <si>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</si>
  <si>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</si>
  <si>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</si>
  <si>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</si>
  <si>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</si>
  <si>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</si>
  <si>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</si>
  <si>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</si>
  <si>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</si>
  <si>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TAYJPLL11210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</si>
  <si>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</si>
  <si>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</si>
  <si>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</si>
  <si>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</si>
  <si>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</si>
  <si>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</si>
  <si>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TAYJPLL11216</t>
  </si>
  <si>
    <t>TAYJPLL11217</t>
  </si>
  <si>
    <t>TAYJPLL11218</t>
  </si>
  <si>
    <t>TAYJPLL11219</t>
  </si>
  <si>
    <t>TAYJPLL11220</t>
  </si>
  <si>
    <t>TAYJPLL1124</t>
  </si>
  <si>
    <t>TAYJPLL1125</t>
  </si>
  <si>
    <t>TAYJPLL1126</t>
  </si>
  <si>
    <t>TAYJPLL1127</t>
  </si>
  <si>
    <t>TAYJPLL1128</t>
  </si>
  <si>
    <t>TAYJPLL1129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</si>
  <si>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</si>
  <si>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</si>
  <si>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</si>
  <si>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</si>
  <si>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</si>
  <si>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</si>
  <si>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</si>
  <si>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</si>
  <si>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</si>
  <si>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</si>
  <si>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</si>
  <si>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</si>
  <si>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</si>
  <si>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</si>
  <si>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</si>
  <si>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</si>
  <si>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</si>
  <si>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</si>
  <si>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</si>
  <si>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</si>
  <si>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</si>
  <si>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</si>
  <si>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</si>
  <si>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</si>
  <si>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</si>
  <si>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</si>
  <si>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</si>
  <si>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</si>
  <si>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</si>
  <si>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</si>
  <si>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</si>
  <si>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</si>
  <si>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</si>
  <si>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</si>
  <si>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</si>
  <si>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</si>
  <si>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</si>
  <si>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</si>
  <si>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</si>
  <si>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TAYJPLL1814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</si>
  <si>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</si>
  <si>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</si>
  <si>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</si>
  <si>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</si>
  <si>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</si>
  <si>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</si>
  <si>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</si>
  <si>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</si>
  <si>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</si>
  <si>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</si>
  <si>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</si>
  <si>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</si>
  <si>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</si>
  <si>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</si>
  <si>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TAYJPLL2211</t>
  </si>
  <si>
    <t>TAYJPLL2212</t>
  </si>
  <si>
    <t>TAYJPLL2213</t>
  </si>
  <si>
    <t>TAYJPLL2214</t>
  </si>
  <si>
    <t>TAYJPLL2215</t>
  </si>
  <si>
    <t>TAYJPLL2216</t>
  </si>
  <si>
    <t>TAYJPLL2217</t>
  </si>
  <si>
    <t>TAYJPLL2218</t>
  </si>
  <si>
    <t>TAYJPLL224</t>
  </si>
  <si>
    <t>TAYJPLL226</t>
  </si>
  <si>
    <t>TAYJPLL227</t>
  </si>
  <si>
    <t>TAYJPLL228</t>
  </si>
  <si>
    <t>TAYJPLL229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</si>
  <si>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</si>
  <si>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</si>
  <si>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</si>
  <si>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</si>
  <si>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</si>
  <si>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</si>
  <si>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</si>
  <si>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</si>
  <si>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</si>
  <si>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</si>
  <si>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</si>
  <si>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</si>
  <si>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</si>
  <si>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</si>
  <si>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</si>
  <si>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</si>
  <si>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</si>
  <si>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</si>
  <si>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TAYJPLL2410</t>
  </si>
  <si>
    <t>Maximo Thermo Ayous JPL S4S E4E 2x4</t>
  </si>
  <si>
    <t>TAYJPLL2411</t>
  </si>
  <si>
    <t>TAYJPLL2412</t>
  </si>
  <si>
    <t>TAYJPLL2413</t>
  </si>
  <si>
    <t>TAYJPLL2414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</si>
  <si>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</si>
  <si>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</si>
  <si>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</si>
  <si>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</si>
  <si>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</si>
  <si>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</si>
  <si>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</si>
  <si>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</si>
  <si>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TAYJPLL248</t>
  </si>
  <si>
    <t>TAYJPLL249</t>
  </si>
  <si>
    <t>Ayous JPL 2x6</t>
  </si>
  <si>
    <t>TAYJPLL2610</t>
  </si>
  <si>
    <t>Maximo Thermo Ayous JPL S4S E4E 2x6</t>
  </si>
  <si>
    <t>TAYJPLL2611</t>
  </si>
  <si>
    <t>TAYJPLL2612</t>
  </si>
  <si>
    <t>TAYJPLL2613</t>
  </si>
  <si>
    <t>TAYJPLL2614</t>
  </si>
  <si>
    <t>TAYJPLL2615</t>
  </si>
  <si>
    <t>TAYJPLL2616</t>
  </si>
  <si>
    <t>TAYJPLL2617</t>
  </si>
  <si>
    <t>TAYJPLL2618</t>
  </si>
  <si>
    <t>TAYJPLL2619</t>
  </si>
  <si>
    <t>TAYJPLL264</t>
  </si>
  <si>
    <t>TAYJPLL265</t>
  </si>
  <si>
    <t>TAYJPLL266</t>
  </si>
  <si>
    <t>TAYJPLL267</t>
  </si>
  <si>
    <t>TAYJPLL268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</si>
  <si>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</si>
  <si>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</si>
  <si>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</si>
  <si>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</si>
  <si>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</si>
  <si>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</si>
  <si>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</si>
  <si>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</si>
  <si>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</si>
  <si>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</si>
  <si>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</si>
  <si>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</si>
  <si>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</si>
  <si>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</si>
  <si>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</si>
  <si>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</si>
  <si>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</si>
  <si>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</si>
  <si>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</si>
  <si>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</si>
  <si>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</si>
  <si>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</si>
  <si>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</si>
  <si>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</si>
  <si>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</si>
  <si>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</si>
  <si>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</si>
  <si>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</si>
  <si>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</si>
  <si>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</si>
  <si>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</si>
  <si>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</si>
  <si>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</si>
  <si>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</si>
  <si>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</si>
  <si>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</si>
  <si>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</si>
  <si>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</si>
  <si>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TAYJPLLVJNG1615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</si>
  <si>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</si>
  <si>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</si>
  <si>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</si>
  <si>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</si>
  <si>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</si>
  <si>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</si>
  <si>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</si>
  <si>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</si>
  <si>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</si>
  <si>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</si>
  <si>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</si>
  <si>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</si>
  <si>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</si>
  <si>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</si>
  <si>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</si>
  <si>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</si>
  <si>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</si>
  <si>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</si>
  <si>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</si>
  <si>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</si>
  <si>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</si>
  <si>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</si>
  <si>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</si>
  <si>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</si>
  <si>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</si>
  <si>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</si>
  <si>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</si>
  <si>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</si>
  <si>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</si>
  <si>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</si>
  <si>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</si>
  <si>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</si>
  <si>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</si>
  <si>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</si>
  <si>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</si>
  <si>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</si>
  <si>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</si>
  <si>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</si>
  <si>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</si>
  <si>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</si>
  <si>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</si>
  <si>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</si>
  <si>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</si>
  <si>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</si>
  <si>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</si>
  <si>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</si>
  <si>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</si>
  <si>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</si>
  <si>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</si>
  <si>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</si>
  <si>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</si>
  <si>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</si>
  <si>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</si>
  <si>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</si>
  <si>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</si>
  <si>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</si>
  <si>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</si>
  <si>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</si>
  <si>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</si>
  <si>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</si>
  <si>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</si>
  <si>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</si>
  <si>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</si>
  <si>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</si>
  <si>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</si>
  <si>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</si>
  <si>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</si>
  <si>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</si>
  <si>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</si>
  <si>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</si>
  <si>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</si>
  <si>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</si>
  <si>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</si>
  <si>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</si>
  <si>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</si>
  <si>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</si>
  <si>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</si>
  <si>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</si>
  <si>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</si>
  <si>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</si>
  <si>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TAY1411S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</si>
  <si>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</si>
  <si>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</si>
  <si>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</si>
  <si>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</si>
  <si>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</si>
  <si>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</si>
  <si>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</si>
  <si>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</si>
  <si>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</si>
  <si>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</si>
  <si>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</si>
  <si>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</si>
  <si>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</si>
  <si>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</si>
  <si>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</si>
  <si>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</si>
  <si>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Ayous 1x8</t>
  </si>
  <si>
    <t>TAYL1810S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</si>
  <si>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</si>
  <si>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</si>
  <si>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</si>
  <si>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</si>
  <si>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</si>
  <si>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</si>
  <si>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</si>
  <si>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</si>
  <si>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</si>
  <si>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</si>
  <si>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</si>
  <si>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</si>
  <si>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</si>
  <si>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</si>
  <si>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</si>
  <si>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</si>
  <si>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</si>
  <si>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</si>
  <si>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</si>
  <si>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</si>
  <si>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</si>
  <si>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</si>
  <si>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</si>
  <si>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</si>
  <si>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</si>
  <si>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</si>
  <si>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</si>
  <si>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</si>
  <si>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</si>
  <si>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</si>
  <si>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</si>
  <si>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</si>
  <si>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</si>
  <si>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</si>
  <si>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</si>
  <si>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</si>
  <si>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</si>
  <si>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</si>
  <si>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</si>
  <si>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</si>
  <si>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</si>
  <si>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</si>
  <si>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</si>
  <si>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</si>
  <si>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</si>
  <si>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</si>
  <si>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</si>
  <si>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</si>
  <si>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</si>
  <si>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</si>
  <si>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</si>
  <si>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</si>
  <si>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</si>
  <si>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</si>
  <si>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</si>
  <si>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</si>
  <si>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</si>
  <si>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</si>
  <si>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</si>
  <si>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</si>
  <si>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</si>
  <si>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</si>
  <si>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</si>
  <si>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</si>
  <si>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</si>
  <si>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</si>
  <si>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</si>
  <si>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</si>
  <si>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</si>
  <si>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</si>
  <si>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</si>
  <si>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</si>
  <si>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</si>
  <si>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</si>
  <si>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</si>
  <si>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</si>
  <si>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</si>
  <si>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</si>
  <si>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</si>
  <si>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</si>
  <si>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</si>
  <si>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</si>
  <si>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</si>
  <si>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</si>
  <si>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</si>
  <si>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</si>
  <si>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</si>
  <si>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</si>
  <si>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</si>
  <si>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</si>
  <si>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</si>
  <si>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</si>
  <si>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</si>
  <si>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</si>
  <si>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TAY5448S</t>
  </si>
  <si>
    <t>TAY54610S</t>
  </si>
  <si>
    <t>Maximo Thermo Ayous S4S E4E 5/4x6</t>
  </si>
  <si>
    <t>TAY54611S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</si>
  <si>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</si>
  <si>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</si>
  <si>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</si>
  <si>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</si>
  <si>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</si>
  <si>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</si>
  <si>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</si>
  <si>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</si>
  <si>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</si>
  <si>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</si>
  <si>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</si>
  <si>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</si>
  <si>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</si>
  <si>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</si>
  <si>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</si>
  <si>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</si>
  <si>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</si>
  <si>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</si>
  <si>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</si>
  <si>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</si>
  <si>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</si>
  <si>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</si>
  <si>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</si>
  <si>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</si>
  <si>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</si>
  <si>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</si>
  <si>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</si>
  <si>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</si>
  <si>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</si>
  <si>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</si>
  <si>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</si>
  <si>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</si>
  <si>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</si>
  <si>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</si>
  <si>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</si>
  <si>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</si>
  <si>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</si>
  <si>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</si>
  <si>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</si>
  <si>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</si>
  <si>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</si>
  <si>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</si>
  <si>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</si>
  <si>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</si>
  <si>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</si>
  <si>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</si>
  <si>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</si>
  <si>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</si>
  <si>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</si>
  <si>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</si>
  <si>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</si>
  <si>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</si>
  <si>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</si>
  <si>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</si>
  <si>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</si>
  <si>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</si>
  <si>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</si>
  <si>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</si>
  <si>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</si>
  <si>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</si>
  <si>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</si>
  <si>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</si>
  <si>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</si>
  <si>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</si>
  <si>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</si>
  <si>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</si>
  <si>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</si>
  <si>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</si>
  <si>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</si>
  <si>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</si>
  <si>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</si>
  <si>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</si>
  <si>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</si>
  <si>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</si>
  <si>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</si>
  <si>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</si>
  <si>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</si>
  <si>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</si>
  <si>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</si>
  <si>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</si>
  <si>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</si>
  <si>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</si>
  <si>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</si>
  <si>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</si>
  <si>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</si>
  <si>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</si>
  <si>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</si>
  <si>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</si>
  <si>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</si>
  <si>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</si>
  <si>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</si>
  <si>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</si>
  <si>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</si>
  <si>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</si>
  <si>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</si>
  <si>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</si>
  <si>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</si>
  <si>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</si>
  <si>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</si>
  <si>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</si>
  <si>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</si>
  <si>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</si>
  <si>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</si>
  <si>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</si>
  <si>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</si>
  <si>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</si>
  <si>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</si>
  <si>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</si>
  <si>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</si>
  <si>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</si>
  <si>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</si>
  <si>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</si>
  <si>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</si>
  <si>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</si>
  <si>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</si>
  <si>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</si>
  <si>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</si>
  <si>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</si>
  <si>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</si>
  <si>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</si>
  <si>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</si>
  <si>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</si>
  <si>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</si>
  <si>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</si>
  <si>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</si>
  <si>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</si>
  <si>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</si>
  <si>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</si>
  <si>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</si>
  <si>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</si>
  <si>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</si>
  <si>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</si>
  <si>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</si>
  <si>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</si>
  <si>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</si>
  <si>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</si>
  <si>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</si>
  <si>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</si>
  <si>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TCRNGOPX165</t>
  </si>
  <si>
    <t>TCRNGOPX166</t>
  </si>
  <si>
    <t>TCRNGOPX168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</si>
  <si>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</si>
  <si>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</si>
  <si>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</si>
  <si>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</si>
  <si>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</si>
  <si>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</si>
  <si>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</si>
  <si>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</si>
  <si>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</si>
  <si>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</si>
  <si>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TCRBNG164</t>
  </si>
  <si>
    <t>TCRBNG165</t>
  </si>
  <si>
    <t>TCRBNG166</t>
  </si>
  <si>
    <t>TCRBNG167</t>
  </si>
  <si>
    <t>TCRBNG168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</si>
  <si>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</si>
  <si>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</si>
  <si>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</si>
  <si>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</si>
  <si>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</si>
  <si>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</si>
  <si>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</si>
  <si>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</si>
  <si>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</si>
  <si>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</si>
  <si>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</si>
  <si>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</si>
  <si>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</si>
  <si>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</si>
  <si>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</si>
  <si>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</si>
  <si>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</si>
  <si>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</si>
  <si>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</si>
  <si>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</si>
  <si>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</si>
  <si>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</si>
  <si>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</si>
  <si>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</si>
  <si>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</si>
  <si>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</si>
  <si>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</si>
  <si>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</si>
  <si>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</si>
  <si>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</si>
  <si>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</si>
  <si>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</si>
  <si>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</si>
  <si>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</si>
  <si>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</si>
  <si>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</si>
  <si>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</si>
  <si>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</si>
  <si>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</si>
  <si>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</si>
  <si>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</si>
  <si>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</si>
  <si>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</si>
  <si>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</si>
  <si>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</si>
  <si>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</si>
  <si>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</si>
  <si>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</si>
  <si>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</si>
  <si>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</si>
  <si>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</si>
  <si>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</si>
  <si>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</si>
  <si>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</si>
  <si>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</si>
  <si>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</si>
  <si>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</si>
  <si>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</si>
  <si>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</si>
  <si>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</si>
  <si>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</si>
  <si>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</si>
  <si>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</si>
  <si>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</si>
  <si>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</si>
  <si>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</si>
  <si>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</si>
  <si>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</si>
  <si>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</si>
  <si>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</si>
  <si>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</si>
  <si>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</si>
  <si>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</si>
  <si>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</si>
  <si>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</si>
  <si>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</si>
  <si>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</si>
  <si>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</si>
  <si>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</si>
  <si>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</si>
  <si>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</si>
  <si>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</si>
  <si>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</si>
  <si>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</si>
  <si>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</si>
  <si>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</si>
  <si>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</si>
  <si>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</si>
  <si>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</si>
  <si>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</si>
  <si>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</si>
  <si>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</si>
  <si>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</si>
  <si>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</si>
  <si>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</si>
  <si>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</si>
  <si>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</si>
  <si>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</si>
  <si>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</si>
  <si>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</si>
  <si>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</si>
  <si>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</si>
  <si>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</si>
  <si>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</si>
  <si>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</si>
  <si>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</si>
  <si>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</si>
  <si>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</si>
  <si>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</si>
  <si>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</si>
  <si>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</si>
  <si>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</si>
  <si>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</si>
  <si>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</si>
  <si>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</si>
  <si>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</si>
  <si>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</si>
  <si>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TCRSOPX54612</t>
  </si>
  <si>
    <t>TCRSOPX54613</t>
  </si>
  <si>
    <t>TCRSOPX54615</t>
  </si>
  <si>
    <t>TCRSOPX54616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</si>
  <si>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</si>
  <si>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</si>
  <si>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</si>
  <si>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</si>
  <si>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</si>
  <si>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</si>
  <si>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</si>
  <si>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</si>
  <si>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</si>
  <si>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</si>
  <si>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</si>
  <si>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</si>
  <si>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</si>
  <si>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</si>
  <si>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</si>
  <si>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</si>
  <si>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</si>
  <si>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</si>
  <si>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</si>
  <si>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</si>
  <si>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</si>
  <si>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</si>
  <si>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</si>
  <si>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</si>
  <si>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TCRVJSB38410</t>
  </si>
  <si>
    <t>Maximo Thermo Clear Radiata VJoint - Square Back 3/8x4</t>
  </si>
  <si>
    <t>TCRVJSB38411</t>
  </si>
  <si>
    <t>TCRVJSB38412</t>
  </si>
  <si>
    <t>TCRVJSB38413</t>
  </si>
  <si>
    <t>TCRVJSB38414</t>
  </si>
  <si>
    <t>TCRVJSB38415</t>
  </si>
  <si>
    <t>TCRVJSB38416</t>
  </si>
  <si>
    <t>TCRVJSB38417</t>
  </si>
  <si>
    <t>TCRVJSB38418</t>
  </si>
  <si>
    <t>TCRVJSB3844</t>
  </si>
  <si>
    <t>TCRVJSB3845</t>
  </si>
  <si>
    <t>TCRVJSB3846</t>
  </si>
  <si>
    <t>TCRVJSB3847</t>
  </si>
  <si>
    <t>TCRVJSB3848</t>
  </si>
  <si>
    <t>TCRVJSB3849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</si>
  <si>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</si>
  <si>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</si>
  <si>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</si>
  <si>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</si>
  <si>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</si>
  <si>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</si>
  <si>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</si>
  <si>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</si>
  <si>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</si>
  <si>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</si>
  <si>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</si>
  <si>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</si>
  <si>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</si>
  <si>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</si>
  <si>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</si>
  <si>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</si>
  <si>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</si>
  <si>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</si>
  <si>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</si>
  <si>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</si>
  <si>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</si>
  <si>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</si>
  <si>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</si>
  <si>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TP2412S</t>
  </si>
  <si>
    <t>TP2413S</t>
  </si>
  <si>
    <t>TP2414S</t>
  </si>
  <si>
    <t>TP2415S</t>
  </si>
  <si>
    <t>TP2416S</t>
  </si>
  <si>
    <t>TP2417S</t>
  </si>
  <si>
    <t>TP2418S</t>
  </si>
  <si>
    <t>TP2419S</t>
  </si>
  <si>
    <t>TP244S</t>
  </si>
  <si>
    <t>TP245S</t>
  </si>
  <si>
    <t>TP246S</t>
  </si>
  <si>
    <t>TP247S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</si>
  <si>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</si>
  <si>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</si>
  <si>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</si>
  <si>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</si>
  <si>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</si>
  <si>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</si>
  <si>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</si>
  <si>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</si>
  <si>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</si>
  <si>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</si>
  <si>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</si>
  <si>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</si>
  <si>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</si>
  <si>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</si>
  <si>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</si>
  <si>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</si>
  <si>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</si>
  <si>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</si>
  <si>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</si>
  <si>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</si>
  <si>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</si>
  <si>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</si>
  <si>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</si>
  <si>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</si>
  <si>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</si>
  <si>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</si>
  <si>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</si>
  <si>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</si>
  <si>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</si>
  <si>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</si>
  <si>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</si>
  <si>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</si>
  <si>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</si>
  <si>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</si>
  <si>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</si>
  <si>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</si>
  <si>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</si>
  <si>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</si>
  <si>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</si>
  <si>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</si>
  <si>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</si>
  <si>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</si>
  <si>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</si>
  <si>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</si>
  <si>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</si>
  <si>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</si>
  <si>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</si>
  <si>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</si>
  <si>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</si>
  <si>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</si>
  <si>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</si>
  <si>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</si>
  <si>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</si>
  <si>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</si>
  <si>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</si>
  <si>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</si>
  <si>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</si>
  <si>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</si>
  <si>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TAYLNGVJ169P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</si>
  <si>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</si>
  <si>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</si>
  <si>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</si>
  <si>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</si>
  <si>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</si>
  <si>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</si>
  <si>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</si>
  <si>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</si>
  <si>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</si>
  <si>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</si>
  <si>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</si>
  <si>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</si>
  <si>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</si>
  <si>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</si>
  <si>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</si>
  <si>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</si>
  <si>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</si>
  <si>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</si>
  <si>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</si>
  <si>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</si>
  <si>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</si>
  <si>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</si>
  <si>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</si>
  <si>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</si>
  <si>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</si>
  <si>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</si>
  <si>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</si>
  <si>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</si>
  <si>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</si>
  <si>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</si>
  <si>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</si>
  <si>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</si>
  <si>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</si>
  <si>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</si>
  <si>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</si>
  <si>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</si>
  <si>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</si>
  <si>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</si>
  <si>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</si>
  <si>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</si>
  <si>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</si>
  <si>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</si>
  <si>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</si>
  <si>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</si>
  <si>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</si>
  <si>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</si>
  <si>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</si>
  <si>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</si>
  <si>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</si>
  <si>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</si>
  <si>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</si>
  <si>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</si>
  <si>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</si>
  <si>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</si>
  <si>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</si>
  <si>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</si>
  <si>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</si>
  <si>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</si>
  <si>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</si>
  <si>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</si>
  <si>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</si>
  <si>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</si>
  <si>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</si>
  <si>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</si>
  <si>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</si>
  <si>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</si>
  <si>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</si>
  <si>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</si>
  <si>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</si>
  <si>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</si>
  <si>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</si>
  <si>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</si>
  <si>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</si>
  <si>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</si>
  <si>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</si>
  <si>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</si>
  <si>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</si>
  <si>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</si>
  <si>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</si>
  <si>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</si>
  <si>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</si>
  <si>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</si>
  <si>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</si>
  <si>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</si>
  <si>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</si>
  <si>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</si>
  <si>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</si>
  <si>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</si>
  <si>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</si>
  <si>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</si>
  <si>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</si>
  <si>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</si>
  <si>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</si>
  <si>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</si>
  <si>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</si>
  <si>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</si>
  <si>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</si>
  <si>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</si>
  <si>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</si>
  <si>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</si>
  <si>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</si>
  <si>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</si>
  <si>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</si>
  <si>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</si>
  <si>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</si>
  <si>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</si>
  <si>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</si>
  <si>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</si>
  <si>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</si>
  <si>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</si>
  <si>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</si>
  <si>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</si>
  <si>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</si>
  <si>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</si>
  <si>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</si>
  <si>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</si>
  <si>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</si>
  <si>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</si>
  <si>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</si>
  <si>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</si>
  <si>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</si>
  <si>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</si>
  <si>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</si>
  <si>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</si>
  <si>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</si>
  <si>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</si>
  <si>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</si>
  <si>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</si>
  <si>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</si>
  <si>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</si>
  <si>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</si>
  <si>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</si>
  <si>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</si>
  <si>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</si>
  <si>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</si>
  <si>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</si>
  <si>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</si>
  <si>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</si>
  <si>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</si>
  <si>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</si>
  <si>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</si>
  <si>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</si>
  <si>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</si>
  <si>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</si>
  <si>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</si>
  <si>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</si>
  <si>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</si>
  <si>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</si>
  <si>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</si>
  <si>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</si>
  <si>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</si>
  <si>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</si>
  <si>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</si>
  <si>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</si>
  <si>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</si>
  <si>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</si>
  <si>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</si>
  <si>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</si>
  <si>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</si>
  <si>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</si>
  <si>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</si>
  <si>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</si>
  <si>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</si>
  <si>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</si>
  <si>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</si>
  <si>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</si>
  <si>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</si>
  <si>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</si>
  <si>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</si>
  <si>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</si>
  <si>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</si>
  <si>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</si>
  <si>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</si>
  <si>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</si>
  <si>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</si>
  <si>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</si>
  <si>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</si>
  <si>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</si>
  <si>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</si>
  <si>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</si>
  <si>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</si>
  <si>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</si>
  <si>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</si>
  <si>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</si>
  <si>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</si>
  <si>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</si>
  <si>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</si>
  <si>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</si>
  <si>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</si>
  <si>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</si>
  <si>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</si>
  <si>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</si>
  <si>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</si>
  <si>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</si>
  <si>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</si>
  <si>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</si>
  <si>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</si>
  <si>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</si>
  <si>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</si>
  <si>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</si>
  <si>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</si>
  <si>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</si>
  <si>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</si>
  <si>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</si>
  <si>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</si>
  <si>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</si>
  <si>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</si>
  <si>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</si>
  <si>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</si>
  <si>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</si>
  <si>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</si>
  <si>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</si>
  <si>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</si>
  <si>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</si>
  <si>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</si>
  <si>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</si>
  <si>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</si>
  <si>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</si>
  <si>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</si>
  <si>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</si>
  <si>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</si>
  <si>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</si>
  <si>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</si>
  <si>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</si>
  <si>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</si>
  <si>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</si>
  <si>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</si>
  <si>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</si>
  <si>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</si>
  <si>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</si>
  <si>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</si>
  <si>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</si>
  <si>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</si>
  <si>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</si>
  <si>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</si>
  <si>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</si>
  <si>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</si>
  <si>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</si>
  <si>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</si>
  <si>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</si>
  <si>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</si>
  <si>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</si>
  <si>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</si>
  <si>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</si>
  <si>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</si>
  <si>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</si>
  <si>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</si>
  <si>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</si>
  <si>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</si>
  <si>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</si>
  <si>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</si>
  <si>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</si>
  <si>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</si>
  <si>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</si>
  <si>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</si>
  <si>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</si>
  <si>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</si>
  <si>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</si>
  <si>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</si>
  <si>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</si>
  <si>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</si>
  <si>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</si>
  <si>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</si>
  <si>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</si>
  <si>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</si>
  <si>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</si>
  <si>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</si>
  <si>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</si>
  <si>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</si>
  <si>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</si>
  <si>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</si>
  <si>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</si>
  <si>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</si>
  <si>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</si>
  <si>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</si>
  <si>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</si>
  <si>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</si>
  <si>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</si>
  <si>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</si>
  <si>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</si>
  <si>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</si>
  <si>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</si>
  <si>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</si>
  <si>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</si>
  <si>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</si>
  <si>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</si>
  <si>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</si>
  <si>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</si>
  <si>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</si>
  <si>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</si>
  <si>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</si>
  <si>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</si>
  <si>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</si>
  <si>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</si>
  <si>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</si>
  <si>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</si>
  <si>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</si>
  <si>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</si>
  <si>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</si>
  <si>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</si>
  <si>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</si>
  <si>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</si>
  <si>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</si>
  <si>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</si>
  <si>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</si>
  <si>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</si>
  <si>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</si>
  <si>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</si>
  <si>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</si>
  <si>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</si>
  <si>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</si>
  <si>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</si>
  <si>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</si>
  <si>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</si>
  <si>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</si>
  <si>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</si>
  <si>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</si>
  <si>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</si>
  <si>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</si>
  <si>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</si>
  <si>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</si>
  <si>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</si>
  <si>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FRT-004</t>
  </si>
  <si>
    <t>DeckWise</t>
  </si>
  <si>
    <t>Deck Tile Pedestal Screw</t>
  </si>
  <si>
    <t>Deck Tile</t>
  </si>
  <si>
    <t>Pedestal Screw</t>
  </si>
  <si>
    <t>FRT-005</t>
  </si>
  <si>
    <t>FRT-006</t>
  </si>
  <si>
    <t>FRT-007</t>
  </si>
  <si>
    <t>MKT-018</t>
  </si>
  <si>
    <t>FRT-008</t>
  </si>
  <si>
    <t>MKT-019</t>
  </si>
  <si>
    <t>SO798029-000</t>
  </si>
  <si>
    <t>SO798239-000</t>
  </si>
  <si>
    <t>SO798325-000</t>
  </si>
  <si>
    <t>SO798328-000</t>
  </si>
  <si>
    <t>SO800535-000</t>
  </si>
  <si>
    <t>MNC95847-000</t>
  </si>
  <si>
    <t>Saw</t>
  </si>
  <si>
    <t>Saw Blade US4 TCT - 7.1/4'' 60</t>
  </si>
  <si>
    <t>Saw Blade</t>
  </si>
  <si>
    <t>US4 TCT</t>
  </si>
  <si>
    <t>7.1/4'' 60</t>
  </si>
  <si>
    <t>Saw Blade US4 TCT - 10'' 40</t>
  </si>
  <si>
    <t>10'' 40</t>
  </si>
  <si>
    <t>Saw Blade US4 TCT - 12'' 80</t>
  </si>
  <si>
    <t>12'' 80</t>
  </si>
  <si>
    <t>Screws Kit 1050 Count Ipe Clip - 5/32"</t>
  </si>
  <si>
    <t>Screws Kit 1050 Count</t>
  </si>
  <si>
    <t>Ipe Clip</t>
  </si>
  <si>
    <t>5/32"</t>
  </si>
  <si>
    <t>CT-USA-WN</t>
  </si>
  <si>
    <t>CUTEK Colortone 95 ml / 3.2 oz Walnut</t>
  </si>
  <si>
    <t>CUTEK Colortone</t>
  </si>
  <si>
    <t>95 ml / 3.2 oz</t>
  </si>
  <si>
    <t>CT-USA-ES</t>
  </si>
  <si>
    <t>CUTEK Colortone 95 ml / 3.2 oz Expresso</t>
  </si>
  <si>
    <t>Expresso</t>
  </si>
  <si>
    <t>MNC89614-038</t>
  </si>
  <si>
    <t>Maximo Thermo Clear Radiata Rondo Plus Random Lenght 1x6</t>
  </si>
  <si>
    <t>Rondo Plus</t>
  </si>
  <si>
    <t>MNC89614-039</t>
  </si>
  <si>
    <t>Maximo Thermo Ash Rondo Random Lenght 1x6</t>
  </si>
  <si>
    <t>MNC89614-040</t>
  </si>
  <si>
    <t>Maximo Thermo Ash Duo Fluted Random Lenght 1x6</t>
  </si>
  <si>
    <t>Duo Fluted</t>
  </si>
  <si>
    <t>MNC89614-041</t>
  </si>
  <si>
    <t>Maximo Thermo Ash Vjoint - Square Back Random Lenght 1x6</t>
  </si>
  <si>
    <t>Vjoint - Square Back</t>
  </si>
  <si>
    <t>MNC89614-042</t>
  </si>
  <si>
    <t>Maximo Thermo Ayous Concave Random Lenght 1x6</t>
  </si>
  <si>
    <t>Concave</t>
  </si>
  <si>
    <t>MNC89614-043</t>
  </si>
  <si>
    <t>Maximo Thermo Ayous Duo Fluted Random Lenght 1x6</t>
  </si>
  <si>
    <t>MNC89614-044</t>
  </si>
  <si>
    <t>Maximo Thermo Ayous Rondo Plus Random Lenght 1x6</t>
  </si>
  <si>
    <t>WOODTABLEWG</t>
  </si>
  <si>
    <t>with Glass</t>
  </si>
  <si>
    <t>RF-005</t>
  </si>
  <si>
    <t>Ipe 8x10</t>
  </si>
  <si>
    <t>IPE81014S</t>
  </si>
  <si>
    <t>Ipe S4S E4E 8x10</t>
  </si>
  <si>
    <t>8x10</t>
  </si>
  <si>
    <t>IPEKD1610G</t>
  </si>
  <si>
    <t>Ipe Grooved 1x6</t>
  </si>
  <si>
    <t>IPEKD1611G</t>
  </si>
  <si>
    <t>IPEKD1612G</t>
  </si>
  <si>
    <t>IPEKD1613G</t>
  </si>
  <si>
    <t>IPEKD1614G</t>
  </si>
  <si>
    <t>IPEKD1615G</t>
  </si>
  <si>
    <t>IPEKD1616G</t>
  </si>
  <si>
    <t>IPEKD1617G</t>
  </si>
  <si>
    <t>IPEKD1618G</t>
  </si>
  <si>
    <t>IPEKD1619G</t>
  </si>
  <si>
    <t>IPEKD1620G</t>
  </si>
  <si>
    <t>IPEKD1621G</t>
  </si>
  <si>
    <t>IPEKD1622G</t>
  </si>
  <si>
    <t>IPEKD163G</t>
  </si>
  <si>
    <t>IPEKD164G</t>
  </si>
  <si>
    <t>IPEKD165G</t>
  </si>
  <si>
    <t>IPEKD166G</t>
  </si>
  <si>
    <t>IPEKD167G</t>
  </si>
  <si>
    <t>IPEKD168G</t>
  </si>
  <si>
    <t>IPEKD169G</t>
  </si>
  <si>
    <t>Ipe 6x10</t>
  </si>
  <si>
    <t>IPE61022S</t>
  </si>
  <si>
    <t>Ipe S4S E4E 6x10</t>
  </si>
  <si>
    <t>6x10</t>
  </si>
  <si>
    <t>SO000066</t>
  </si>
  <si>
    <t>Ipe S4S E4E Random Lenght 1x4</t>
  </si>
  <si>
    <t>SO000069</t>
  </si>
  <si>
    <t>Ipe S4S E4E Random Lenght 5/4x6</t>
  </si>
  <si>
    <t>SO000070</t>
  </si>
  <si>
    <t>SO100075</t>
  </si>
  <si>
    <t>SO200075</t>
  </si>
  <si>
    <t>SO000076</t>
  </si>
  <si>
    <t>SO100080</t>
  </si>
  <si>
    <t>Ipe S4S E4E Random Lenght 2x2</t>
  </si>
  <si>
    <t>SO200080</t>
  </si>
  <si>
    <t>Ipe S4S E4E Random Lenght 2x4</t>
  </si>
  <si>
    <t>SO300080</t>
  </si>
  <si>
    <t>Ipe S4S E4E Random Lenght 2x6</t>
  </si>
  <si>
    <t>SO400080</t>
  </si>
  <si>
    <t>Paper</t>
  </si>
  <si>
    <t>SO500080</t>
  </si>
  <si>
    <t>Folders and cartons</t>
  </si>
  <si>
    <t>SO100082</t>
  </si>
  <si>
    <t>SO200082</t>
  </si>
  <si>
    <t>SO300082</t>
  </si>
  <si>
    <t>RL</t>
  </si>
  <si>
    <t>SO000077</t>
  </si>
  <si>
    <t>Hardwoods Random Length Consigment</t>
  </si>
  <si>
    <t>Random Length</t>
  </si>
  <si>
    <t>SO000078</t>
  </si>
  <si>
    <t>SO000083</t>
  </si>
  <si>
    <t>SO000085</t>
  </si>
  <si>
    <t>SO000079</t>
  </si>
  <si>
    <t>SO000087</t>
  </si>
  <si>
    <t>SO000084</t>
  </si>
  <si>
    <t>SO000086</t>
  </si>
  <si>
    <t>SO000088</t>
  </si>
  <si>
    <t>SO000089</t>
  </si>
  <si>
    <t>SO100090</t>
  </si>
  <si>
    <t>SO200090</t>
  </si>
  <si>
    <t>SO000091</t>
  </si>
  <si>
    <t>SO000092</t>
  </si>
  <si>
    <t>Cumaru 8x10</t>
  </si>
  <si>
    <t>CM81016S</t>
  </si>
  <si>
    <t>Cumaru S4S E4E 8x10</t>
  </si>
  <si>
    <t>Cumaru 6x10</t>
  </si>
  <si>
    <t>CM61014S</t>
  </si>
  <si>
    <t>Cumaru S4S E4E 6x10</t>
  </si>
  <si>
    <t>Cumaru 76x76</t>
  </si>
  <si>
    <t>CM76768S</t>
  </si>
  <si>
    <t>Cumaru S4S E4E 76x76</t>
  </si>
  <si>
    <t>76x76</t>
  </si>
  <si>
    <t>Cumaru 63x215</t>
  </si>
  <si>
    <t>CM6321512S</t>
  </si>
  <si>
    <t>Cumaru S4S E4E 63x215</t>
  </si>
  <si>
    <t>63x215</t>
  </si>
  <si>
    <t>Cumaru 63x241</t>
  </si>
  <si>
    <t>CM6324120S</t>
  </si>
  <si>
    <t>Cumaru S4S E4E 63x241</t>
  </si>
  <si>
    <t>63x241</t>
  </si>
  <si>
    <t>Cumaru 50x114</t>
  </si>
  <si>
    <t>CM5011418S</t>
  </si>
  <si>
    <t>Cumaru S4S E4E 50x114</t>
  </si>
  <si>
    <t>50x114</t>
  </si>
  <si>
    <t>Cumaru 38x76</t>
  </si>
  <si>
    <t>CM387612S</t>
  </si>
  <si>
    <t>Cumaru S4S E4E 38x76</t>
  </si>
  <si>
    <t>38x76</t>
  </si>
  <si>
    <t>TGKD167S</t>
  </si>
  <si>
    <t>FRT-009</t>
  </si>
  <si>
    <t>Deck Tile Connector</t>
  </si>
  <si>
    <t>Connector</t>
  </si>
  <si>
    <t>SOIPEPLUG</t>
  </si>
  <si>
    <t>Plug Kit Wood Ipe 3/8"x3/8"</t>
  </si>
  <si>
    <t>Plug Kit</t>
  </si>
  <si>
    <t>Wood Ipe</t>
  </si>
  <si>
    <t>MNC94707-000</t>
  </si>
  <si>
    <t>MNC94707-001</t>
  </si>
  <si>
    <t>MN359144-000</t>
  </si>
  <si>
    <t>TAYLBB1410S</t>
  </si>
  <si>
    <t>Maximo Thermo Ayous S4S E4E Burn Blocked 1x4</t>
  </si>
  <si>
    <t>TAYLBB1411S</t>
  </si>
  <si>
    <t>TAYLBB1412S</t>
  </si>
  <si>
    <t>TAYLBB1413S</t>
  </si>
  <si>
    <t>TAYLBB1414S</t>
  </si>
  <si>
    <t>TAYLBB1415S</t>
  </si>
  <si>
    <t>TAYLBB1416S</t>
  </si>
  <si>
    <t>TAYLBB1417S</t>
  </si>
  <si>
    <t>TAYLBB1418S</t>
  </si>
  <si>
    <t>TAYLBB144S</t>
  </si>
  <si>
    <t>TAYLBB145S</t>
  </si>
  <si>
    <t>TAYLBB146S</t>
  </si>
  <si>
    <t>TAYLBB147S</t>
  </si>
  <si>
    <t>TAYLBB148S</t>
  </si>
  <si>
    <t>TAYLBB149S</t>
  </si>
  <si>
    <t>TAYLBB1610S</t>
  </si>
  <si>
    <t>Maximo Thermo Ayous S4S E4E Burn Blocked 1x6</t>
  </si>
  <si>
    <t>TAYLBB1611S</t>
  </si>
  <si>
    <t>TAYLBB1612S</t>
  </si>
  <si>
    <t>TAYLBB1613S</t>
  </si>
  <si>
    <t>TAYLBB1614S</t>
  </si>
  <si>
    <t>TAYLBB1615S</t>
  </si>
  <si>
    <t>TAYLBB1616S</t>
  </si>
  <si>
    <t>TAYLBB1617S</t>
  </si>
  <si>
    <t>TAYLBB1618S</t>
  </si>
  <si>
    <t>TAYLBB164S</t>
  </si>
  <si>
    <t>TAYLBB165S</t>
  </si>
  <si>
    <t>TAYLBB166S</t>
  </si>
  <si>
    <t>TAYLBB167S</t>
  </si>
  <si>
    <t>TAYLBB168S</t>
  </si>
  <si>
    <t>TAYLBB169S</t>
  </si>
  <si>
    <t>TAYLBB2210S</t>
  </si>
  <si>
    <t>Maximo Thermo Ayous S4S E4E Burn Blocked 2x2</t>
  </si>
  <si>
    <t>TAYLBB2211S</t>
  </si>
  <si>
    <t>TAYLBB2212S</t>
  </si>
  <si>
    <t>TAYLBB2213S</t>
  </si>
  <si>
    <t>TAYLBB2214S</t>
  </si>
  <si>
    <t>TAYLBB2215S</t>
  </si>
  <si>
    <t>TAYLBB2216S</t>
  </si>
  <si>
    <t>TAYLBB2217S</t>
  </si>
  <si>
    <t>TAYLBB2218S</t>
  </si>
  <si>
    <t>TAYLBB224S</t>
  </si>
  <si>
    <t>TAYLBB225S</t>
  </si>
  <si>
    <t>TAYLBB226S</t>
  </si>
  <si>
    <t>TAYLBB227S</t>
  </si>
  <si>
    <t>TAYLBB228S</t>
  </si>
  <si>
    <t>TAYLBB229S</t>
  </si>
  <si>
    <t>TAYLBB2410S</t>
  </si>
  <si>
    <t>Maximo Thermo Ayous S4S E4E Burn Blocked 2x4</t>
  </si>
  <si>
    <t>TAYLBB2411S</t>
  </si>
  <si>
    <t>TAYLBB2412S</t>
  </si>
  <si>
    <t>TAYLBB2413S</t>
  </si>
  <si>
    <t>TAYLBB2414S</t>
  </si>
  <si>
    <t>TAYLBB2415S</t>
  </si>
  <si>
    <t>TAYLBB2416S</t>
  </si>
  <si>
    <t>TAYLBB2417S</t>
  </si>
  <si>
    <t>TAYLBB2418S</t>
  </si>
  <si>
    <t>TAYLBB244S</t>
  </si>
  <si>
    <t>TAYLBB245S</t>
  </si>
  <si>
    <t>TAYLBB246S</t>
  </si>
  <si>
    <t>TAYLBB247S</t>
  </si>
  <si>
    <t>TAYLBB248S</t>
  </si>
  <si>
    <t>TAYLBB249S</t>
  </si>
  <si>
    <t>TAYLBB2610S</t>
  </si>
  <si>
    <t>Maximo Thermo Ayous S4S E4E Burn Blocked 2x6</t>
  </si>
  <si>
    <t>TAYLBB2611S</t>
  </si>
  <si>
    <t>TAYLBB2612S</t>
  </si>
  <si>
    <t>TAYLBB2613S</t>
  </si>
  <si>
    <t>TAYLBB2614S</t>
  </si>
  <si>
    <t>TAYLBB2615S</t>
  </si>
  <si>
    <t>TAYLBB2616S</t>
  </si>
  <si>
    <t>TAYLBB2617S</t>
  </si>
  <si>
    <t>TAYLBB2618S</t>
  </si>
  <si>
    <t>TAYLBB264S</t>
  </si>
  <si>
    <t>TAYLBB265S</t>
  </si>
  <si>
    <t>TAYLBB266S</t>
  </si>
  <si>
    <t>TAYLBB267S</t>
  </si>
  <si>
    <t>TAYLBB268S</t>
  </si>
  <si>
    <t>TAYLBB269S</t>
  </si>
  <si>
    <t>SOC03158-000</t>
  </si>
  <si>
    <t>MNC03158-000</t>
  </si>
  <si>
    <t>Red Balau</t>
  </si>
  <si>
    <t>Red Balau 5/4x6</t>
  </si>
  <si>
    <t>SOC05805-000</t>
  </si>
  <si>
    <t>Red Balau S4S E4E 5/4x6</t>
  </si>
  <si>
    <t>SOC05805-001</t>
  </si>
  <si>
    <t>SOC05805-002</t>
  </si>
  <si>
    <t>SOC05805-003</t>
  </si>
  <si>
    <t>SOC05805-004</t>
  </si>
  <si>
    <t>SOC05805-005</t>
  </si>
  <si>
    <t>SOC05805-006</t>
  </si>
  <si>
    <t>SOC94733-000</t>
  </si>
  <si>
    <t>Plug Kit 175 Count Wood Ipe 3/8"x3/8"</t>
  </si>
  <si>
    <t>Plug Kit 175 Count</t>
  </si>
  <si>
    <t>SOC94733-001</t>
  </si>
  <si>
    <t>Plug Kit 700 Count Wood Ipe 3/8"x3/8"</t>
  </si>
  <si>
    <t>Plug Kit 700 Count</t>
  </si>
  <si>
    <t>SOC06161-000</t>
  </si>
  <si>
    <t>MNC99068-000</t>
  </si>
  <si>
    <t>Screws Kit 350 Count US4 Cedar Trim Head T-15 SS305  8x2-1/2"</t>
  </si>
  <si>
    <t>8x2-1/2"</t>
  </si>
  <si>
    <t>SO805026-000</t>
  </si>
  <si>
    <t>M³</t>
  </si>
  <si>
    <t>Lenght</t>
  </si>
  <si>
    <t>Status</t>
  </si>
  <si>
    <t>Damaged</t>
  </si>
  <si>
    <t>Dev</t>
  </si>
  <si>
    <t>Stock Discrepancy</t>
  </si>
  <si>
    <t>Sales</t>
  </si>
  <si>
    <t>Transfer</t>
  </si>
  <si>
    <t>Offer</t>
  </si>
  <si>
    <t>2608-810703</t>
  </si>
  <si>
    <t>2608-811761</t>
  </si>
  <si>
    <t>2608-811905</t>
  </si>
  <si>
    <t>2608-812014</t>
  </si>
  <si>
    <t>2608-812032</t>
  </si>
  <si>
    <t>2608-812183</t>
  </si>
  <si>
    <t>2608-812188</t>
  </si>
  <si>
    <t>2608-812398</t>
  </si>
  <si>
    <t>2608-812521</t>
  </si>
  <si>
    <t>2608-812534</t>
  </si>
  <si>
    <t>2608-812700</t>
  </si>
  <si>
    <t>2608-812709</t>
  </si>
  <si>
    <t>2608-812725</t>
  </si>
  <si>
    <t>2608-812783</t>
  </si>
  <si>
    <t>2608-812816</t>
  </si>
  <si>
    <t>GF000116</t>
  </si>
  <si>
    <t>CAPITAL LUMBER COMPANY</t>
  </si>
  <si>
    <t>2608-812906</t>
  </si>
  <si>
    <t>2608-812911</t>
  </si>
  <si>
    <t>2608-812914</t>
  </si>
  <si>
    <t>2608-813189</t>
  </si>
  <si>
    <t>2608-813273</t>
  </si>
  <si>
    <t>GLOBAL LBM MIAMI</t>
  </si>
  <si>
    <t>2608-813415</t>
  </si>
  <si>
    <t>2608-813417</t>
  </si>
  <si>
    <t>2608-813443</t>
  </si>
  <si>
    <t>2608-813466</t>
  </si>
  <si>
    <t>2608-813514</t>
  </si>
  <si>
    <t>2608-813568</t>
  </si>
  <si>
    <t>2608-813597</t>
  </si>
  <si>
    <t>GF000003</t>
  </si>
  <si>
    <t>2609-813810</t>
  </si>
  <si>
    <t>2609-813844</t>
  </si>
  <si>
    <t>GF000011</t>
  </si>
  <si>
    <t>2609-813923</t>
  </si>
  <si>
    <t>2609-813996</t>
  </si>
  <si>
    <t>2609-814020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</si>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</sst>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531"/>
  <sheetViews>
    <sheetView tabSelected="1" zoomScale="90" zoomScaleNormal="90" workbookViewId="0">
      <pane ySplit="1" topLeftCell="A264" activePane="bottomLeft" state="frozen"/>
      <selection pane="bottomLeft" activeCell="G295" sqref="G295"/>
    </sheetView>
  </sheetViews>
  <sheetFormatPr defaultRowHeight="15" x14ac:dyDescent="0.25"/>
  <cols>
    <col min="1" max="1" width="12.85546875" bestFit="1" customWidth="1"/>
    <col min="2" max="2" width="13.5703125" customWidth="1"/>
    <col min="3" max="3" width="30.5703125" bestFit="1" customWidth="1"/>
    <col min="4" max="4" width="12.7109375" bestFit="1" customWidth="1"/>
    <col min="5" max="5" width="18.85546875" bestFit="1" customWidth="1"/>
    <col min="6" max="6" width="13.5703125" bestFit="1" customWidth="1"/>
    <col min="7" max="7" width="12.85546875" bestFit="1" customWidth="1"/>
    <col min="8" max="8" width="17.28515625" bestFit="1" customWidth="1"/>
    <col min="9" max="9" width="9.28515625" bestFit="1" customWidth="1"/>
    <col min="10" max="10" width="32.5703125" bestFit="1" customWidth="1"/>
    <col min="11" max="11" width="27.85546875" bestFit="1" customWidth="1"/>
    <col min="12" max="12" width="19.7109375" bestFit="1" customWidth="1"/>
    <col min="13" max="13" width="10" bestFit="1" customWidth="1"/>
    <col min="14" max="14" width="12.42578125" bestFit="1" customWidth="1"/>
    <col min="15" max="15" width="14.85546875" bestFit="1" customWidth="1"/>
    <col min="16" max="16" width="17.14062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350</v>
      </c>
      <c r="H1" s="1" t="s">
        <v>364</v>
      </c>
      <c r="I1" s="1" t="s">
        <v>4920</v>
      </c>
      <c r="J1" s="1" t="s">
        <v>352</v>
      </c>
      <c r="K1" s="1" t="s">
        <v>353</v>
      </c>
      <c r="L1" s="1" t="s">
        <v>354</v>
      </c>
      <c r="M1" s="1" t="s">
        <v>355</v>
      </c>
      <c r="N1" s="1" t="s">
        <v>4921</v>
      </c>
      <c r="O1" s="1" t="s">
        <v>349</v>
      </c>
      <c r="P1" s="1" t="s">
        <v>4922</v>
      </c>
    </row>
    <row r="2" spans="1:16" hidden="1" x14ac:dyDescent="0.25">
      <c r="A2" t="s">
        <v>6</v>
      </c>
      <c r="B2" t="s">
        <v>7</v>
      </c>
      <c r="C2" t="s">
        <v>8</v>
      </c>
      <c r="D2">
        <v>9007</v>
      </c>
      <c r="E2" t="s">
        <v>9</v>
      </c>
      <c r="F2">
        <v>7</v>
      </c>
      <c r="G2" t="str">
        <f>_xlfn.XLOOKUP(E2,'Base SKUs'!E:E,'Base SKUs'!D:D)</f>
        <v>Thermowood</v>
      </c>
      <c r="H2" s="10">
        <f>_xlfn.XLOOKUP(E2,'Base SKUs'!E:E,'Base SKUs'!S:S)</f>
        <v>1.1172E-2</v>
      </c>
      <c r="I2" s="9">
        <f t="shared" ref="I2:I65" si="0"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4923</v>
      </c>
    </row>
    <row r="3" spans="1:16" hidden="1" x14ac:dyDescent="0.25">
      <c r="A3" t="s">
        <v>6</v>
      </c>
      <c r="B3" t="s">
        <v>7</v>
      </c>
      <c r="C3" t="s">
        <v>8</v>
      </c>
      <c r="D3">
        <v>9007</v>
      </c>
      <c r="E3" t="s">
        <v>9</v>
      </c>
      <c r="F3">
        <v>31</v>
      </c>
      <c r="G3" t="str">
        <f>_xlfn.XLOOKUP(E3,'Base SKUs'!E:E,'Base SKUs'!D:D)</f>
        <v>Thermowood</v>
      </c>
      <c r="H3" s="10">
        <f>_xlfn.XLOOKUP(E3,'Base SKUs'!E:E,'Base SKUs'!S:S)</f>
        <v>1.1172E-2</v>
      </c>
      <c r="I3" s="9">
        <f t="shared" si="0"/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4923</v>
      </c>
    </row>
    <row r="4" spans="1:16" hidden="1" x14ac:dyDescent="0.25">
      <c r="A4" t="s">
        <v>10</v>
      </c>
      <c r="B4" t="s">
        <v>7</v>
      </c>
      <c r="C4" t="s">
        <v>8</v>
      </c>
      <c r="D4">
        <v>9008</v>
      </c>
      <c r="E4" t="s">
        <v>11</v>
      </c>
      <c r="F4">
        <v>56</v>
      </c>
      <c r="G4" t="str">
        <f>_xlfn.XLOOKUP(E4,'Base SKUs'!E:E,'Base SKUs'!D:D)</f>
        <v>Hardwoods</v>
      </c>
      <c r="H4" s="10">
        <f>_xlfn.XLOOKUP(E4,'Base SKUs'!E:E,'Base SKUs'!S:S)</f>
        <v>6.4892773439999994E-3</v>
      </c>
      <c r="I4" s="9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4923</v>
      </c>
    </row>
    <row r="5" spans="1:16" hidden="1" x14ac:dyDescent="0.25">
      <c r="A5" t="s">
        <v>12</v>
      </c>
      <c r="B5" t="s">
        <v>7</v>
      </c>
      <c r="C5" t="s">
        <v>8</v>
      </c>
      <c r="D5">
        <v>9008</v>
      </c>
      <c r="E5" t="s">
        <v>13</v>
      </c>
      <c r="F5">
        <v>18</v>
      </c>
      <c r="G5" t="str">
        <f>_xlfn.XLOOKUP(E5,'Base SKUs'!E:E,'Base SKUs'!D:D)</f>
        <v>Thermowood</v>
      </c>
      <c r="H5" s="10">
        <f>_xlfn.XLOOKUP(E5,'Base SKUs'!E:E,'Base SKUs'!S:S)</f>
        <v>7.980000000000001E-3</v>
      </c>
      <c r="I5" s="9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4923</v>
      </c>
    </row>
    <row r="6" spans="1:16" hidden="1" x14ac:dyDescent="0.25">
      <c r="A6" t="s">
        <v>12</v>
      </c>
      <c r="B6" t="s">
        <v>7</v>
      </c>
      <c r="C6" t="s">
        <v>8</v>
      </c>
      <c r="D6">
        <v>9008</v>
      </c>
      <c r="E6" t="s">
        <v>14</v>
      </c>
      <c r="F6">
        <v>14</v>
      </c>
      <c r="G6" t="str">
        <f>_xlfn.XLOOKUP(E6,'Base SKUs'!E:E,'Base SKUs'!D:D)</f>
        <v>Thermowood</v>
      </c>
      <c r="H6" s="10">
        <f>_xlfn.XLOOKUP(E6,'Base SKUs'!E:E,'Base SKUs'!S:S)</f>
        <v>1.1172E-2</v>
      </c>
      <c r="I6" s="9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4923</v>
      </c>
    </row>
    <row r="7" spans="1:16" hidden="1" x14ac:dyDescent="0.25">
      <c r="A7" t="s">
        <v>12</v>
      </c>
      <c r="B7" t="s">
        <v>7</v>
      </c>
      <c r="C7" t="s">
        <v>8</v>
      </c>
      <c r="D7">
        <v>9008</v>
      </c>
      <c r="E7" t="s">
        <v>15</v>
      </c>
      <c r="F7">
        <v>5</v>
      </c>
      <c r="G7" t="str">
        <f>_xlfn.XLOOKUP(E7,'Base SKUs'!E:E,'Base SKUs'!D:D)</f>
        <v>Thermowood</v>
      </c>
      <c r="H7" s="10">
        <f>_xlfn.XLOOKUP(E7,'Base SKUs'!E:E,'Base SKUs'!S:S)</f>
        <v>1.1970000000000001E-2</v>
      </c>
      <c r="I7" s="9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4923</v>
      </c>
    </row>
    <row r="8" spans="1:16" hidden="1" x14ac:dyDescent="0.25">
      <c r="A8" t="s">
        <v>12</v>
      </c>
      <c r="B8" t="s">
        <v>7</v>
      </c>
      <c r="C8" t="s">
        <v>8</v>
      </c>
      <c r="D8">
        <v>9008</v>
      </c>
      <c r="E8" t="s">
        <v>16</v>
      </c>
      <c r="F8">
        <v>245</v>
      </c>
      <c r="G8" t="str">
        <f>_xlfn.XLOOKUP(E8,'Base SKUs'!E:E,'Base SKUs'!D:D)</f>
        <v>Thermowood</v>
      </c>
      <c r="H8" s="10">
        <f>_xlfn.XLOOKUP(E8,'Base SKUs'!E:E,'Base SKUs'!S:S)</f>
        <v>6.3839999999999999E-3</v>
      </c>
      <c r="I8" s="9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4923</v>
      </c>
    </row>
    <row r="9" spans="1:16" hidden="1" x14ac:dyDescent="0.25">
      <c r="A9" t="s">
        <v>12</v>
      </c>
      <c r="B9" t="s">
        <v>7</v>
      </c>
      <c r="C9" t="s">
        <v>8</v>
      </c>
      <c r="D9">
        <v>9008</v>
      </c>
      <c r="E9" t="s">
        <v>17</v>
      </c>
      <c r="F9">
        <v>28</v>
      </c>
      <c r="G9" t="str">
        <f>_xlfn.XLOOKUP(E9,'Base SKUs'!E:E,'Base SKUs'!D:D)</f>
        <v>Thermowood</v>
      </c>
      <c r="H9" s="10">
        <f>_xlfn.XLOOKUP(E9,'Base SKUs'!E:E,'Base SKUs'!S:S)</f>
        <v>7.182E-3</v>
      </c>
      <c r="I9" s="9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4923</v>
      </c>
    </row>
    <row r="10" spans="1:16" hidden="1" x14ac:dyDescent="0.25">
      <c r="A10" t="s">
        <v>18</v>
      </c>
      <c r="B10" t="s">
        <v>19</v>
      </c>
      <c r="C10" t="s">
        <v>20</v>
      </c>
      <c r="D10">
        <v>9007</v>
      </c>
      <c r="E10" t="s">
        <v>21</v>
      </c>
      <c r="F10">
        <v>11</v>
      </c>
      <c r="G10" t="str">
        <f>_xlfn.XLOOKUP(E10,'Base SKUs'!E:E,'Base SKUs'!D:D)</f>
        <v>Thermowood</v>
      </c>
      <c r="H10" s="10">
        <f>_xlfn.XLOOKUP(E10,'Base SKUs'!E:E,'Base SKUs'!S:S)</f>
        <v>3.1464000000000002E-3</v>
      </c>
      <c r="I10" s="9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2965</v>
      </c>
    </row>
    <row r="11" spans="1:16" hidden="1" x14ac:dyDescent="0.25">
      <c r="A11" t="s">
        <v>22</v>
      </c>
      <c r="B11" t="s">
        <v>7</v>
      </c>
      <c r="C11" t="s">
        <v>8</v>
      </c>
      <c r="D11">
        <v>9008</v>
      </c>
      <c r="E11" t="s">
        <v>23</v>
      </c>
      <c r="F11">
        <v>3</v>
      </c>
      <c r="G11" t="str">
        <f>_xlfn.XLOOKUP(E11,'Base SKUs'!E:E,'Base SKUs'!D:D)</f>
        <v>Thermowood</v>
      </c>
      <c r="H11" s="10">
        <f>_xlfn.XLOOKUP(E11,'Base SKUs'!E:E,'Base SKUs'!S:S)</f>
        <v>6.3839999999999999E-3</v>
      </c>
      <c r="I11" s="9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4923</v>
      </c>
    </row>
    <row r="12" spans="1:16" hidden="1" x14ac:dyDescent="0.25">
      <c r="A12" t="s">
        <v>22</v>
      </c>
      <c r="B12" t="s">
        <v>7</v>
      </c>
      <c r="C12" t="s">
        <v>8</v>
      </c>
      <c r="D12">
        <v>9008</v>
      </c>
      <c r="E12" t="s">
        <v>24</v>
      </c>
      <c r="F12">
        <v>9</v>
      </c>
      <c r="G12" t="str">
        <f>_xlfn.XLOOKUP(E12,'Base SKUs'!E:E,'Base SKUs'!D:D)</f>
        <v>Thermowood</v>
      </c>
      <c r="H12" s="10">
        <f>_xlfn.XLOOKUP(E12,'Base SKUs'!E:E,'Base SKUs'!S:S)</f>
        <v>1.2768E-2</v>
      </c>
      <c r="I12" s="9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4923</v>
      </c>
    </row>
    <row r="13" spans="1:16" hidden="1" x14ac:dyDescent="0.25">
      <c r="A13" t="s">
        <v>22</v>
      </c>
      <c r="B13" t="s">
        <v>7</v>
      </c>
      <c r="C13" t="s">
        <v>8</v>
      </c>
      <c r="D13">
        <v>9008</v>
      </c>
      <c r="E13" t="s">
        <v>9</v>
      </c>
      <c r="F13">
        <v>7</v>
      </c>
      <c r="G13" t="str">
        <f>_xlfn.XLOOKUP(E13,'Base SKUs'!E:E,'Base SKUs'!D:D)</f>
        <v>Thermowood</v>
      </c>
      <c r="H13" s="10">
        <f>_xlfn.XLOOKUP(E13,'Base SKUs'!E:E,'Base SKUs'!S:S)</f>
        <v>1.1172E-2</v>
      </c>
      <c r="I13" s="9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4923</v>
      </c>
    </row>
    <row r="14" spans="1:16" hidden="1" x14ac:dyDescent="0.25">
      <c r="A14" t="s">
        <v>25</v>
      </c>
      <c r="B14" t="s">
        <v>7</v>
      </c>
      <c r="C14" t="s">
        <v>8</v>
      </c>
      <c r="D14">
        <v>9008</v>
      </c>
      <c r="E14" t="s">
        <v>26</v>
      </c>
      <c r="F14">
        <v>14</v>
      </c>
      <c r="G14" t="str">
        <f>_xlfn.XLOOKUP(E14,'Base SKUs'!E:E,'Base SKUs'!D:D)</f>
        <v>Hardwoods</v>
      </c>
      <c r="H14" s="10">
        <f>_xlfn.XLOOKUP(E14,'Base SKUs'!E:E,'Base SKUs'!S:S)</f>
        <v>1.2978554687999999E-2</v>
      </c>
      <c r="I14" s="9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4923</v>
      </c>
    </row>
    <row r="15" spans="1:16" hidden="1" x14ac:dyDescent="0.25">
      <c r="A15" t="s">
        <v>27</v>
      </c>
      <c r="B15" t="s">
        <v>19</v>
      </c>
      <c r="C15" t="s">
        <v>20</v>
      </c>
      <c r="D15">
        <v>9008</v>
      </c>
      <c r="E15" t="s">
        <v>28</v>
      </c>
      <c r="F15">
        <v>111</v>
      </c>
      <c r="G15" t="str">
        <f>_xlfn.XLOOKUP(E15,'Base SKUs'!E:E,'Base SKUs'!D:D)</f>
        <v>Hardwoods</v>
      </c>
      <c r="H15" s="10">
        <f>_xlfn.XLOOKUP(E15,'Base SKUs'!E:E,'Base SKUs'!S:S)</f>
        <v>6.452406449999999E-3</v>
      </c>
      <c r="I15" s="9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4924</v>
      </c>
    </row>
    <row r="16" spans="1:16" hidden="1" x14ac:dyDescent="0.25">
      <c r="A16" t="s">
        <v>27</v>
      </c>
      <c r="B16" t="s">
        <v>19</v>
      </c>
      <c r="C16" t="s">
        <v>20</v>
      </c>
      <c r="D16">
        <v>9008</v>
      </c>
      <c r="E16" t="s">
        <v>29</v>
      </c>
      <c r="F16">
        <v>270</v>
      </c>
      <c r="G16" t="str">
        <f>_xlfn.XLOOKUP(E16,'Base SKUs'!E:E,'Base SKUs'!D:D)</f>
        <v>Hardwoods</v>
      </c>
      <c r="H16" s="10">
        <f>_xlfn.XLOOKUP(E16,'Base SKUs'!E:E,'Base SKUs'!S:S)</f>
        <v>7.0976470949999987E-3</v>
      </c>
      <c r="I16" s="9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4924</v>
      </c>
    </row>
    <row r="17" spans="1:16" hidden="1" x14ac:dyDescent="0.25">
      <c r="A17" t="s">
        <v>27</v>
      </c>
      <c r="B17" t="s">
        <v>19</v>
      </c>
      <c r="C17" t="s">
        <v>20</v>
      </c>
      <c r="D17">
        <v>9008</v>
      </c>
      <c r="E17" t="s">
        <v>84</v>
      </c>
      <c r="F17">
        <v>228</v>
      </c>
      <c r="G17" t="str">
        <f>_xlfn.XLOOKUP(E17,'Base SKUs'!E:E,'Base SKUs'!D:D)</f>
        <v>Hardwoods</v>
      </c>
      <c r="H17" s="10">
        <f>_xlfn.XLOOKUP(E17,'Base SKUs'!E:E,'Base SKUs'!S:S)</f>
        <v>7.7428877399999983E-3</v>
      </c>
      <c r="I17" s="9">
        <f t="shared" si="0"/>
        <v>1.7649999999999999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12</v>
      </c>
      <c r="O17" t="str">
        <f>_xlfn.XLOOKUP(E17,'Base SKUs'!E:E,'Base SKUs'!C:C)</f>
        <v>Long</v>
      </c>
      <c r="P17" t="s">
        <v>4924</v>
      </c>
    </row>
    <row r="18" spans="1:16" hidden="1" x14ac:dyDescent="0.25">
      <c r="A18" t="s">
        <v>27</v>
      </c>
      <c r="B18" t="s">
        <v>19</v>
      </c>
      <c r="C18" t="s">
        <v>20</v>
      </c>
      <c r="D18">
        <v>9008</v>
      </c>
      <c r="E18" t="s">
        <v>30</v>
      </c>
      <c r="F18">
        <v>390</v>
      </c>
      <c r="G18" t="str">
        <f>_xlfn.XLOOKUP(E18,'Base SKUs'!E:E,'Base SKUs'!D:D)</f>
        <v>Hardwoods</v>
      </c>
      <c r="H18" s="10">
        <f>_xlfn.XLOOKUP(E18,'Base SKUs'!E:E,'Base SKUs'!S:S)</f>
        <v>8.3881283850000005E-3</v>
      </c>
      <c r="I18" s="9">
        <f t="shared" si="0"/>
        <v>3.2709999999999999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13</v>
      </c>
      <c r="O18" t="str">
        <f>_xlfn.XLOOKUP(E18,'Base SKUs'!E:E,'Base SKUs'!C:C)</f>
        <v>Long</v>
      </c>
      <c r="P18" t="s">
        <v>4924</v>
      </c>
    </row>
    <row r="19" spans="1:16" hidden="1" x14ac:dyDescent="0.25">
      <c r="A19" t="s">
        <v>27</v>
      </c>
      <c r="B19" t="s">
        <v>19</v>
      </c>
      <c r="C19" t="s">
        <v>20</v>
      </c>
      <c r="D19">
        <v>9008</v>
      </c>
      <c r="E19" t="s">
        <v>31</v>
      </c>
      <c r="F19">
        <v>191</v>
      </c>
      <c r="G19" t="str">
        <f>_xlfn.XLOOKUP(E19,'Base SKUs'!E:E,'Base SKUs'!D:D)</f>
        <v>Hardwoods</v>
      </c>
      <c r="H19" s="10">
        <f>_xlfn.XLOOKUP(E19,'Base SKUs'!E:E,'Base SKUs'!S:S)</f>
        <v>9.0333690299999984E-3</v>
      </c>
      <c r="I19" s="9">
        <f t="shared" si="0"/>
        <v>1.7250000000000001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14</v>
      </c>
      <c r="O19" t="str">
        <f>_xlfn.XLOOKUP(E19,'Base SKUs'!E:E,'Base SKUs'!C:C)</f>
        <v>Long</v>
      </c>
      <c r="P19" t="s">
        <v>4924</v>
      </c>
    </row>
    <row r="20" spans="1:16" hidden="1" x14ac:dyDescent="0.25">
      <c r="A20" t="s">
        <v>27</v>
      </c>
      <c r="B20" t="s">
        <v>19</v>
      </c>
      <c r="C20" t="s">
        <v>20</v>
      </c>
      <c r="D20">
        <v>9008</v>
      </c>
      <c r="E20" t="s">
        <v>32</v>
      </c>
      <c r="F20">
        <v>242</v>
      </c>
      <c r="G20" t="str">
        <f>_xlfn.XLOOKUP(E20,'Base SKUs'!E:E,'Base SKUs'!D:D)</f>
        <v>Hardwoods</v>
      </c>
      <c r="H20" s="10">
        <f>_xlfn.XLOOKUP(E20,'Base SKUs'!E:E,'Base SKUs'!S:S)</f>
        <v>9.6786096749999981E-3</v>
      </c>
      <c r="I20" s="9">
        <f t="shared" si="0"/>
        <v>2.3420000000000001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15</v>
      </c>
      <c r="O20" t="str">
        <f>_xlfn.XLOOKUP(E20,'Base SKUs'!E:E,'Base SKUs'!C:C)</f>
        <v>Long</v>
      </c>
      <c r="P20" t="s">
        <v>4924</v>
      </c>
    </row>
    <row r="21" spans="1:16" hidden="1" x14ac:dyDescent="0.25">
      <c r="A21" t="s">
        <v>27</v>
      </c>
      <c r="B21" t="s">
        <v>19</v>
      </c>
      <c r="C21" t="s">
        <v>20</v>
      </c>
      <c r="D21">
        <v>9008</v>
      </c>
      <c r="E21" t="s">
        <v>33</v>
      </c>
      <c r="F21">
        <v>170</v>
      </c>
      <c r="G21" t="str">
        <f>_xlfn.XLOOKUP(E21,'Base SKUs'!E:E,'Base SKUs'!D:D)</f>
        <v>Hardwoods</v>
      </c>
      <c r="H21" s="10">
        <f>_xlfn.XLOOKUP(E21,'Base SKUs'!E:E,'Base SKUs'!S:S)</f>
        <v>1.0323850319999999E-2</v>
      </c>
      <c r="I21" s="9">
        <f t="shared" si="0"/>
        <v>1.7549999999999999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16</v>
      </c>
      <c r="O21" t="str">
        <f>_xlfn.XLOOKUP(E21,'Base SKUs'!E:E,'Base SKUs'!C:C)</f>
        <v>Long</v>
      </c>
      <c r="P21" t="s">
        <v>4924</v>
      </c>
    </row>
    <row r="22" spans="1:16" hidden="1" x14ac:dyDescent="0.25">
      <c r="A22" t="s">
        <v>27</v>
      </c>
      <c r="B22" t="s">
        <v>19</v>
      </c>
      <c r="C22" t="s">
        <v>20</v>
      </c>
      <c r="D22">
        <v>9008</v>
      </c>
      <c r="E22" t="s">
        <v>34</v>
      </c>
      <c r="F22">
        <v>80</v>
      </c>
      <c r="G22" t="str">
        <f>_xlfn.XLOOKUP(E22,'Base SKUs'!E:E,'Base SKUs'!D:D)</f>
        <v>Hardwoods</v>
      </c>
      <c r="H22" s="10">
        <f>_xlfn.XLOOKUP(E22,'Base SKUs'!E:E,'Base SKUs'!S:S)</f>
        <v>1.0969090964999999E-2</v>
      </c>
      <c r="I22" s="9">
        <f t="shared" si="0"/>
        <v>0.878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17</v>
      </c>
      <c r="O22" t="str">
        <f>_xlfn.XLOOKUP(E22,'Base SKUs'!E:E,'Base SKUs'!C:C)</f>
        <v>Long</v>
      </c>
      <c r="P22" t="s">
        <v>4924</v>
      </c>
    </row>
    <row r="23" spans="1:16" hidden="1" x14ac:dyDescent="0.25">
      <c r="A23" t="s">
        <v>27</v>
      </c>
      <c r="B23" t="s">
        <v>19</v>
      </c>
      <c r="C23" t="s">
        <v>20</v>
      </c>
      <c r="D23">
        <v>9008</v>
      </c>
      <c r="E23" t="s">
        <v>35</v>
      </c>
      <c r="F23">
        <v>73</v>
      </c>
      <c r="G23" t="str">
        <f>_xlfn.XLOOKUP(E23,'Base SKUs'!E:E,'Base SKUs'!D:D)</f>
        <v>Hardwoods</v>
      </c>
      <c r="H23" s="10">
        <f>_xlfn.XLOOKUP(E23,'Base SKUs'!E:E,'Base SKUs'!S:S)</f>
        <v>1.1614331609999997E-2</v>
      </c>
      <c r="I23" s="9">
        <f t="shared" si="0"/>
        <v>0.84799999999999998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18</v>
      </c>
      <c r="O23" t="str">
        <f>_xlfn.XLOOKUP(E23,'Base SKUs'!E:E,'Base SKUs'!C:C)</f>
        <v>Long</v>
      </c>
      <c r="P23" t="s">
        <v>4924</v>
      </c>
    </row>
    <row r="24" spans="1:16" hidden="1" x14ac:dyDescent="0.25">
      <c r="A24" t="s">
        <v>27</v>
      </c>
      <c r="B24" t="s">
        <v>19</v>
      </c>
      <c r="C24" t="s">
        <v>20</v>
      </c>
      <c r="D24">
        <v>9008</v>
      </c>
      <c r="E24" t="s">
        <v>36</v>
      </c>
      <c r="F24">
        <v>221</v>
      </c>
      <c r="G24" t="str">
        <f>_xlfn.XLOOKUP(E24,'Base SKUs'!E:E,'Base SKUs'!D:D)</f>
        <v>Hardwoods</v>
      </c>
      <c r="H24" s="10">
        <f>_xlfn.XLOOKUP(E24,'Base SKUs'!E:E,'Base SKUs'!S:S)</f>
        <v>3.8714438699999991E-3</v>
      </c>
      <c r="I24" s="9">
        <f t="shared" si="0"/>
        <v>0.85599999999999998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6</v>
      </c>
      <c r="O24" t="str">
        <f>_xlfn.XLOOKUP(E24,'Base SKUs'!E:E,'Base SKUs'!C:C)</f>
        <v>Short</v>
      </c>
      <c r="P24" t="s">
        <v>4924</v>
      </c>
    </row>
    <row r="25" spans="1:16" hidden="1" x14ac:dyDescent="0.25">
      <c r="A25" t="s">
        <v>27</v>
      </c>
      <c r="B25" t="s">
        <v>19</v>
      </c>
      <c r="C25" t="s">
        <v>20</v>
      </c>
      <c r="D25">
        <v>9008</v>
      </c>
      <c r="E25" t="s">
        <v>37</v>
      </c>
      <c r="F25">
        <v>522</v>
      </c>
      <c r="G25" t="str">
        <f>_xlfn.XLOOKUP(E25,'Base SKUs'!E:E,'Base SKUs'!D:D)</f>
        <v>Hardwoods</v>
      </c>
      <c r="H25" s="10">
        <f>_xlfn.XLOOKUP(E25,'Base SKUs'!E:E,'Base SKUs'!S:S)</f>
        <v>4.5166845149999992E-3</v>
      </c>
      <c r="I25" s="9">
        <f t="shared" si="0"/>
        <v>2.3580000000000001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7</v>
      </c>
      <c r="O25" t="str">
        <f>_xlfn.XLOOKUP(E25,'Base SKUs'!E:E,'Base SKUs'!C:C)</f>
        <v>Short</v>
      </c>
      <c r="P25" t="s">
        <v>4924</v>
      </c>
    </row>
    <row r="26" spans="1:16" hidden="1" x14ac:dyDescent="0.25">
      <c r="A26" t="s">
        <v>27</v>
      </c>
      <c r="B26" t="s">
        <v>19</v>
      </c>
      <c r="C26" t="s">
        <v>20</v>
      </c>
      <c r="D26">
        <v>9008</v>
      </c>
      <c r="E26" t="s">
        <v>41</v>
      </c>
      <c r="F26">
        <v>235</v>
      </c>
      <c r="G26" t="str">
        <f>_xlfn.XLOOKUP(E26,'Base SKUs'!E:E,'Base SKUs'!D:D)</f>
        <v>Hardwoods</v>
      </c>
      <c r="H26" s="10">
        <f>_xlfn.XLOOKUP(E26,'Base SKUs'!E:E,'Base SKUs'!S:S)</f>
        <v>5.1619251599999997E-3</v>
      </c>
      <c r="I26" s="9">
        <f t="shared" si="0"/>
        <v>1.2130000000000001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8</v>
      </c>
      <c r="O26" t="str">
        <f>_xlfn.XLOOKUP(E26,'Base SKUs'!E:E,'Base SKUs'!C:C)</f>
        <v>Long</v>
      </c>
      <c r="P26" t="s">
        <v>4924</v>
      </c>
    </row>
    <row r="27" spans="1:16" hidden="1" x14ac:dyDescent="0.25">
      <c r="A27" t="s">
        <v>27</v>
      </c>
      <c r="B27" t="s">
        <v>19</v>
      </c>
      <c r="C27" t="s">
        <v>20</v>
      </c>
      <c r="D27">
        <v>9008</v>
      </c>
      <c r="E27" t="s">
        <v>42</v>
      </c>
      <c r="F27">
        <v>250</v>
      </c>
      <c r="G27" t="str">
        <f>_xlfn.XLOOKUP(E27,'Base SKUs'!E:E,'Base SKUs'!D:D)</f>
        <v>Hardwoods</v>
      </c>
      <c r="H27" s="10">
        <f>_xlfn.XLOOKUP(E27,'Base SKUs'!E:E,'Base SKUs'!S:S)</f>
        <v>5.8071658049999985E-3</v>
      </c>
      <c r="I27" s="9">
        <f t="shared" si="0"/>
        <v>1.452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9</v>
      </c>
      <c r="O27" t="str">
        <f>_xlfn.XLOOKUP(E27,'Base SKUs'!E:E,'Base SKUs'!C:C)</f>
        <v>Long</v>
      </c>
      <c r="P27" t="s">
        <v>4924</v>
      </c>
    </row>
    <row r="28" spans="1:16" hidden="1" x14ac:dyDescent="0.25">
      <c r="A28" t="s">
        <v>38</v>
      </c>
      <c r="B28" t="s">
        <v>19</v>
      </c>
      <c r="C28" t="s">
        <v>20</v>
      </c>
      <c r="D28">
        <v>9008</v>
      </c>
      <c r="E28" t="s">
        <v>28</v>
      </c>
      <c r="F28">
        <v>231</v>
      </c>
      <c r="G28" t="str">
        <f>_xlfn.XLOOKUP(E28,'Base SKUs'!E:E,'Base SKUs'!D:D)</f>
        <v>Hardwoods</v>
      </c>
      <c r="H28" s="10">
        <f>_xlfn.XLOOKUP(E28,'Base SKUs'!E:E,'Base SKUs'!S:S)</f>
        <v>6.452406449999999E-3</v>
      </c>
      <c r="I28" s="9">
        <f t="shared" si="0"/>
        <v>1.4910000000000001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10</v>
      </c>
      <c r="O28" t="str">
        <f>_xlfn.XLOOKUP(E28,'Base SKUs'!E:E,'Base SKUs'!C:C)</f>
        <v>Long</v>
      </c>
      <c r="P28" t="s">
        <v>4924</v>
      </c>
    </row>
    <row r="29" spans="1:16" hidden="1" x14ac:dyDescent="0.25">
      <c r="A29" t="s">
        <v>38</v>
      </c>
      <c r="B29" t="s">
        <v>19</v>
      </c>
      <c r="C29" t="s">
        <v>20</v>
      </c>
      <c r="D29">
        <v>9008</v>
      </c>
      <c r="E29" t="s">
        <v>29</v>
      </c>
      <c r="F29">
        <v>250</v>
      </c>
      <c r="G29" t="str">
        <f>_xlfn.XLOOKUP(E29,'Base SKUs'!E:E,'Base SKUs'!D:D)</f>
        <v>Hardwoods</v>
      </c>
      <c r="H29" s="10">
        <f>_xlfn.XLOOKUP(E29,'Base SKUs'!E:E,'Base SKUs'!S:S)</f>
        <v>7.0976470949999987E-3</v>
      </c>
      <c r="I29" s="9">
        <f t="shared" si="0"/>
        <v>1.774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11</v>
      </c>
      <c r="O29" t="str">
        <f>_xlfn.XLOOKUP(E29,'Base SKUs'!E:E,'Base SKUs'!C:C)</f>
        <v>Long</v>
      </c>
      <c r="P29" t="s">
        <v>4924</v>
      </c>
    </row>
    <row r="30" spans="1:16" hidden="1" x14ac:dyDescent="0.25">
      <c r="A30" t="s">
        <v>38</v>
      </c>
      <c r="B30" t="s">
        <v>19</v>
      </c>
      <c r="C30" t="s">
        <v>20</v>
      </c>
      <c r="D30">
        <v>9008</v>
      </c>
      <c r="E30" t="s">
        <v>30</v>
      </c>
      <c r="F30">
        <v>390</v>
      </c>
      <c r="G30" t="str">
        <f>_xlfn.XLOOKUP(E30,'Base SKUs'!E:E,'Base SKUs'!D:D)</f>
        <v>Hardwoods</v>
      </c>
      <c r="H30" s="10">
        <f>_xlfn.XLOOKUP(E30,'Base SKUs'!E:E,'Base SKUs'!S:S)</f>
        <v>8.3881283850000005E-3</v>
      </c>
      <c r="I30" s="9">
        <f t="shared" si="0"/>
        <v>3.2709999999999999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13</v>
      </c>
      <c r="O30" t="str">
        <f>_xlfn.XLOOKUP(E30,'Base SKUs'!E:E,'Base SKUs'!C:C)</f>
        <v>Long</v>
      </c>
      <c r="P30" t="s">
        <v>4924</v>
      </c>
    </row>
    <row r="31" spans="1:16" hidden="1" x14ac:dyDescent="0.25">
      <c r="A31" t="s">
        <v>38</v>
      </c>
      <c r="B31" t="s">
        <v>19</v>
      </c>
      <c r="C31" t="s">
        <v>20</v>
      </c>
      <c r="D31">
        <v>9008</v>
      </c>
      <c r="E31" t="s">
        <v>31</v>
      </c>
      <c r="F31">
        <v>50</v>
      </c>
      <c r="G31" t="str">
        <f>_xlfn.XLOOKUP(E31,'Base SKUs'!E:E,'Base SKUs'!D:D)</f>
        <v>Hardwoods</v>
      </c>
      <c r="H31" s="10">
        <f>_xlfn.XLOOKUP(E31,'Base SKUs'!E:E,'Base SKUs'!S:S)</f>
        <v>9.0333690299999984E-3</v>
      </c>
      <c r="I31" s="9">
        <f t="shared" si="0"/>
        <v>0.45200000000000001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14</v>
      </c>
      <c r="O31" t="str">
        <f>_xlfn.XLOOKUP(E31,'Base SKUs'!E:E,'Base SKUs'!C:C)</f>
        <v>Long</v>
      </c>
      <c r="P31" t="s">
        <v>4924</v>
      </c>
    </row>
    <row r="32" spans="1:16" hidden="1" x14ac:dyDescent="0.25">
      <c r="A32" t="s">
        <v>38</v>
      </c>
      <c r="B32" t="s">
        <v>19</v>
      </c>
      <c r="C32" t="s">
        <v>20</v>
      </c>
      <c r="D32">
        <v>9008</v>
      </c>
      <c r="E32" t="s">
        <v>32</v>
      </c>
      <c r="F32">
        <v>255</v>
      </c>
      <c r="G32" t="str">
        <f>_xlfn.XLOOKUP(E32,'Base SKUs'!E:E,'Base SKUs'!D:D)</f>
        <v>Hardwoods</v>
      </c>
      <c r="H32" s="10">
        <f>_xlfn.XLOOKUP(E32,'Base SKUs'!E:E,'Base SKUs'!S:S)</f>
        <v>9.6786096749999981E-3</v>
      </c>
      <c r="I32" s="9">
        <f t="shared" si="0"/>
        <v>2.468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15</v>
      </c>
      <c r="O32" t="str">
        <f>_xlfn.XLOOKUP(E32,'Base SKUs'!E:E,'Base SKUs'!C:C)</f>
        <v>Long</v>
      </c>
      <c r="P32" t="s">
        <v>4924</v>
      </c>
    </row>
    <row r="33" spans="1:16" hidden="1" x14ac:dyDescent="0.25">
      <c r="A33" t="s">
        <v>38</v>
      </c>
      <c r="B33" t="s">
        <v>19</v>
      </c>
      <c r="C33" t="s">
        <v>20</v>
      </c>
      <c r="D33">
        <v>9008</v>
      </c>
      <c r="E33" t="s">
        <v>33</v>
      </c>
      <c r="F33">
        <v>203</v>
      </c>
      <c r="G33" t="str">
        <f>_xlfn.XLOOKUP(E33,'Base SKUs'!E:E,'Base SKUs'!D:D)</f>
        <v>Hardwoods</v>
      </c>
      <c r="H33" s="10">
        <f>_xlfn.XLOOKUP(E33,'Base SKUs'!E:E,'Base SKUs'!S:S)</f>
        <v>1.0323850319999999E-2</v>
      </c>
      <c r="I33" s="9">
        <f t="shared" si="0"/>
        <v>2.0960000000000001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16</v>
      </c>
      <c r="O33" t="str">
        <f>_xlfn.XLOOKUP(E33,'Base SKUs'!E:E,'Base SKUs'!C:C)</f>
        <v>Long</v>
      </c>
      <c r="P33" t="s">
        <v>4924</v>
      </c>
    </row>
    <row r="34" spans="1:16" hidden="1" x14ac:dyDescent="0.25">
      <c r="A34" t="s">
        <v>38</v>
      </c>
      <c r="B34" t="s">
        <v>19</v>
      </c>
      <c r="C34" t="s">
        <v>20</v>
      </c>
      <c r="D34">
        <v>9008</v>
      </c>
      <c r="E34" t="s">
        <v>34</v>
      </c>
      <c r="F34">
        <v>109</v>
      </c>
      <c r="G34" t="str">
        <f>_xlfn.XLOOKUP(E34,'Base SKUs'!E:E,'Base SKUs'!D:D)</f>
        <v>Hardwoods</v>
      </c>
      <c r="H34" s="10">
        <f>_xlfn.XLOOKUP(E34,'Base SKUs'!E:E,'Base SKUs'!S:S)</f>
        <v>1.0969090964999999E-2</v>
      </c>
      <c r="I34" s="9">
        <f t="shared" si="0"/>
        <v>1.196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17</v>
      </c>
      <c r="O34" t="str">
        <f>_xlfn.XLOOKUP(E34,'Base SKUs'!E:E,'Base SKUs'!C:C)</f>
        <v>Long</v>
      </c>
      <c r="P34" t="s">
        <v>4924</v>
      </c>
    </row>
    <row r="35" spans="1:16" hidden="1" x14ac:dyDescent="0.25">
      <c r="A35" t="s">
        <v>38</v>
      </c>
      <c r="B35" t="s">
        <v>19</v>
      </c>
      <c r="C35" t="s">
        <v>20</v>
      </c>
      <c r="D35">
        <v>9008</v>
      </c>
      <c r="E35" t="s">
        <v>39</v>
      </c>
      <c r="F35">
        <v>130</v>
      </c>
      <c r="G35" t="str">
        <f>_xlfn.XLOOKUP(E35,'Base SKUs'!E:E,'Base SKUs'!D:D)</f>
        <v>Hardwoods</v>
      </c>
      <c r="H35" s="10">
        <f>_xlfn.XLOOKUP(E35,'Base SKUs'!E:E,'Base SKUs'!S:S)</f>
        <v>1.2259572254999998E-2</v>
      </c>
      <c r="I35" s="9">
        <f t="shared" si="0"/>
        <v>1.5940000000000001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19</v>
      </c>
      <c r="O35" t="str">
        <f>_xlfn.XLOOKUP(E35,'Base SKUs'!E:E,'Base SKUs'!C:C)</f>
        <v>Long</v>
      </c>
      <c r="P35" t="s">
        <v>4924</v>
      </c>
    </row>
    <row r="36" spans="1:16" hidden="1" x14ac:dyDescent="0.25">
      <c r="A36" t="s">
        <v>38</v>
      </c>
      <c r="B36" t="s">
        <v>19</v>
      </c>
      <c r="C36" t="s">
        <v>20</v>
      </c>
      <c r="D36">
        <v>9008</v>
      </c>
      <c r="E36" t="s">
        <v>36</v>
      </c>
      <c r="F36">
        <v>440</v>
      </c>
      <c r="G36" t="str">
        <f>_xlfn.XLOOKUP(E36,'Base SKUs'!E:E,'Base SKUs'!D:D)</f>
        <v>Hardwoods</v>
      </c>
      <c r="H36" s="10">
        <f>_xlfn.XLOOKUP(E36,'Base SKUs'!E:E,'Base SKUs'!S:S)</f>
        <v>3.8714438699999991E-3</v>
      </c>
      <c r="I36" s="9">
        <f t="shared" si="0"/>
        <v>1.7030000000000001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6</v>
      </c>
      <c r="O36" t="str">
        <f>_xlfn.XLOOKUP(E36,'Base SKUs'!E:E,'Base SKUs'!C:C)</f>
        <v>Short</v>
      </c>
      <c r="P36" t="s">
        <v>4924</v>
      </c>
    </row>
    <row r="37" spans="1:16" hidden="1" x14ac:dyDescent="0.25">
      <c r="A37" t="s">
        <v>38</v>
      </c>
      <c r="B37" t="s">
        <v>19</v>
      </c>
      <c r="C37" t="s">
        <v>20</v>
      </c>
      <c r="D37">
        <v>9008</v>
      </c>
      <c r="E37" t="s">
        <v>37</v>
      </c>
      <c r="F37">
        <v>209</v>
      </c>
      <c r="G37" t="str">
        <f>_xlfn.XLOOKUP(E37,'Base SKUs'!E:E,'Base SKUs'!D:D)</f>
        <v>Hardwoods</v>
      </c>
      <c r="H37" s="10">
        <f>_xlfn.XLOOKUP(E37,'Base SKUs'!E:E,'Base SKUs'!S:S)</f>
        <v>4.5166845149999992E-3</v>
      </c>
      <c r="I37" s="9">
        <f t="shared" si="0"/>
        <v>0.94399999999999995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7</v>
      </c>
      <c r="O37" t="str">
        <f>_xlfn.XLOOKUP(E37,'Base SKUs'!E:E,'Base SKUs'!C:C)</f>
        <v>Short</v>
      </c>
      <c r="P37" t="s">
        <v>4924</v>
      </c>
    </row>
    <row r="38" spans="1:16" hidden="1" x14ac:dyDescent="0.25">
      <c r="A38" t="s">
        <v>38</v>
      </c>
      <c r="B38" t="s">
        <v>19</v>
      </c>
      <c r="C38" t="s">
        <v>20</v>
      </c>
      <c r="D38">
        <v>9008</v>
      </c>
      <c r="E38" t="s">
        <v>41</v>
      </c>
      <c r="F38">
        <v>250</v>
      </c>
      <c r="G38" t="str">
        <f>_xlfn.XLOOKUP(E38,'Base SKUs'!E:E,'Base SKUs'!D:D)</f>
        <v>Hardwoods</v>
      </c>
      <c r="H38" s="10">
        <f>_xlfn.XLOOKUP(E38,'Base SKUs'!E:E,'Base SKUs'!S:S)</f>
        <v>5.1619251599999997E-3</v>
      </c>
      <c r="I38" s="9">
        <f t="shared" si="0"/>
        <v>1.29</v>
      </c>
      <c r="J38" t="str">
        <f>_xlfn.XLOOKUP(E38,'Base SKUs'!E:E,'Base SKUs'!G:G)</f>
        <v>Cumaru</v>
      </c>
      <c r="K38" t="str">
        <f>_xlfn.XLOOKUP(E38,'Base SKUs'!E:E,'Base SKUs'!H:H)</f>
        <v>S4S E4E</v>
      </c>
      <c r="L38" t="str">
        <f>_xlfn.XLOOKUP(E38,'Base SKUs'!E:E,'Base SKUs'!I:I)</f>
        <v>-</v>
      </c>
      <c r="M38" t="str">
        <f>_xlfn.XLOOKUP(E38,'Base SKUs'!E:E,'Base SKUs'!J:J)</f>
        <v>1x4 Plus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4924</v>
      </c>
    </row>
    <row r="39" spans="1:16" hidden="1" x14ac:dyDescent="0.25">
      <c r="A39" t="s">
        <v>38</v>
      </c>
      <c r="B39" t="s">
        <v>19</v>
      </c>
      <c r="C39" t="s">
        <v>20</v>
      </c>
      <c r="D39">
        <v>9008</v>
      </c>
      <c r="E39" t="s">
        <v>42</v>
      </c>
      <c r="F39">
        <v>480</v>
      </c>
      <c r="G39" t="str">
        <f>_xlfn.XLOOKUP(E39,'Base SKUs'!E:E,'Base SKUs'!D:D)</f>
        <v>Hardwoods</v>
      </c>
      <c r="H39" s="10">
        <f>_xlfn.XLOOKUP(E39,'Base SKUs'!E:E,'Base SKUs'!S:S)</f>
        <v>5.8071658049999985E-3</v>
      </c>
      <c r="I39" s="9">
        <f t="shared" si="0"/>
        <v>2.7869999999999999</v>
      </c>
      <c r="J39" t="str">
        <f>_xlfn.XLOOKUP(E39,'Base SKUs'!E:E,'Base SKUs'!G:G)</f>
        <v>Cumaru</v>
      </c>
      <c r="K39" t="str">
        <f>_xlfn.XLOOKUP(E39,'Base SKUs'!E:E,'Base SKUs'!H:H)</f>
        <v>S4S E4E</v>
      </c>
      <c r="L39" t="str">
        <f>_xlfn.XLOOKUP(E39,'Base SKUs'!E:E,'Base SKUs'!I:I)</f>
        <v>-</v>
      </c>
      <c r="M39" t="str">
        <f>_xlfn.XLOOKUP(E39,'Base SKUs'!E:E,'Base SKUs'!J:J)</f>
        <v>1x4 Plus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4924</v>
      </c>
    </row>
    <row r="40" spans="1:16" hidden="1" x14ac:dyDescent="0.25">
      <c r="A40" t="s">
        <v>43</v>
      </c>
      <c r="B40" t="s">
        <v>7</v>
      </c>
      <c r="C40" t="s">
        <v>8</v>
      </c>
      <c r="D40">
        <v>9011</v>
      </c>
      <c r="E40" t="s">
        <v>44</v>
      </c>
      <c r="F40">
        <v>6</v>
      </c>
      <c r="G40" t="str">
        <f>_xlfn.XLOOKUP(E40,'Base SKUs'!E:E,'Base SKUs'!D:D)</f>
        <v>Thermowood</v>
      </c>
      <c r="H40" s="10">
        <f>_xlfn.XLOOKUP(E40,'Base SKUs'!E:E,'Base SKUs'!S:S)</f>
        <v>6.3839999999999999E-3</v>
      </c>
      <c r="I40" s="9">
        <f t="shared" si="0"/>
        <v>3.7999999999999999E-2</v>
      </c>
      <c r="J40" t="str">
        <f>_xlfn.XLOOKUP(E40,'Base SKUs'!E:E,'Base SKUs'!G:G)</f>
        <v>Maximo Thermo Ayous</v>
      </c>
      <c r="K40" t="str">
        <f>_xlfn.XLOOKUP(E40,'Base SKUs'!E:E,'Base SKUs'!H:H)</f>
        <v>VJoint - Square Back</v>
      </c>
      <c r="L40" t="str">
        <f>_xlfn.XLOOKUP(E40,'Base SKUs'!E:E,'Base SKUs'!I:I)</f>
        <v>-</v>
      </c>
      <c r="M40" t="str">
        <f>_xlfn.XLOOKUP(E40,'Base SKUs'!E:E,'Base SKUs'!J:J)</f>
        <v>1x6</v>
      </c>
      <c r="N40">
        <f>_xlfn.XLOOKUP(E40,'Base SKUs'!E:E,'Base SKUs'!K:K)</f>
        <v>8</v>
      </c>
      <c r="O40" t="str">
        <f>_xlfn.XLOOKUP(E40,'Base SKUs'!E:E,'Base SKUs'!C:C)</f>
        <v>Long</v>
      </c>
      <c r="P40" t="s">
        <v>4923</v>
      </c>
    </row>
    <row r="41" spans="1:16" hidden="1" x14ac:dyDescent="0.25">
      <c r="A41" t="s">
        <v>43</v>
      </c>
      <c r="B41" t="s">
        <v>7</v>
      </c>
      <c r="C41" t="s">
        <v>8</v>
      </c>
      <c r="D41">
        <v>9011</v>
      </c>
      <c r="E41" t="s">
        <v>45</v>
      </c>
      <c r="F41">
        <v>6</v>
      </c>
      <c r="G41" t="str">
        <f>_xlfn.XLOOKUP(E41,'Base SKUs'!E:E,'Base SKUs'!D:D)</f>
        <v>Thermowood</v>
      </c>
      <c r="H41" s="10">
        <f>_xlfn.XLOOKUP(E41,'Base SKUs'!E:E,'Base SKUs'!S:S)</f>
        <v>7.182E-3</v>
      </c>
      <c r="I41" s="9">
        <f t="shared" si="0"/>
        <v>4.2999999999999997E-2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9</v>
      </c>
      <c r="O41" t="str">
        <f>_xlfn.XLOOKUP(E41,'Base SKUs'!E:E,'Base SKUs'!C:C)</f>
        <v>Long</v>
      </c>
      <c r="P41" t="s">
        <v>4923</v>
      </c>
    </row>
    <row r="42" spans="1:16" hidden="1" x14ac:dyDescent="0.25">
      <c r="A42" t="s">
        <v>43</v>
      </c>
      <c r="B42" t="s">
        <v>7</v>
      </c>
      <c r="C42" t="s">
        <v>8</v>
      </c>
      <c r="D42">
        <v>9011</v>
      </c>
      <c r="E42" t="s">
        <v>46</v>
      </c>
      <c r="F42">
        <v>1</v>
      </c>
      <c r="G42" t="str">
        <f>_xlfn.XLOOKUP(E42,'Base SKUs'!E:E,'Base SKUs'!D:D)</f>
        <v>Thermowood</v>
      </c>
      <c r="H42" s="10">
        <f>_xlfn.XLOOKUP(E42,'Base SKUs'!E:E,'Base SKUs'!S:S)</f>
        <v>7.980000000000001E-3</v>
      </c>
      <c r="I42" s="9">
        <f t="shared" si="0"/>
        <v>8.0000000000000002E-3</v>
      </c>
      <c r="J42" t="str">
        <f>_xlfn.XLOOKUP(E42,'Base SKUs'!E:E,'Base SKUs'!G:G)</f>
        <v>Maximo Thermo Ayous</v>
      </c>
      <c r="K42" t="str">
        <f>_xlfn.XLOOKUP(E42,'Base SKUs'!E:E,'Base SKUs'!H:H)</f>
        <v>VJoint - Square Back</v>
      </c>
      <c r="L42" t="str">
        <f>_xlfn.XLOOKUP(E42,'Base SKUs'!E:E,'Base SKUs'!I:I)</f>
        <v>-</v>
      </c>
      <c r="M42" t="str">
        <f>_xlfn.XLOOKUP(E42,'Base SKUs'!E:E,'Base SKUs'!J:J)</f>
        <v>1x6</v>
      </c>
      <c r="N42">
        <f>_xlfn.XLOOKUP(E42,'Base SKUs'!E:E,'Base SKUs'!K:K)</f>
        <v>10</v>
      </c>
      <c r="O42" t="str">
        <f>_xlfn.XLOOKUP(E42,'Base SKUs'!E:E,'Base SKUs'!C:C)</f>
        <v>Long</v>
      </c>
      <c r="P42" t="s">
        <v>4923</v>
      </c>
    </row>
    <row r="43" spans="1:16" hidden="1" x14ac:dyDescent="0.25">
      <c r="A43" t="s">
        <v>43</v>
      </c>
      <c r="B43" t="s">
        <v>7</v>
      </c>
      <c r="C43" t="s">
        <v>8</v>
      </c>
      <c r="D43">
        <v>9011</v>
      </c>
      <c r="E43" t="s">
        <v>47</v>
      </c>
      <c r="F43">
        <v>1</v>
      </c>
      <c r="G43" t="str">
        <f>_xlfn.XLOOKUP(E43,'Base SKUs'!E:E,'Base SKUs'!D:D)</f>
        <v>Thermowood</v>
      </c>
      <c r="H43" s="10">
        <f>_xlfn.XLOOKUP(E43,'Base SKUs'!E:E,'Base SKUs'!S:S)</f>
        <v>1.1172E-2</v>
      </c>
      <c r="I43" s="9">
        <f t="shared" si="0"/>
        <v>1.0999999999999999E-2</v>
      </c>
      <c r="J43" t="str">
        <f>_xlfn.XLOOKUP(E43,'Base SKUs'!E:E,'Base SKUs'!G:G)</f>
        <v>Maximo Thermo Ayous</v>
      </c>
      <c r="K43" t="str">
        <f>_xlfn.XLOOKUP(E43,'Base SKUs'!E:E,'Base SKUs'!H:H)</f>
        <v>VJoint - Square Back</v>
      </c>
      <c r="L43" t="str">
        <f>_xlfn.XLOOKUP(E43,'Base SKUs'!E:E,'Base SKUs'!I:I)</f>
        <v>-</v>
      </c>
      <c r="M43" t="str">
        <f>_xlfn.XLOOKUP(E43,'Base SKUs'!E:E,'Base SKUs'!J:J)</f>
        <v>1x6</v>
      </c>
      <c r="N43">
        <f>_xlfn.XLOOKUP(E43,'Base SKUs'!E:E,'Base SKUs'!K:K)</f>
        <v>14</v>
      </c>
      <c r="O43" t="str">
        <f>_xlfn.XLOOKUP(E43,'Base SKUs'!E:E,'Base SKUs'!C:C)</f>
        <v>Long</v>
      </c>
      <c r="P43" t="s">
        <v>4923</v>
      </c>
    </row>
    <row r="44" spans="1:16" hidden="1" x14ac:dyDescent="0.25">
      <c r="A44" t="s">
        <v>48</v>
      </c>
      <c r="B44" t="s">
        <v>7</v>
      </c>
      <c r="C44" t="s">
        <v>8</v>
      </c>
      <c r="D44">
        <v>9011</v>
      </c>
      <c r="E44" t="s">
        <v>49</v>
      </c>
      <c r="F44">
        <v>11</v>
      </c>
      <c r="G44" t="str">
        <f>_xlfn.XLOOKUP(E44,'Base SKUs'!E:E,'Base SKUs'!D:D)</f>
        <v>Hardwoods</v>
      </c>
      <c r="H44" s="10">
        <f>_xlfn.XLOOKUP(E44,'Base SKUs'!E:E,'Base SKUs'!S:S)</f>
        <v>1.7304739584000001E-2</v>
      </c>
      <c r="I44" s="9">
        <f t="shared" si="0"/>
        <v>0.19</v>
      </c>
      <c r="J44" t="str">
        <f>_xlfn.XLOOKUP(E44,'Base SKUs'!E:E,'Base SKUs'!G:G)</f>
        <v>Garapa</v>
      </c>
      <c r="K44" t="str">
        <f>_xlfn.XLOOKUP(E44,'Base SKUs'!E:E,'Base SKUs'!H:H)</f>
        <v>S4S E4E</v>
      </c>
      <c r="L44" t="str">
        <f>_xlfn.XLOOKUP(E44,'Base SKUs'!E:E,'Base SKUs'!I:I)</f>
        <v>-</v>
      </c>
      <c r="M44" t="str">
        <f>_xlfn.XLOOKUP(E44,'Base SKUs'!E:E,'Base SKUs'!J:J)</f>
        <v>5/4x6</v>
      </c>
      <c r="N44">
        <f>_xlfn.XLOOKUP(E44,'Base SKUs'!E:E,'Base SKUs'!K:K)</f>
        <v>16</v>
      </c>
      <c r="O44" t="str">
        <f>_xlfn.XLOOKUP(E44,'Base SKUs'!E:E,'Base SKUs'!C:C)</f>
        <v>Long</v>
      </c>
      <c r="P44" t="s">
        <v>4923</v>
      </c>
    </row>
    <row r="45" spans="1:16" hidden="1" x14ac:dyDescent="0.25">
      <c r="A45" t="s">
        <v>48</v>
      </c>
      <c r="B45" t="s">
        <v>7</v>
      </c>
      <c r="C45" t="s">
        <v>8</v>
      </c>
      <c r="D45">
        <v>9011</v>
      </c>
      <c r="E45" t="s">
        <v>50</v>
      </c>
      <c r="F45">
        <v>41</v>
      </c>
      <c r="G45" t="str">
        <f>_xlfn.XLOOKUP(E45,'Base SKUs'!E:E,'Base SKUs'!D:D)</f>
        <v>Hardwoods</v>
      </c>
      <c r="H45" s="10">
        <f>_xlfn.XLOOKUP(E45,'Base SKUs'!E:E,'Base SKUs'!S:S)</f>
        <v>1.9467832031999997E-2</v>
      </c>
      <c r="I45" s="9">
        <f t="shared" si="0"/>
        <v>0.79800000000000004</v>
      </c>
      <c r="J45" t="str">
        <f>_xlfn.XLOOKUP(E45,'Base SKUs'!E:E,'Base SKUs'!G:G)</f>
        <v>Garapa</v>
      </c>
      <c r="K45" t="str">
        <f>_xlfn.XLOOKUP(E45,'Base SKUs'!E:E,'Base SKUs'!H:H)</f>
        <v>S4S E4E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18</v>
      </c>
      <c r="O45" t="str">
        <f>_xlfn.XLOOKUP(E45,'Base SKUs'!E:E,'Base SKUs'!C:C)</f>
        <v>Long</v>
      </c>
      <c r="P45" t="s">
        <v>4923</v>
      </c>
    </row>
    <row r="46" spans="1:16" hidden="1" x14ac:dyDescent="0.25">
      <c r="A46" t="s">
        <v>51</v>
      </c>
      <c r="B46" t="s">
        <v>7</v>
      </c>
      <c r="C46" t="s">
        <v>8</v>
      </c>
      <c r="D46">
        <v>9007</v>
      </c>
      <c r="E46" t="s">
        <v>52</v>
      </c>
      <c r="F46">
        <v>8</v>
      </c>
      <c r="G46" t="str">
        <f>_xlfn.XLOOKUP(E46,'Base SKUs'!E:E,'Base SKUs'!D:D)</f>
        <v>Thermowood</v>
      </c>
      <c r="H46" s="10">
        <f>_xlfn.XLOOKUP(E46,'Base SKUs'!E:E,'Base SKUs'!S:S)</f>
        <v>8.4000000000000012E-3</v>
      </c>
      <c r="I46" s="9">
        <f t="shared" si="0"/>
        <v>6.7000000000000004E-2</v>
      </c>
      <c r="J46" t="str">
        <f>_xlfn.XLOOKUP(E46,'Base SKUs'!E:E,'Base SKUs'!G:G)</f>
        <v>Maximo Thermo Ash</v>
      </c>
      <c r="K46" t="str">
        <f>_xlfn.XLOOKUP(E46,'Base SKUs'!E:E,'Base SKUs'!H:H)</f>
        <v>S4S E4E End Match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8</v>
      </c>
      <c r="O46" t="str">
        <f>_xlfn.XLOOKUP(E46,'Base SKUs'!E:E,'Base SKUs'!C:C)</f>
        <v>Long</v>
      </c>
      <c r="P46" t="s">
        <v>4923</v>
      </c>
    </row>
    <row r="47" spans="1:16" hidden="1" x14ac:dyDescent="0.25">
      <c r="A47" t="s">
        <v>51</v>
      </c>
      <c r="B47" t="s">
        <v>7</v>
      </c>
      <c r="C47" t="s">
        <v>8</v>
      </c>
      <c r="D47">
        <v>9007</v>
      </c>
      <c r="E47" t="s">
        <v>53</v>
      </c>
      <c r="F47">
        <v>12</v>
      </c>
      <c r="G47" t="str">
        <f>_xlfn.XLOOKUP(E47,'Base SKUs'!E:E,'Base SKUs'!D:D)</f>
        <v>Thermowood</v>
      </c>
      <c r="H47" s="10">
        <f>_xlfn.XLOOKUP(E47,'Base SKUs'!E:E,'Base SKUs'!S:S)</f>
        <v>9.4500000000000018E-3</v>
      </c>
      <c r="I47" s="9">
        <f t="shared" si="0"/>
        <v>0.113</v>
      </c>
      <c r="J47" t="str">
        <f>_xlfn.XLOOKUP(E47,'Base SKUs'!E:E,'Base SKUs'!G:G)</f>
        <v>Maximo Thermo Ash</v>
      </c>
      <c r="K47" t="str">
        <f>_xlfn.XLOOKUP(E47,'Base SKUs'!E:E,'Base SKUs'!H:H)</f>
        <v>S4S E4E End Match</v>
      </c>
      <c r="L47" t="str">
        <f>_xlfn.XLOOKUP(E47,'Base SKUs'!E:E,'Base SKUs'!I:I)</f>
        <v>-</v>
      </c>
      <c r="M47" t="str">
        <f>_xlfn.XLOOKUP(E47,'Base SKUs'!E:E,'Base SKUs'!J:J)</f>
        <v>5/4x6</v>
      </c>
      <c r="N47">
        <f>_xlfn.XLOOKUP(E47,'Base SKUs'!E:E,'Base SKUs'!K:K)</f>
        <v>9</v>
      </c>
      <c r="O47" t="str">
        <f>_xlfn.XLOOKUP(E47,'Base SKUs'!E:E,'Base SKUs'!C:C)</f>
        <v>Long</v>
      </c>
      <c r="P47" t="s">
        <v>4923</v>
      </c>
    </row>
    <row r="48" spans="1:16" hidden="1" x14ac:dyDescent="0.25">
      <c r="A48" t="s">
        <v>51</v>
      </c>
      <c r="B48" t="s">
        <v>7</v>
      </c>
      <c r="C48" t="s">
        <v>8</v>
      </c>
      <c r="D48">
        <v>9007</v>
      </c>
      <c r="E48" t="s">
        <v>54</v>
      </c>
      <c r="F48">
        <v>4</v>
      </c>
      <c r="G48" t="str">
        <f>_xlfn.XLOOKUP(E48,'Base SKUs'!E:E,'Base SKUs'!D:D)</f>
        <v>Thermowood</v>
      </c>
      <c r="H48" s="10">
        <f>_xlfn.XLOOKUP(E48,'Base SKUs'!E:E,'Base SKUs'!S:S)</f>
        <v>1.0500000000000001E-2</v>
      </c>
      <c r="I48" s="9">
        <f t="shared" si="0"/>
        <v>4.2000000000000003E-2</v>
      </c>
      <c r="J48" t="str">
        <f>_xlfn.XLOOKUP(E48,'Base SKUs'!E:E,'Base SKUs'!G:G)</f>
        <v>Maximo Thermo Ash</v>
      </c>
      <c r="K48" t="str">
        <f>_xlfn.XLOOKUP(E48,'Base SKUs'!E:E,'Base SKUs'!H:H)</f>
        <v>S4S E4E End Match</v>
      </c>
      <c r="L48" t="str">
        <f>_xlfn.XLOOKUP(E48,'Base SKUs'!E:E,'Base SKUs'!I:I)</f>
        <v>-</v>
      </c>
      <c r="M48" t="str">
        <f>_xlfn.XLOOKUP(E48,'Base SKUs'!E:E,'Base SKUs'!J:J)</f>
        <v>5/4x6</v>
      </c>
      <c r="N48">
        <f>_xlfn.XLOOKUP(E48,'Base SKUs'!E:E,'Base SKUs'!K:K)</f>
        <v>10</v>
      </c>
      <c r="O48" t="str">
        <f>_xlfn.XLOOKUP(E48,'Base SKUs'!E:E,'Base SKUs'!C:C)</f>
        <v>Long</v>
      </c>
      <c r="P48" t="s">
        <v>4923</v>
      </c>
    </row>
    <row r="49" spans="1:16" hidden="1" x14ac:dyDescent="0.25">
      <c r="A49" t="s">
        <v>51</v>
      </c>
      <c r="B49" t="s">
        <v>7</v>
      </c>
      <c r="C49" t="s">
        <v>8</v>
      </c>
      <c r="D49">
        <v>9007</v>
      </c>
      <c r="E49" t="s">
        <v>55</v>
      </c>
      <c r="F49">
        <v>21</v>
      </c>
      <c r="G49" t="str">
        <f>_xlfn.XLOOKUP(E49,'Base SKUs'!E:E,'Base SKUs'!D:D)</f>
        <v>Thermowood</v>
      </c>
      <c r="H49" s="10">
        <f>_xlfn.XLOOKUP(E49,'Base SKUs'!E:E,'Base SKUs'!S:S)</f>
        <v>3.192E-3</v>
      </c>
      <c r="I49" s="9">
        <f t="shared" si="0"/>
        <v>6.7000000000000004E-2</v>
      </c>
      <c r="J49" t="str">
        <f>_xlfn.XLOOKUP(E49,'Base SKUs'!E:E,'Base SKUs'!G:G)</f>
        <v>Maximo Thermo Ayous</v>
      </c>
      <c r="K49" t="str">
        <f>_xlfn.XLOOKUP(E49,'Base SKUs'!E:E,'Base SKUs'!H:H)</f>
        <v>VJoint - Square Back</v>
      </c>
      <c r="L49" t="str">
        <f>_xlfn.XLOOKUP(E49,'Base SKUs'!E:E,'Base SKUs'!I:I)</f>
        <v>-</v>
      </c>
      <c r="M49" t="str">
        <f>_xlfn.XLOOKUP(E49,'Base SKUs'!E:E,'Base SKUs'!J:J)</f>
        <v>1x6</v>
      </c>
      <c r="N49">
        <f>_xlfn.XLOOKUP(E49,'Base SKUs'!E:E,'Base SKUs'!K:K)</f>
        <v>4</v>
      </c>
      <c r="O49" t="str">
        <f>_xlfn.XLOOKUP(E49,'Base SKUs'!E:E,'Base SKUs'!C:C)</f>
        <v>Short</v>
      </c>
      <c r="P49" t="s">
        <v>4923</v>
      </c>
    </row>
    <row r="50" spans="1:16" hidden="1" x14ac:dyDescent="0.25">
      <c r="A50" t="s">
        <v>51</v>
      </c>
      <c r="B50" t="s">
        <v>7</v>
      </c>
      <c r="C50" t="s">
        <v>8</v>
      </c>
      <c r="D50">
        <v>9007</v>
      </c>
      <c r="E50" t="s">
        <v>56</v>
      </c>
      <c r="F50">
        <v>23</v>
      </c>
      <c r="G50" t="str">
        <f>_xlfn.XLOOKUP(E50,'Base SKUs'!E:E,'Base SKUs'!D:D)</f>
        <v>Thermowood</v>
      </c>
      <c r="H50" s="10">
        <f>_xlfn.XLOOKUP(E50,'Base SKUs'!E:E,'Base SKUs'!S:S)</f>
        <v>4.7880000000000006E-3</v>
      </c>
      <c r="I50" s="9">
        <f t="shared" si="0"/>
        <v>0.11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6</v>
      </c>
      <c r="O50" t="str">
        <f>_xlfn.XLOOKUP(E50,'Base SKUs'!E:E,'Base SKUs'!C:C)</f>
        <v>Short</v>
      </c>
      <c r="P50" t="s">
        <v>4923</v>
      </c>
    </row>
    <row r="51" spans="1:16" hidden="1" x14ac:dyDescent="0.25">
      <c r="A51" t="s">
        <v>51</v>
      </c>
      <c r="B51" t="s">
        <v>7</v>
      </c>
      <c r="C51" t="s">
        <v>8</v>
      </c>
      <c r="D51">
        <v>9007</v>
      </c>
      <c r="E51" t="s">
        <v>46</v>
      </c>
      <c r="F51">
        <v>40</v>
      </c>
      <c r="G51" t="str">
        <f>_xlfn.XLOOKUP(E51,'Base SKUs'!E:E,'Base SKUs'!D:D)</f>
        <v>Thermowood</v>
      </c>
      <c r="H51" s="10">
        <f>_xlfn.XLOOKUP(E51,'Base SKUs'!E:E,'Base SKUs'!S:S)</f>
        <v>7.980000000000001E-3</v>
      </c>
      <c r="I51" s="9">
        <f t="shared" si="0"/>
        <v>0.31900000000000001</v>
      </c>
      <c r="J51" t="str">
        <f>_xlfn.XLOOKUP(E51,'Base SKUs'!E:E,'Base SKUs'!G:G)</f>
        <v>Maximo Thermo Ayous</v>
      </c>
      <c r="K51" t="str">
        <f>_xlfn.XLOOKUP(E51,'Base SKUs'!E:E,'Base SKUs'!H:H)</f>
        <v>VJoint - Square Back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10</v>
      </c>
      <c r="O51" t="str">
        <f>_xlfn.XLOOKUP(E51,'Base SKUs'!E:E,'Base SKUs'!C:C)</f>
        <v>Long</v>
      </c>
      <c r="P51" t="s">
        <v>4923</v>
      </c>
    </row>
    <row r="52" spans="1:16" hidden="1" x14ac:dyDescent="0.25">
      <c r="A52" t="s">
        <v>51</v>
      </c>
      <c r="B52" t="s">
        <v>7</v>
      </c>
      <c r="C52" t="s">
        <v>8</v>
      </c>
      <c r="D52">
        <v>9007</v>
      </c>
      <c r="E52" t="s">
        <v>57</v>
      </c>
      <c r="F52">
        <v>9</v>
      </c>
      <c r="G52" t="str">
        <f>_xlfn.XLOOKUP(E52,'Base SKUs'!E:E,'Base SKUs'!D:D)</f>
        <v>Thermowood</v>
      </c>
      <c r="H52" s="10">
        <f>_xlfn.XLOOKUP(E52,'Base SKUs'!E:E,'Base SKUs'!S:S)</f>
        <v>1.2768E-2</v>
      </c>
      <c r="I52" s="9">
        <f t="shared" si="0"/>
        <v>0.115</v>
      </c>
      <c r="J52" t="str">
        <f>_xlfn.XLOOKUP(E52,'Base SKUs'!E:E,'Base SKUs'!G:G)</f>
        <v>Maximo Thermo Ayous</v>
      </c>
      <c r="K52" t="str">
        <f>_xlfn.XLOOKUP(E52,'Base SKUs'!E:E,'Base SKUs'!H:H)</f>
        <v>VJoint - Square Back</v>
      </c>
      <c r="L52" t="str">
        <f>_xlfn.XLOOKUP(E52,'Base SKUs'!E:E,'Base SKUs'!I:I)</f>
        <v>-</v>
      </c>
      <c r="M52" t="str">
        <f>_xlfn.XLOOKUP(E52,'Base SKUs'!E:E,'Base SKUs'!J:J)</f>
        <v>1x6</v>
      </c>
      <c r="N52">
        <f>_xlfn.XLOOKUP(E52,'Base SKUs'!E:E,'Base SKUs'!K:K)</f>
        <v>16</v>
      </c>
      <c r="O52" t="str">
        <f>_xlfn.XLOOKUP(E52,'Base SKUs'!E:E,'Base SKUs'!C:C)</f>
        <v>Long</v>
      </c>
      <c r="P52" t="s">
        <v>4923</v>
      </c>
    </row>
    <row r="53" spans="1:16" hidden="1" x14ac:dyDescent="0.25">
      <c r="A53" t="s">
        <v>58</v>
      </c>
      <c r="B53" t="s">
        <v>7</v>
      </c>
      <c r="C53" t="s">
        <v>8</v>
      </c>
      <c r="D53">
        <v>9007</v>
      </c>
      <c r="E53" t="s">
        <v>59</v>
      </c>
      <c r="F53">
        <v>13</v>
      </c>
      <c r="G53" t="str">
        <f>_xlfn.XLOOKUP(E53,'Base SKUs'!E:E,'Base SKUs'!D:D)</f>
        <v>Thermowood</v>
      </c>
      <c r="H53" s="10">
        <f>_xlfn.XLOOKUP(E53,'Base SKUs'!E:E,'Base SKUs'!S:S)</f>
        <v>5.5062000000000002E-3</v>
      </c>
      <c r="I53" s="9">
        <f t="shared" si="0"/>
        <v>7.1999999999999995E-2</v>
      </c>
      <c r="J53" t="str">
        <f>_xlfn.XLOOKUP(E53,'Base SKUs'!E:E,'Base SKUs'!G:G)</f>
        <v>Maximo Thermo Clear Radiata</v>
      </c>
      <c r="K53" t="str">
        <f>_xlfn.XLOOKUP(E53,'Base SKUs'!E:E,'Base SKUs'!H:H)</f>
        <v>Nickel Gap</v>
      </c>
      <c r="L53" t="str">
        <f>_xlfn.XLOOKUP(E53,'Base SKUs'!E:E,'Base SKUs'!I:I)</f>
        <v>OPX</v>
      </c>
      <c r="M53" t="str">
        <f>_xlfn.XLOOKUP(E53,'Base SKUs'!E:E,'Base SKUs'!J:J)</f>
        <v>1x6</v>
      </c>
      <c r="N53">
        <f>_xlfn.XLOOKUP(E53,'Base SKUs'!E:E,'Base SKUs'!K:K)</f>
        <v>7</v>
      </c>
      <c r="O53" t="str">
        <f>_xlfn.XLOOKUP(E53,'Base SKUs'!E:E,'Base SKUs'!C:C)</f>
        <v>Short</v>
      </c>
      <c r="P53" t="s">
        <v>4923</v>
      </c>
    </row>
    <row r="54" spans="1:16" hidden="1" x14ac:dyDescent="0.25">
      <c r="A54" t="s">
        <v>58</v>
      </c>
      <c r="B54" t="s">
        <v>7</v>
      </c>
      <c r="C54" t="s">
        <v>8</v>
      </c>
      <c r="D54">
        <v>9007</v>
      </c>
      <c r="E54" t="s">
        <v>60</v>
      </c>
      <c r="F54">
        <v>5</v>
      </c>
      <c r="G54" t="str">
        <f>_xlfn.XLOOKUP(E54,'Base SKUs'!E:E,'Base SKUs'!D:D)</f>
        <v>Thermowood</v>
      </c>
      <c r="H54" s="10">
        <f>_xlfn.XLOOKUP(E54,'Base SKUs'!E:E,'Base SKUs'!S:S)</f>
        <v>7.8659999999999997E-3</v>
      </c>
      <c r="I54" s="9">
        <f t="shared" si="0"/>
        <v>3.9E-2</v>
      </c>
      <c r="J54" t="str">
        <f>_xlfn.XLOOKUP(E54,'Base SKUs'!E:E,'Base SKUs'!G:G)</f>
        <v>Maximo Thermo Clear Radiata</v>
      </c>
      <c r="K54" t="str">
        <f>_xlfn.XLOOKUP(E54,'Base SKUs'!E:E,'Base SKUs'!H:H)</f>
        <v>Nickel Gap</v>
      </c>
      <c r="L54" t="str">
        <f>_xlfn.XLOOKUP(E54,'Base SKUs'!E:E,'Base SKUs'!I:I)</f>
        <v>OPX</v>
      </c>
      <c r="M54" t="str">
        <f>_xlfn.XLOOKUP(E54,'Base SKUs'!E:E,'Base SKUs'!J:J)</f>
        <v>1x6</v>
      </c>
      <c r="N54">
        <f>_xlfn.XLOOKUP(E54,'Base SKUs'!E:E,'Base SKUs'!K:K)</f>
        <v>10</v>
      </c>
      <c r="O54" t="str">
        <f>_xlfn.XLOOKUP(E54,'Base SKUs'!E:E,'Base SKUs'!C:C)</f>
        <v>Long</v>
      </c>
      <c r="P54" t="s">
        <v>4923</v>
      </c>
    </row>
    <row r="55" spans="1:16" hidden="1" x14ac:dyDescent="0.25">
      <c r="A55" t="s">
        <v>58</v>
      </c>
      <c r="B55" t="s">
        <v>7</v>
      </c>
      <c r="C55" t="s">
        <v>8</v>
      </c>
      <c r="D55">
        <v>9007</v>
      </c>
      <c r="E55" t="s">
        <v>61</v>
      </c>
      <c r="F55">
        <v>3</v>
      </c>
      <c r="G55" t="str">
        <f>_xlfn.XLOOKUP(E55,'Base SKUs'!E:E,'Base SKUs'!D:D)</f>
        <v>Thermowood</v>
      </c>
      <c r="H55" s="10">
        <f>_xlfn.XLOOKUP(E55,'Base SKUs'!E:E,'Base SKUs'!S:S)</f>
        <v>1.2585600000000001E-2</v>
      </c>
      <c r="I55" s="9">
        <f t="shared" si="0"/>
        <v>3.7999999999999999E-2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16</v>
      </c>
      <c r="O55" t="str">
        <f>_xlfn.XLOOKUP(E55,'Base SKUs'!E:E,'Base SKUs'!C:C)</f>
        <v>Long</v>
      </c>
      <c r="P55" t="s">
        <v>4923</v>
      </c>
    </row>
    <row r="56" spans="1:16" hidden="1" x14ac:dyDescent="0.25">
      <c r="A56" t="s">
        <v>58</v>
      </c>
      <c r="B56" t="s">
        <v>7</v>
      </c>
      <c r="C56" t="s">
        <v>8</v>
      </c>
      <c r="D56">
        <v>9007</v>
      </c>
      <c r="E56" t="s">
        <v>62</v>
      </c>
      <c r="F56">
        <v>6</v>
      </c>
      <c r="G56" t="str">
        <f>_xlfn.XLOOKUP(E56,'Base SKUs'!E:E,'Base SKUs'!D:D)</f>
        <v>Thermowood</v>
      </c>
      <c r="H56" s="10">
        <f>_xlfn.XLOOKUP(E56,'Base SKUs'!E:E,'Base SKUs'!S:S)</f>
        <v>9.4392E-3</v>
      </c>
      <c r="I56" s="9">
        <f t="shared" si="0"/>
        <v>5.7000000000000002E-2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12</v>
      </c>
      <c r="O56" t="str">
        <f>_xlfn.XLOOKUP(E56,'Base SKUs'!E:E,'Base SKUs'!C:C)</f>
        <v>Long</v>
      </c>
      <c r="P56" t="s">
        <v>4923</v>
      </c>
    </row>
    <row r="57" spans="1:16" hidden="1" x14ac:dyDescent="0.25">
      <c r="A57" t="s">
        <v>58</v>
      </c>
      <c r="B57" t="s">
        <v>7</v>
      </c>
      <c r="C57" t="s">
        <v>8</v>
      </c>
      <c r="D57">
        <v>9007</v>
      </c>
      <c r="E57" t="s">
        <v>63</v>
      </c>
      <c r="F57">
        <v>3</v>
      </c>
      <c r="G57" t="str">
        <f>_xlfn.XLOOKUP(E57,'Base SKUs'!E:E,'Base SKUs'!D:D)</f>
        <v>Thermowood</v>
      </c>
      <c r="H57" s="10">
        <f>_xlfn.XLOOKUP(E57,'Base SKUs'!E:E,'Base SKUs'!S:S)</f>
        <v>1.02258E-2</v>
      </c>
      <c r="I57" s="9">
        <f t="shared" si="0"/>
        <v>3.1E-2</v>
      </c>
      <c r="J57" t="str">
        <f>_xlfn.XLOOKUP(E57,'Base SKUs'!E:E,'Base SKUs'!G:G)</f>
        <v>Maximo Thermo Clear Radiata</v>
      </c>
      <c r="K57" t="str">
        <f>_xlfn.XLOOKUP(E57,'Base SKUs'!E:E,'Base SKUs'!H:H)</f>
        <v>Nickel Gap</v>
      </c>
      <c r="L57" t="str">
        <f>_xlfn.XLOOKUP(E57,'Base SKUs'!E:E,'Base SKUs'!I:I)</f>
        <v>OPX</v>
      </c>
      <c r="M57" t="str">
        <f>_xlfn.XLOOKUP(E57,'Base SKUs'!E:E,'Base SKUs'!J:J)</f>
        <v>1x6</v>
      </c>
      <c r="N57">
        <f>_xlfn.XLOOKUP(E57,'Base SKUs'!E:E,'Base SKUs'!K:K)</f>
        <v>13</v>
      </c>
      <c r="O57" t="str">
        <f>_xlfn.XLOOKUP(E57,'Base SKUs'!E:E,'Base SKUs'!C:C)</f>
        <v>Long</v>
      </c>
      <c r="P57" t="s">
        <v>4923</v>
      </c>
    </row>
    <row r="58" spans="1:16" hidden="1" x14ac:dyDescent="0.25">
      <c r="A58" t="s">
        <v>64</v>
      </c>
      <c r="B58" t="s">
        <v>7</v>
      </c>
      <c r="C58" t="s">
        <v>8</v>
      </c>
      <c r="D58">
        <v>9011</v>
      </c>
      <c r="E58" t="s">
        <v>65</v>
      </c>
      <c r="F58">
        <v>10</v>
      </c>
      <c r="G58" t="str">
        <f>_xlfn.XLOOKUP(E58,'Base SKUs'!E:E,'Base SKUs'!D:D)</f>
        <v>Hardwoods</v>
      </c>
      <c r="H58" s="10">
        <f>_xlfn.XLOOKUP(E58,'Base SKUs'!E:E,'Base SKUs'!S:S)</f>
        <v>9.6355936319999988E-3</v>
      </c>
      <c r="I58" s="9">
        <f t="shared" si="0"/>
        <v>9.6000000000000002E-2</v>
      </c>
      <c r="J58" t="str">
        <f>_xlfn.XLOOKUP(E58,'Base SKUs'!E:E,'Base SKUs'!G:G)</f>
        <v>Ipe</v>
      </c>
      <c r="K58" t="str">
        <f>_xlfn.XLOOKUP(E58,'Base SKUs'!E:E,'Base SKUs'!H:H)</f>
        <v>S4S E4E</v>
      </c>
      <c r="L58" t="str">
        <f>_xlfn.XLOOKUP(E58,'Base SKUs'!E:E,'Base SKUs'!I:I)</f>
        <v>-</v>
      </c>
      <c r="M58" t="str">
        <f>_xlfn.XLOOKUP(E58,'Base SKUs'!E:E,'Base SKUs'!J:J)</f>
        <v>5/4x4</v>
      </c>
      <c r="N58">
        <f>_xlfn.XLOOKUP(E58,'Base SKUs'!E:E,'Base SKUs'!K:K)</f>
        <v>14</v>
      </c>
      <c r="O58" t="str">
        <f>_xlfn.XLOOKUP(E58,'Base SKUs'!E:E,'Base SKUs'!C:C)</f>
        <v>Long</v>
      </c>
      <c r="P58" t="s">
        <v>4923</v>
      </c>
    </row>
    <row r="59" spans="1:16" hidden="1" x14ac:dyDescent="0.25">
      <c r="A59" t="s">
        <v>66</v>
      </c>
      <c r="B59" t="s">
        <v>7</v>
      </c>
      <c r="C59" t="s">
        <v>8</v>
      </c>
      <c r="D59">
        <v>9007</v>
      </c>
      <c r="E59" t="s">
        <v>67</v>
      </c>
      <c r="F59">
        <v>75</v>
      </c>
      <c r="G59" t="str">
        <f>_xlfn.XLOOKUP(E59,'Base SKUs'!E:E,'Base SKUs'!D:D)</f>
        <v>Thermowood</v>
      </c>
      <c r="H59" s="10">
        <f>_xlfn.XLOOKUP(E59,'Base SKUs'!E:E,'Base SKUs'!S:S)</f>
        <v>7.980000000000001E-3</v>
      </c>
      <c r="I59" s="9">
        <f t="shared" si="0"/>
        <v>0.59899999999999998</v>
      </c>
      <c r="J59" t="str">
        <f>_xlfn.XLOOKUP(E59,'Base SKUs'!E:E,'Base SKUs'!G:G)</f>
        <v>Maximo Thermo Ayous</v>
      </c>
      <c r="K59" t="str">
        <f>_xlfn.XLOOKUP(E59,'Base SKUs'!E:E,'Base SKUs'!H:H)</f>
        <v>VJoint - Nickel Gap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10</v>
      </c>
      <c r="O59" t="str">
        <f>_xlfn.XLOOKUP(E59,'Base SKUs'!E:E,'Base SKUs'!C:C)</f>
        <v>Long</v>
      </c>
      <c r="P59" t="s">
        <v>4923</v>
      </c>
    </row>
    <row r="60" spans="1:16" hidden="1" x14ac:dyDescent="0.25">
      <c r="A60" t="s">
        <v>66</v>
      </c>
      <c r="B60" t="s">
        <v>7</v>
      </c>
      <c r="C60" t="s">
        <v>8</v>
      </c>
      <c r="D60">
        <v>9007</v>
      </c>
      <c r="E60" t="s">
        <v>68</v>
      </c>
      <c r="F60">
        <v>3</v>
      </c>
      <c r="G60" t="str">
        <f>_xlfn.XLOOKUP(E60,'Base SKUs'!E:E,'Base SKUs'!D:D)</f>
        <v>Thermowood</v>
      </c>
      <c r="H60" s="10">
        <f>_xlfn.XLOOKUP(E60,'Base SKUs'!E:E,'Base SKUs'!S:S)</f>
        <v>8.7779999999999993E-3</v>
      </c>
      <c r="I60" s="9">
        <f t="shared" si="0"/>
        <v>2.5999999999999999E-2</v>
      </c>
      <c r="J60" t="str">
        <f>_xlfn.XLOOKUP(E60,'Base SKUs'!E:E,'Base SKUs'!G:G)</f>
        <v>Maximo Thermo Ayous</v>
      </c>
      <c r="K60" t="str">
        <f>_xlfn.XLOOKUP(E60,'Base SKUs'!E:E,'Base SKUs'!H:H)</f>
        <v>VJoint - Nickel Gap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11</v>
      </c>
      <c r="O60" t="str">
        <f>_xlfn.XLOOKUP(E60,'Base SKUs'!E:E,'Base SKUs'!C:C)</f>
        <v>Long</v>
      </c>
      <c r="P60" t="s">
        <v>4923</v>
      </c>
    </row>
    <row r="61" spans="1:16" hidden="1" x14ac:dyDescent="0.25">
      <c r="A61" t="s">
        <v>66</v>
      </c>
      <c r="B61" t="s">
        <v>7</v>
      </c>
      <c r="C61" t="s">
        <v>8</v>
      </c>
      <c r="D61">
        <v>9007</v>
      </c>
      <c r="E61" t="s">
        <v>9</v>
      </c>
      <c r="F61">
        <v>4</v>
      </c>
      <c r="G61" t="str">
        <f>_xlfn.XLOOKUP(E61,'Base SKUs'!E:E,'Base SKUs'!D:D)</f>
        <v>Thermowood</v>
      </c>
      <c r="H61" s="10">
        <f>_xlfn.XLOOKUP(E61,'Base SKUs'!E:E,'Base SKUs'!S:S)</f>
        <v>1.1172E-2</v>
      </c>
      <c r="I61" s="9">
        <f t="shared" si="0"/>
        <v>4.4999999999999998E-2</v>
      </c>
      <c r="J61" t="str">
        <f>_xlfn.XLOOKUP(E61,'Base SKUs'!E:E,'Base SKUs'!G:G)</f>
        <v>Maximo Thermo Ayous</v>
      </c>
      <c r="K61" t="str">
        <f>_xlfn.XLOOKUP(E61,'Base SKUs'!E:E,'Base SKUs'!H:H)</f>
        <v>VJoint - Nickel Gap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14</v>
      </c>
      <c r="O61" t="str">
        <f>_xlfn.XLOOKUP(E61,'Base SKUs'!E:E,'Base SKUs'!C:C)</f>
        <v>Long</v>
      </c>
      <c r="P61" t="s">
        <v>4923</v>
      </c>
    </row>
    <row r="62" spans="1:16" hidden="1" x14ac:dyDescent="0.25">
      <c r="A62" t="s">
        <v>66</v>
      </c>
      <c r="B62" t="s">
        <v>7</v>
      </c>
      <c r="C62" t="s">
        <v>8</v>
      </c>
      <c r="D62">
        <v>9007</v>
      </c>
      <c r="E62" t="s">
        <v>44</v>
      </c>
      <c r="F62">
        <v>42</v>
      </c>
      <c r="G62" t="str">
        <f>_xlfn.XLOOKUP(E62,'Base SKUs'!E:E,'Base SKUs'!D:D)</f>
        <v>Thermowood</v>
      </c>
      <c r="H62" s="10">
        <f>_xlfn.XLOOKUP(E62,'Base SKUs'!E:E,'Base SKUs'!S:S)</f>
        <v>6.3839999999999999E-3</v>
      </c>
      <c r="I62" s="9">
        <f t="shared" si="0"/>
        <v>0.26800000000000002</v>
      </c>
      <c r="J62" t="str">
        <f>_xlfn.XLOOKUP(E62,'Base SKUs'!E:E,'Base SKUs'!G:G)</f>
        <v>Maximo Thermo Ayous</v>
      </c>
      <c r="K62" t="str">
        <f>_xlfn.XLOOKUP(E62,'Base SKUs'!E:E,'Base SKUs'!H:H)</f>
        <v>VJoint - Square Back</v>
      </c>
      <c r="L62" t="str">
        <f>_xlfn.XLOOKUP(E62,'Base SKUs'!E:E,'Base SKUs'!I:I)</f>
        <v>-</v>
      </c>
      <c r="M62" t="str">
        <f>_xlfn.XLOOKUP(E62,'Base SKUs'!E:E,'Base SKUs'!J:J)</f>
        <v>1x6</v>
      </c>
      <c r="N62">
        <f>_xlfn.XLOOKUP(E62,'Base SKUs'!E:E,'Base SKUs'!K:K)</f>
        <v>8</v>
      </c>
      <c r="O62" t="str">
        <f>_xlfn.XLOOKUP(E62,'Base SKUs'!E:E,'Base SKUs'!C:C)</f>
        <v>Long</v>
      </c>
      <c r="P62" t="s">
        <v>4923</v>
      </c>
    </row>
    <row r="63" spans="1:16" hidden="1" x14ac:dyDescent="0.25">
      <c r="A63" t="s">
        <v>69</v>
      </c>
      <c r="B63" t="s">
        <v>7</v>
      </c>
      <c r="C63" t="s">
        <v>8</v>
      </c>
      <c r="D63">
        <v>9008</v>
      </c>
      <c r="E63" t="s">
        <v>70</v>
      </c>
      <c r="F63">
        <v>7</v>
      </c>
      <c r="G63" t="str">
        <f>_xlfn.XLOOKUP(E63,'Base SKUs'!E:E,'Base SKUs'!D:D)</f>
        <v>Thermowood</v>
      </c>
      <c r="H63" s="10">
        <f>_xlfn.XLOOKUP(E63,'Base SKUs'!E:E,'Base SKUs'!S:S)</f>
        <v>8.6525999999999999E-3</v>
      </c>
      <c r="I63" s="9">
        <f t="shared" si="0"/>
        <v>6.0999999999999999E-2</v>
      </c>
      <c r="J63" t="str">
        <f>_xlfn.XLOOKUP(E63,'Base SKUs'!E:E,'Base SKUs'!G:G)</f>
        <v>Maximo Thermo Clear Radiata</v>
      </c>
      <c r="K63" t="str">
        <f>_xlfn.XLOOKUP(E63,'Base SKUs'!E:E,'Base SKUs'!H:H)</f>
        <v>Nickel Gap</v>
      </c>
      <c r="L63" t="str">
        <f>_xlfn.XLOOKUP(E63,'Base SKUs'!E:E,'Base SKUs'!I:I)</f>
        <v>OPX</v>
      </c>
      <c r="M63" t="str">
        <f>_xlfn.XLOOKUP(E63,'Base SKUs'!E:E,'Base SKUs'!J:J)</f>
        <v>1x6</v>
      </c>
      <c r="N63">
        <f>_xlfn.XLOOKUP(E63,'Base SKUs'!E:E,'Base SKUs'!K:K)</f>
        <v>11</v>
      </c>
      <c r="O63" t="str">
        <f>_xlfn.XLOOKUP(E63,'Base SKUs'!E:E,'Base SKUs'!C:C)</f>
        <v>Long</v>
      </c>
      <c r="P63" t="s">
        <v>4923</v>
      </c>
    </row>
    <row r="64" spans="1:16" hidden="1" x14ac:dyDescent="0.25">
      <c r="A64" t="s">
        <v>71</v>
      </c>
      <c r="B64" t="s">
        <v>7</v>
      </c>
      <c r="C64" t="s">
        <v>8</v>
      </c>
      <c r="D64">
        <v>9011</v>
      </c>
      <c r="E64" t="s">
        <v>72</v>
      </c>
      <c r="F64">
        <v>21</v>
      </c>
      <c r="G64" t="str">
        <f>_xlfn.XLOOKUP(E64,'Base SKUs'!E:E,'Base SKUs'!D:D)</f>
        <v>Hardwoods</v>
      </c>
      <c r="H64" s="10">
        <f>_xlfn.XLOOKUP(E64,'Base SKUs'!E:E,'Base SKUs'!S:S)</f>
        <v>1.081546224E-2</v>
      </c>
      <c r="I64" s="9">
        <f t="shared" si="0"/>
        <v>0.22700000000000001</v>
      </c>
      <c r="J64" t="str">
        <f>_xlfn.XLOOKUP(E64,'Base SKUs'!E:E,'Base SKUs'!G:G)</f>
        <v>Ipe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5/4x6</v>
      </c>
      <c r="N64">
        <f>_xlfn.XLOOKUP(E64,'Base SKUs'!E:E,'Base SKUs'!K:K)</f>
        <v>10</v>
      </c>
      <c r="O64" t="str">
        <f>_xlfn.XLOOKUP(E64,'Base SKUs'!E:E,'Base SKUs'!C:C)</f>
        <v>Long</v>
      </c>
      <c r="P64" t="s">
        <v>4923</v>
      </c>
    </row>
    <row r="65" spans="1:16" hidden="1" x14ac:dyDescent="0.25">
      <c r="A65" t="s">
        <v>71</v>
      </c>
      <c r="B65" t="s">
        <v>7</v>
      </c>
      <c r="C65" t="s">
        <v>8</v>
      </c>
      <c r="D65">
        <v>9011</v>
      </c>
      <c r="E65" t="s">
        <v>73</v>
      </c>
      <c r="F65">
        <v>2</v>
      </c>
      <c r="G65" t="str">
        <f>_xlfn.XLOOKUP(E65,'Base SKUs'!E:E,'Base SKUs'!D:D)</f>
        <v>Hardwoods</v>
      </c>
      <c r="H65" s="10">
        <f>_xlfn.XLOOKUP(E65,'Base SKUs'!E:E,'Base SKUs'!S:S)</f>
        <v>7.1382050783999992E-2</v>
      </c>
      <c r="I65" s="9">
        <f t="shared" si="0"/>
        <v>0.14299999999999999</v>
      </c>
      <c r="J65" t="str">
        <f>_xlfn.XLOOKUP(E65,'Base SKUs'!E:E,'Base SKUs'!G:G)</f>
        <v>Ipe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6x6</v>
      </c>
      <c r="N65">
        <f>_xlfn.XLOOKUP(E65,'Base SKUs'!E:E,'Base SKUs'!K:K)</f>
        <v>12</v>
      </c>
      <c r="O65" t="str">
        <f>_xlfn.XLOOKUP(E65,'Base SKUs'!E:E,'Base SKUs'!C:C)</f>
        <v>Long</v>
      </c>
      <c r="P65" t="s">
        <v>4923</v>
      </c>
    </row>
    <row r="66" spans="1:16" hidden="1" x14ac:dyDescent="0.25">
      <c r="A66" t="s">
        <v>71</v>
      </c>
      <c r="B66" t="s">
        <v>7</v>
      </c>
      <c r="C66" t="s">
        <v>8</v>
      </c>
      <c r="D66">
        <v>9011</v>
      </c>
      <c r="E66" t="s">
        <v>74</v>
      </c>
      <c r="F66">
        <v>2</v>
      </c>
      <c r="G66" t="str">
        <f>_xlfn.XLOOKUP(E66,'Base SKUs'!E:E,'Base SKUs'!D:D)</f>
        <v>Hardwoods</v>
      </c>
      <c r="H66" s="10">
        <f>_xlfn.XLOOKUP(E66,'Base SKUs'!E:E,'Base SKUs'!S:S)</f>
        <v>8.327905924799997E-2</v>
      </c>
      <c r="I66" s="9">
        <f t="shared" ref="I66:I129" si="1">IF(OR(G66="Norx",K66="Tiles"),ROUND(F66,3),ROUND(F66*H66,3))</f>
        <v>0.16700000000000001</v>
      </c>
      <c r="J66" t="str">
        <f>_xlfn.XLOOKUP(E66,'Base SKUs'!E:E,'Base SKUs'!G:G)</f>
        <v>Ipe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6x6</v>
      </c>
      <c r="N66">
        <f>_xlfn.XLOOKUP(E66,'Base SKUs'!E:E,'Base SKUs'!K:K)</f>
        <v>14</v>
      </c>
      <c r="O66" t="str">
        <f>_xlfn.XLOOKUP(E66,'Base SKUs'!E:E,'Base SKUs'!C:C)</f>
        <v>Long</v>
      </c>
      <c r="P66" t="s">
        <v>4923</v>
      </c>
    </row>
    <row r="67" spans="1:16" hidden="1" x14ac:dyDescent="0.25">
      <c r="A67" t="s">
        <v>71</v>
      </c>
      <c r="B67" t="s">
        <v>7</v>
      </c>
      <c r="C67" t="s">
        <v>8</v>
      </c>
      <c r="D67">
        <v>9011</v>
      </c>
      <c r="E67" t="s">
        <v>75</v>
      </c>
      <c r="F67">
        <v>1</v>
      </c>
      <c r="G67" t="str">
        <f>_xlfn.XLOOKUP(E67,'Base SKUs'!E:E,'Base SKUs'!D:D)</f>
        <v>Hardwoods</v>
      </c>
      <c r="H67" s="10">
        <f>_xlfn.XLOOKUP(E67,'Base SKUs'!E:E,'Base SKUs'!S:S)</f>
        <v>6.1943101919999998E-3</v>
      </c>
      <c r="I67" s="9">
        <f t="shared" si="1"/>
        <v>6.0000000000000001E-3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2x4</v>
      </c>
      <c r="N67">
        <f>_xlfn.XLOOKUP(E67,'Base SKUs'!E:E,'Base SKUs'!K:K)</f>
        <v>6</v>
      </c>
      <c r="O67" t="str">
        <f>_xlfn.XLOOKUP(E67,'Base SKUs'!E:E,'Base SKUs'!C:C)</f>
        <v>Short</v>
      </c>
      <c r="P67" t="s">
        <v>4923</v>
      </c>
    </row>
    <row r="68" spans="1:16" hidden="1" x14ac:dyDescent="0.25">
      <c r="A68" t="s">
        <v>71</v>
      </c>
      <c r="B68" t="s">
        <v>7</v>
      </c>
      <c r="C68" t="s">
        <v>8</v>
      </c>
      <c r="D68">
        <v>9011</v>
      </c>
      <c r="E68" t="s">
        <v>76</v>
      </c>
      <c r="F68">
        <v>1</v>
      </c>
      <c r="G68" t="str">
        <f>_xlfn.XLOOKUP(E68,'Base SKUs'!E:E,'Base SKUs'!D:D)</f>
        <v>Hardwoods</v>
      </c>
      <c r="H68" s="10">
        <f>_xlfn.XLOOKUP(E68,'Base SKUs'!E:E,'Base SKUs'!S:S)</f>
        <v>3.2741353872000001E-2</v>
      </c>
      <c r="I68" s="9">
        <f t="shared" si="1"/>
        <v>3.3000000000000002E-2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2x10</v>
      </c>
      <c r="N68">
        <f>_xlfn.XLOOKUP(E68,'Base SKUs'!E:E,'Base SKUs'!K:K)</f>
        <v>12</v>
      </c>
      <c r="O68" t="str">
        <f>_xlfn.XLOOKUP(E68,'Base SKUs'!E:E,'Base SKUs'!C:C)</f>
        <v>Long</v>
      </c>
      <c r="P68" t="s">
        <v>4923</v>
      </c>
    </row>
    <row r="69" spans="1:16" hidden="1" x14ac:dyDescent="0.25">
      <c r="A69" t="s">
        <v>71</v>
      </c>
      <c r="B69" t="s">
        <v>7</v>
      </c>
      <c r="C69" t="s">
        <v>8</v>
      </c>
      <c r="D69">
        <v>9011</v>
      </c>
      <c r="E69" t="s">
        <v>77</v>
      </c>
      <c r="F69">
        <v>1</v>
      </c>
      <c r="G69" t="str">
        <f>_xlfn.XLOOKUP(E69,'Base SKUs'!E:E,'Base SKUs'!D:D)</f>
        <v>Hardwoods</v>
      </c>
      <c r="H69" s="10">
        <f>_xlfn.XLOOKUP(E69,'Base SKUs'!E:E,'Base SKUs'!S:S)</f>
        <v>5.4568923120000008E-2</v>
      </c>
      <c r="I69" s="9">
        <f t="shared" si="1"/>
        <v>5.5E-2</v>
      </c>
      <c r="J69" t="str">
        <f>_xlfn.XLOOKUP(E69,'Base SKUs'!E:E,'Base SKUs'!G:G)</f>
        <v>Ipe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2x10</v>
      </c>
      <c r="N69">
        <f>_xlfn.XLOOKUP(E69,'Base SKUs'!E:E,'Base SKUs'!K:K)</f>
        <v>20</v>
      </c>
      <c r="O69" t="str">
        <f>_xlfn.XLOOKUP(E69,'Base SKUs'!E:E,'Base SKUs'!C:C)</f>
        <v>Long</v>
      </c>
      <c r="P69" t="s">
        <v>4923</v>
      </c>
    </row>
    <row r="70" spans="1:16" hidden="1" x14ac:dyDescent="0.25">
      <c r="A70" t="s">
        <v>71</v>
      </c>
      <c r="B70" t="s">
        <v>7</v>
      </c>
      <c r="C70" t="s">
        <v>8</v>
      </c>
      <c r="D70">
        <v>9011</v>
      </c>
      <c r="E70" t="s">
        <v>78</v>
      </c>
      <c r="F70">
        <v>1</v>
      </c>
      <c r="G70" t="str">
        <f>_xlfn.XLOOKUP(E70,'Base SKUs'!E:E,'Base SKUs'!D:D)</f>
        <v>Hardwoods</v>
      </c>
      <c r="H70" s="10">
        <f>_xlfn.XLOOKUP(E70,'Base SKUs'!E:E,'Base SKUs'!S:S)</f>
        <v>8.6523697920000003E-3</v>
      </c>
      <c r="I70" s="9">
        <f t="shared" si="1"/>
        <v>8.9999999999999993E-3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5/4x6</v>
      </c>
      <c r="N70">
        <f>_xlfn.XLOOKUP(E70,'Base SKUs'!E:E,'Base SKUs'!K:K)</f>
        <v>8</v>
      </c>
      <c r="O70" t="str">
        <f>_xlfn.XLOOKUP(E70,'Base SKUs'!E:E,'Base SKUs'!C:C)</f>
        <v>Long</v>
      </c>
      <c r="P70" t="s">
        <v>4923</v>
      </c>
    </row>
    <row r="71" spans="1:16" hidden="1" x14ac:dyDescent="0.25">
      <c r="A71" t="s">
        <v>71</v>
      </c>
      <c r="B71" t="s">
        <v>7</v>
      </c>
      <c r="C71" t="s">
        <v>8</v>
      </c>
      <c r="D71">
        <v>9011</v>
      </c>
      <c r="E71" t="s">
        <v>79</v>
      </c>
      <c r="F71">
        <v>13</v>
      </c>
      <c r="G71" t="str">
        <f>_xlfn.XLOOKUP(E71,'Base SKUs'!E:E,'Base SKUs'!D:D)</f>
        <v>Hardwoods</v>
      </c>
      <c r="H71" s="10">
        <f>_xlfn.XLOOKUP(E71,'Base SKUs'!E:E,'Base SKUs'!S:S)</f>
        <v>1.081546224E-2</v>
      </c>
      <c r="I71" s="9">
        <f t="shared" si="1"/>
        <v>0.14099999999999999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5/4x6</v>
      </c>
      <c r="N71">
        <f>_xlfn.XLOOKUP(E71,'Base SKUs'!E:E,'Base SKUs'!K:K)</f>
        <v>10</v>
      </c>
      <c r="O71" t="str">
        <f>_xlfn.XLOOKUP(E71,'Base SKUs'!E:E,'Base SKUs'!C:C)</f>
        <v>Long</v>
      </c>
      <c r="P71" t="s">
        <v>4923</v>
      </c>
    </row>
    <row r="72" spans="1:16" hidden="1" x14ac:dyDescent="0.25">
      <c r="A72" t="s">
        <v>71</v>
      </c>
      <c r="B72" t="s">
        <v>7</v>
      </c>
      <c r="C72" t="s">
        <v>8</v>
      </c>
      <c r="D72">
        <v>9011</v>
      </c>
      <c r="E72" t="s">
        <v>80</v>
      </c>
      <c r="F72">
        <v>18</v>
      </c>
      <c r="G72" t="str">
        <f>_xlfn.XLOOKUP(E72,'Base SKUs'!E:E,'Base SKUs'!D:D)</f>
        <v>Hardwoods</v>
      </c>
      <c r="H72" s="10">
        <f>_xlfn.XLOOKUP(E72,'Base SKUs'!E:E,'Base SKUs'!S:S)</f>
        <v>1.2978554687999997E-2</v>
      </c>
      <c r="I72" s="9">
        <f t="shared" si="1"/>
        <v>0.23400000000000001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5/4x6</v>
      </c>
      <c r="N72">
        <f>_xlfn.XLOOKUP(E72,'Base SKUs'!E:E,'Base SKUs'!K:K)</f>
        <v>12</v>
      </c>
      <c r="O72" t="str">
        <f>_xlfn.XLOOKUP(E72,'Base SKUs'!E:E,'Base SKUs'!C:C)</f>
        <v>Long</v>
      </c>
      <c r="P72" t="s">
        <v>4923</v>
      </c>
    </row>
    <row r="73" spans="1:16" hidden="1" x14ac:dyDescent="0.25">
      <c r="A73" t="s">
        <v>71</v>
      </c>
      <c r="B73" t="s">
        <v>7</v>
      </c>
      <c r="C73" t="s">
        <v>8</v>
      </c>
      <c r="D73">
        <v>9011</v>
      </c>
      <c r="E73" t="s">
        <v>81</v>
      </c>
      <c r="F73">
        <v>4</v>
      </c>
      <c r="G73" t="str">
        <f>_xlfn.XLOOKUP(E73,'Base SKUs'!E:E,'Base SKUs'!D:D)</f>
        <v>Hardwoods</v>
      </c>
      <c r="H73" s="10">
        <f>_xlfn.XLOOKUP(E73,'Base SKUs'!E:E,'Base SKUs'!S:S)</f>
        <v>1.5141647135999997E-2</v>
      </c>
      <c r="I73" s="9">
        <f t="shared" si="1"/>
        <v>6.0999999999999999E-2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14</v>
      </c>
      <c r="O73" t="str">
        <f>_xlfn.XLOOKUP(E73,'Base SKUs'!E:E,'Base SKUs'!C:C)</f>
        <v>Long</v>
      </c>
      <c r="P73" t="s">
        <v>4923</v>
      </c>
    </row>
    <row r="74" spans="1:16" hidden="1" x14ac:dyDescent="0.25">
      <c r="A74" t="s">
        <v>71</v>
      </c>
      <c r="B74" t="s">
        <v>7</v>
      </c>
      <c r="C74" t="s">
        <v>8</v>
      </c>
      <c r="D74">
        <v>9011</v>
      </c>
      <c r="E74" t="s">
        <v>82</v>
      </c>
      <c r="F74">
        <v>9</v>
      </c>
      <c r="G74" t="str">
        <f>_xlfn.XLOOKUP(E74,'Base SKUs'!E:E,'Base SKUs'!D:D)</f>
        <v>Hardwoods</v>
      </c>
      <c r="H74" s="10">
        <f>_xlfn.XLOOKUP(E74,'Base SKUs'!E:E,'Base SKUs'!S:S)</f>
        <v>1.9467832031999997E-2</v>
      </c>
      <c r="I74" s="9">
        <f t="shared" si="1"/>
        <v>0.17499999999999999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5/4x6</v>
      </c>
      <c r="N74">
        <f>_xlfn.XLOOKUP(E74,'Base SKUs'!E:E,'Base SKUs'!K:K)</f>
        <v>18</v>
      </c>
      <c r="O74" t="str">
        <f>_xlfn.XLOOKUP(E74,'Base SKUs'!E:E,'Base SKUs'!C:C)</f>
        <v>Long</v>
      </c>
      <c r="P74" t="s">
        <v>4923</v>
      </c>
    </row>
    <row r="75" spans="1:16" hidden="1" x14ac:dyDescent="0.25">
      <c r="A75" t="s">
        <v>83</v>
      </c>
      <c r="B75" t="s">
        <v>19</v>
      </c>
      <c r="C75" t="s">
        <v>20</v>
      </c>
      <c r="D75">
        <v>9008</v>
      </c>
      <c r="E75" t="s">
        <v>41</v>
      </c>
      <c r="F75">
        <v>115</v>
      </c>
      <c r="G75" t="str">
        <f>_xlfn.XLOOKUP(E75,'Base SKUs'!E:E,'Base SKUs'!D:D)</f>
        <v>Hardwoods</v>
      </c>
      <c r="H75" s="10">
        <f>_xlfn.XLOOKUP(E75,'Base SKUs'!E:E,'Base SKUs'!S:S)</f>
        <v>5.1619251599999997E-3</v>
      </c>
      <c r="I75" s="9">
        <f t="shared" si="1"/>
        <v>0.59399999999999997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1x4 Plus</v>
      </c>
      <c r="N75">
        <f>_xlfn.XLOOKUP(E75,'Base SKUs'!E:E,'Base SKUs'!K:K)</f>
        <v>8</v>
      </c>
      <c r="O75" t="str">
        <f>_xlfn.XLOOKUP(E75,'Base SKUs'!E:E,'Base SKUs'!C:C)</f>
        <v>Long</v>
      </c>
      <c r="P75" t="s">
        <v>4924</v>
      </c>
    </row>
    <row r="76" spans="1:16" hidden="1" x14ac:dyDescent="0.25">
      <c r="A76" t="s">
        <v>83</v>
      </c>
      <c r="B76" t="s">
        <v>19</v>
      </c>
      <c r="C76" t="s">
        <v>20</v>
      </c>
      <c r="D76">
        <v>9008</v>
      </c>
      <c r="E76" t="s">
        <v>28</v>
      </c>
      <c r="F76">
        <v>250</v>
      </c>
      <c r="G76" t="str">
        <f>_xlfn.XLOOKUP(E76,'Base SKUs'!E:E,'Base SKUs'!D:D)</f>
        <v>Hardwoods</v>
      </c>
      <c r="H76" s="10">
        <f>_xlfn.XLOOKUP(E76,'Base SKUs'!E:E,'Base SKUs'!S:S)</f>
        <v>6.452406449999999E-3</v>
      </c>
      <c r="I76" s="9">
        <f t="shared" si="1"/>
        <v>1.613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1x4 Plus</v>
      </c>
      <c r="N76">
        <f>_xlfn.XLOOKUP(E76,'Base SKUs'!E:E,'Base SKUs'!K:K)</f>
        <v>10</v>
      </c>
      <c r="O76" t="str">
        <f>_xlfn.XLOOKUP(E76,'Base SKUs'!E:E,'Base SKUs'!C:C)</f>
        <v>Long</v>
      </c>
      <c r="P76" t="s">
        <v>4924</v>
      </c>
    </row>
    <row r="77" spans="1:16" hidden="1" x14ac:dyDescent="0.25">
      <c r="A77" t="s">
        <v>83</v>
      </c>
      <c r="B77" t="s">
        <v>19</v>
      </c>
      <c r="C77" t="s">
        <v>20</v>
      </c>
      <c r="D77">
        <v>9008</v>
      </c>
      <c r="E77" t="s">
        <v>29</v>
      </c>
      <c r="F77">
        <v>270</v>
      </c>
      <c r="G77" t="str">
        <f>_xlfn.XLOOKUP(E77,'Base SKUs'!E:E,'Base SKUs'!D:D)</f>
        <v>Hardwoods</v>
      </c>
      <c r="H77" s="10">
        <f>_xlfn.XLOOKUP(E77,'Base SKUs'!E:E,'Base SKUs'!S:S)</f>
        <v>7.0976470949999987E-3</v>
      </c>
      <c r="I77" s="9">
        <f t="shared" si="1"/>
        <v>1.9159999999999999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1x4 Plus</v>
      </c>
      <c r="N77">
        <f>_xlfn.XLOOKUP(E77,'Base SKUs'!E:E,'Base SKUs'!K:K)</f>
        <v>11</v>
      </c>
      <c r="O77" t="str">
        <f>_xlfn.XLOOKUP(E77,'Base SKUs'!E:E,'Base SKUs'!C:C)</f>
        <v>Long</v>
      </c>
      <c r="P77" t="s">
        <v>4924</v>
      </c>
    </row>
    <row r="78" spans="1:16" hidden="1" x14ac:dyDescent="0.25">
      <c r="A78" t="s">
        <v>83</v>
      </c>
      <c r="B78" t="s">
        <v>19</v>
      </c>
      <c r="C78" t="s">
        <v>20</v>
      </c>
      <c r="D78">
        <v>9008</v>
      </c>
      <c r="E78" t="s">
        <v>33</v>
      </c>
      <c r="F78">
        <v>75</v>
      </c>
      <c r="G78" t="str">
        <f>_xlfn.XLOOKUP(E78,'Base SKUs'!E:E,'Base SKUs'!D:D)</f>
        <v>Hardwoods</v>
      </c>
      <c r="H78" s="10">
        <f>_xlfn.XLOOKUP(E78,'Base SKUs'!E:E,'Base SKUs'!S:S)</f>
        <v>1.0323850319999999E-2</v>
      </c>
      <c r="I78" s="9">
        <f t="shared" si="1"/>
        <v>0.77400000000000002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16</v>
      </c>
      <c r="O78" t="str">
        <f>_xlfn.XLOOKUP(E78,'Base SKUs'!E:E,'Base SKUs'!C:C)</f>
        <v>Long</v>
      </c>
      <c r="P78" t="s">
        <v>4924</v>
      </c>
    </row>
    <row r="79" spans="1:16" hidden="1" x14ac:dyDescent="0.25">
      <c r="A79" t="s">
        <v>83</v>
      </c>
      <c r="B79" t="s">
        <v>19</v>
      </c>
      <c r="C79" t="s">
        <v>20</v>
      </c>
      <c r="D79">
        <v>9008</v>
      </c>
      <c r="E79" t="s">
        <v>34</v>
      </c>
      <c r="F79">
        <v>74</v>
      </c>
      <c r="G79" t="str">
        <f>_xlfn.XLOOKUP(E79,'Base SKUs'!E:E,'Base SKUs'!D:D)</f>
        <v>Hardwoods</v>
      </c>
      <c r="H79" s="10">
        <f>_xlfn.XLOOKUP(E79,'Base SKUs'!E:E,'Base SKUs'!S:S)</f>
        <v>1.0969090964999999E-2</v>
      </c>
      <c r="I79" s="9">
        <f t="shared" si="1"/>
        <v>0.81200000000000006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17</v>
      </c>
      <c r="O79" t="str">
        <f>_xlfn.XLOOKUP(E79,'Base SKUs'!E:E,'Base SKUs'!C:C)</f>
        <v>Long</v>
      </c>
      <c r="P79" t="s">
        <v>4924</v>
      </c>
    </row>
    <row r="80" spans="1:16" hidden="1" x14ac:dyDescent="0.25">
      <c r="A80" t="s">
        <v>83</v>
      </c>
      <c r="B80" t="s">
        <v>19</v>
      </c>
      <c r="C80" t="s">
        <v>20</v>
      </c>
      <c r="D80">
        <v>9008</v>
      </c>
      <c r="E80" t="s">
        <v>35</v>
      </c>
      <c r="F80">
        <v>42</v>
      </c>
      <c r="G80" t="str">
        <f>_xlfn.XLOOKUP(E80,'Base SKUs'!E:E,'Base SKUs'!D:D)</f>
        <v>Hardwoods</v>
      </c>
      <c r="H80" s="10">
        <f>_xlfn.XLOOKUP(E80,'Base SKUs'!E:E,'Base SKUs'!S:S)</f>
        <v>1.1614331609999997E-2</v>
      </c>
      <c r="I80" s="9">
        <f t="shared" si="1"/>
        <v>0.48799999999999999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18</v>
      </c>
      <c r="O80" t="str">
        <f>_xlfn.XLOOKUP(E80,'Base SKUs'!E:E,'Base SKUs'!C:C)</f>
        <v>Long</v>
      </c>
      <c r="P80" t="s">
        <v>4924</v>
      </c>
    </row>
    <row r="81" spans="1:16" hidden="1" x14ac:dyDescent="0.25">
      <c r="A81" t="s">
        <v>83</v>
      </c>
      <c r="B81" t="s">
        <v>19</v>
      </c>
      <c r="C81" t="s">
        <v>20</v>
      </c>
      <c r="D81">
        <v>9008</v>
      </c>
      <c r="E81" t="s">
        <v>39</v>
      </c>
      <c r="F81">
        <v>48</v>
      </c>
      <c r="G81" t="str">
        <f>_xlfn.XLOOKUP(E81,'Base SKUs'!E:E,'Base SKUs'!D:D)</f>
        <v>Hardwoods</v>
      </c>
      <c r="H81" s="10">
        <f>_xlfn.XLOOKUP(E81,'Base SKUs'!E:E,'Base SKUs'!S:S)</f>
        <v>1.2259572254999998E-2</v>
      </c>
      <c r="I81" s="9">
        <f t="shared" si="1"/>
        <v>0.58799999999999997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19</v>
      </c>
      <c r="O81" t="str">
        <f>_xlfn.XLOOKUP(E81,'Base SKUs'!E:E,'Base SKUs'!C:C)</f>
        <v>Long</v>
      </c>
      <c r="P81" t="s">
        <v>4924</v>
      </c>
    </row>
    <row r="82" spans="1:16" hidden="1" x14ac:dyDescent="0.25">
      <c r="A82" t="s">
        <v>83</v>
      </c>
      <c r="B82" t="s">
        <v>19</v>
      </c>
      <c r="C82" t="s">
        <v>20</v>
      </c>
      <c r="D82">
        <v>9008</v>
      </c>
      <c r="E82" t="s">
        <v>40</v>
      </c>
      <c r="F82">
        <v>158</v>
      </c>
      <c r="G82" t="str">
        <f>_xlfn.XLOOKUP(E82,'Base SKUs'!E:E,'Base SKUs'!D:D)</f>
        <v>Hardwoods</v>
      </c>
      <c r="H82" s="10">
        <f>_xlfn.XLOOKUP(E82,'Base SKUs'!E:E,'Base SKUs'!S:S)</f>
        <v>1.2904812899999998E-2</v>
      </c>
      <c r="I82" s="9">
        <f t="shared" si="1"/>
        <v>2.0390000000000001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20</v>
      </c>
      <c r="O82" t="str">
        <f>_xlfn.XLOOKUP(E82,'Base SKUs'!E:E,'Base SKUs'!C:C)</f>
        <v>Long</v>
      </c>
      <c r="P82" t="s">
        <v>4924</v>
      </c>
    </row>
    <row r="83" spans="1:16" hidden="1" x14ac:dyDescent="0.25">
      <c r="A83" t="s">
        <v>83</v>
      </c>
      <c r="B83" t="s">
        <v>19</v>
      </c>
      <c r="C83" t="s">
        <v>20</v>
      </c>
      <c r="D83">
        <v>9008</v>
      </c>
      <c r="E83" t="s">
        <v>85</v>
      </c>
      <c r="F83">
        <v>26</v>
      </c>
      <c r="G83" t="str">
        <f>_xlfn.XLOOKUP(E83,'Base SKUs'!E:E,'Base SKUs'!D:D)</f>
        <v>Hardwoods</v>
      </c>
      <c r="H83" s="10">
        <f>_xlfn.XLOOKUP(E83,'Base SKUs'!E:E,'Base SKUs'!S:S)</f>
        <v>1.3550053545000001E-2</v>
      </c>
      <c r="I83" s="9">
        <f t="shared" si="1"/>
        <v>0.35199999999999998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21</v>
      </c>
      <c r="O83" t="str">
        <f>_xlfn.XLOOKUP(E83,'Base SKUs'!E:E,'Base SKUs'!C:C)</f>
        <v>Long</v>
      </c>
      <c r="P83" t="s">
        <v>4924</v>
      </c>
    </row>
    <row r="84" spans="1:16" hidden="1" x14ac:dyDescent="0.25">
      <c r="A84" t="s">
        <v>83</v>
      </c>
      <c r="B84" t="s">
        <v>19</v>
      </c>
      <c r="C84" t="s">
        <v>20</v>
      </c>
      <c r="D84">
        <v>9008</v>
      </c>
      <c r="E84" t="s">
        <v>86</v>
      </c>
      <c r="F84">
        <v>43</v>
      </c>
      <c r="G84" t="str">
        <f>_xlfn.XLOOKUP(E84,'Base SKUs'!E:E,'Base SKUs'!D:D)</f>
        <v>Hardwoods</v>
      </c>
      <c r="H84" s="10">
        <f>_xlfn.XLOOKUP(E84,'Base SKUs'!E:E,'Base SKUs'!S:S)</f>
        <v>1.4195294189999997E-2</v>
      </c>
      <c r="I84" s="9">
        <f t="shared" si="1"/>
        <v>0.61</v>
      </c>
      <c r="J84" t="str">
        <f>_xlfn.XLOOKUP(E84,'Base SKUs'!E:E,'Base SKUs'!G:G)</f>
        <v>Cumaru</v>
      </c>
      <c r="K84" t="str">
        <f>_xlfn.XLOOKUP(E84,'Base SKUs'!E:E,'Base SKUs'!H:H)</f>
        <v>S4S E4E</v>
      </c>
      <c r="L84" t="str">
        <f>_xlfn.XLOOKUP(E84,'Base SKUs'!E:E,'Base SKUs'!I:I)</f>
        <v>-</v>
      </c>
      <c r="M84" t="str">
        <f>_xlfn.XLOOKUP(E84,'Base SKUs'!E:E,'Base SKUs'!J:J)</f>
        <v>1x4 Plus</v>
      </c>
      <c r="N84">
        <f>_xlfn.XLOOKUP(E84,'Base SKUs'!E:E,'Base SKUs'!K:K)</f>
        <v>22</v>
      </c>
      <c r="O84" t="str">
        <f>_xlfn.XLOOKUP(E84,'Base SKUs'!E:E,'Base SKUs'!C:C)</f>
        <v>Long</v>
      </c>
      <c r="P84" t="s">
        <v>4924</v>
      </c>
    </row>
    <row r="85" spans="1:16" hidden="1" x14ac:dyDescent="0.25">
      <c r="A85" t="s">
        <v>87</v>
      </c>
      <c r="B85" t="s">
        <v>7</v>
      </c>
      <c r="C85" t="s">
        <v>20</v>
      </c>
      <c r="D85">
        <v>9011</v>
      </c>
      <c r="E85" t="s">
        <v>88</v>
      </c>
      <c r="F85">
        <v>47</v>
      </c>
      <c r="G85" t="str">
        <f>_xlfn.XLOOKUP(E85,'Base SKUs'!E:E,'Base SKUs'!D:D)</f>
        <v>Thermowood</v>
      </c>
      <c r="H85" s="10">
        <f>_xlfn.XLOOKUP(E85,'Base SKUs'!E:E,'Base SKUs'!S:S)</f>
        <v>1.0487999999999999E-2</v>
      </c>
      <c r="I85" s="9">
        <f t="shared" si="1"/>
        <v>0.49299999999999999</v>
      </c>
      <c r="J85" t="str">
        <f>_xlfn.XLOOKUP(E85,'Base SKUs'!E:E,'Base SKUs'!G:G)</f>
        <v>Maximo Thermo Clear Radiata</v>
      </c>
      <c r="K85" t="str">
        <f>_xlfn.XLOOKUP(E85,'Base SKUs'!E:E,'Base SKUs'!H:H)</f>
        <v>Nickel Gap</v>
      </c>
      <c r="L85" t="str">
        <f>_xlfn.XLOOKUP(E85,'Base SKUs'!E:E,'Base SKUs'!I:I)</f>
        <v>Wire Brush</v>
      </c>
      <c r="M85" t="str">
        <f>_xlfn.XLOOKUP(E85,'Base SKUs'!E:E,'Base SKUs'!J:J)</f>
        <v>1x5</v>
      </c>
      <c r="N85">
        <f>_xlfn.XLOOKUP(E85,'Base SKUs'!E:E,'Base SKUs'!K:K)</f>
        <v>16</v>
      </c>
      <c r="O85" t="str">
        <f>_xlfn.XLOOKUP(E85,'Base SKUs'!E:E,'Base SKUs'!C:C)</f>
        <v>Long</v>
      </c>
      <c r="P85" t="s">
        <v>4925</v>
      </c>
    </row>
    <row r="86" spans="1:16" hidden="1" x14ac:dyDescent="0.25">
      <c r="A86" t="s">
        <v>87</v>
      </c>
      <c r="B86" t="s">
        <v>7</v>
      </c>
      <c r="C86" t="s">
        <v>20</v>
      </c>
      <c r="D86">
        <v>9011</v>
      </c>
      <c r="E86" t="s">
        <v>89</v>
      </c>
      <c r="F86">
        <v>37</v>
      </c>
      <c r="G86" t="str">
        <f>_xlfn.XLOOKUP(E86,'Base SKUs'!E:E,'Base SKUs'!D:D)</f>
        <v>Thermowood</v>
      </c>
      <c r="H86" s="10">
        <f>_xlfn.XLOOKUP(E86,'Base SKUs'!E:E,'Base SKUs'!S:S)</f>
        <v>7.980000000000001E-3</v>
      </c>
      <c r="I86" s="9">
        <f t="shared" si="1"/>
        <v>0.29499999999999998</v>
      </c>
      <c r="J86" t="str">
        <f>_xlfn.XLOOKUP(E86,'Base SKUs'!E:E,'Base SKUs'!G:G)</f>
        <v>Maximo Thermo Ayous Dark</v>
      </c>
      <c r="K86" t="str">
        <f>_xlfn.XLOOKUP(E86,'Base SKUs'!E:E,'Base SKUs'!H:H)</f>
        <v>VJoint - Square Back</v>
      </c>
      <c r="L86" t="str">
        <f>_xlfn.XLOOKUP(E86,'Base SKUs'!E:E,'Base SKUs'!I:I)</f>
        <v>-</v>
      </c>
      <c r="M86" t="str">
        <f>_xlfn.XLOOKUP(E86,'Base SKUs'!E:E,'Base SKUs'!J:J)</f>
        <v>1x6</v>
      </c>
      <c r="N86">
        <f>_xlfn.XLOOKUP(E86,'Base SKUs'!E:E,'Base SKUs'!K:K)</f>
        <v>10</v>
      </c>
      <c r="O86" t="str">
        <f>_xlfn.XLOOKUP(E86,'Base SKUs'!E:E,'Base SKUs'!C:C)</f>
        <v>Long</v>
      </c>
      <c r="P86" t="s">
        <v>4925</v>
      </c>
    </row>
    <row r="87" spans="1:16" hidden="1" x14ac:dyDescent="0.25">
      <c r="A87" t="s">
        <v>87</v>
      </c>
      <c r="B87" t="s">
        <v>7</v>
      </c>
      <c r="C87" t="s">
        <v>20</v>
      </c>
      <c r="D87">
        <v>9011</v>
      </c>
      <c r="E87" t="s">
        <v>90</v>
      </c>
      <c r="F87">
        <v>58</v>
      </c>
      <c r="G87" t="str">
        <f>_xlfn.XLOOKUP(E87,'Base SKUs'!E:E,'Base SKUs'!D:D)</f>
        <v>Thermowood</v>
      </c>
      <c r="H87" s="10">
        <f>_xlfn.XLOOKUP(E87,'Base SKUs'!E:E,'Base SKUs'!S:S)</f>
        <v>1.1172E-2</v>
      </c>
      <c r="I87" s="9">
        <f t="shared" si="1"/>
        <v>0.64800000000000002</v>
      </c>
      <c r="J87" t="str">
        <f>_xlfn.XLOOKUP(E87,'Base SKUs'!E:E,'Base SKUs'!G:G)</f>
        <v>Maximo Thermo Ayous Dark</v>
      </c>
      <c r="K87" t="str">
        <f>_xlfn.XLOOKUP(E87,'Base SKUs'!E:E,'Base SKUs'!H:H)</f>
        <v>VJoint - Square Back</v>
      </c>
      <c r="L87" t="str">
        <f>_xlfn.XLOOKUP(E87,'Base SKUs'!E:E,'Base SKUs'!I:I)</f>
        <v>-</v>
      </c>
      <c r="M87" t="str">
        <f>_xlfn.XLOOKUP(E87,'Base SKUs'!E:E,'Base SKUs'!J:J)</f>
        <v>1x6</v>
      </c>
      <c r="N87">
        <f>_xlfn.XLOOKUP(E87,'Base SKUs'!E:E,'Base SKUs'!K:K)</f>
        <v>14</v>
      </c>
      <c r="O87" t="str">
        <f>_xlfn.XLOOKUP(E87,'Base SKUs'!E:E,'Base SKUs'!C:C)</f>
        <v>Long</v>
      </c>
      <c r="P87" t="s">
        <v>4925</v>
      </c>
    </row>
    <row r="88" spans="1:16" hidden="1" x14ac:dyDescent="0.25">
      <c r="A88" t="s">
        <v>87</v>
      </c>
      <c r="B88" t="s">
        <v>7</v>
      </c>
      <c r="C88" t="s">
        <v>20</v>
      </c>
      <c r="D88">
        <v>9011</v>
      </c>
      <c r="E88" t="s">
        <v>91</v>
      </c>
      <c r="F88">
        <v>82</v>
      </c>
      <c r="G88" t="str">
        <f>_xlfn.XLOOKUP(E88,'Base SKUs'!E:E,'Base SKUs'!D:D)</f>
        <v>Thermowood</v>
      </c>
      <c r="H88" s="10">
        <f>_xlfn.XLOOKUP(E88,'Base SKUs'!E:E,'Base SKUs'!S:S)</f>
        <v>5.2439999999999995E-3</v>
      </c>
      <c r="I88" s="9">
        <f t="shared" si="1"/>
        <v>0.43</v>
      </c>
      <c r="J88" t="str">
        <f>_xlfn.XLOOKUP(E88,'Base SKUs'!E:E,'Base SKUs'!G:G)</f>
        <v>Maximo Thermo Ayous</v>
      </c>
      <c r="K88" t="str">
        <f>_xlfn.XLOOKUP(E88,'Base SKUs'!E:E,'Base SKUs'!H:H)</f>
        <v>VJoint - Square Back</v>
      </c>
      <c r="L88" t="str">
        <f>_xlfn.XLOOKUP(E88,'Base SKUs'!E:E,'Base SKUs'!I:I)</f>
        <v>-</v>
      </c>
      <c r="M88" t="str">
        <f>_xlfn.XLOOKUP(E88,'Base SKUs'!E:E,'Base SKUs'!J:J)</f>
        <v>1x4</v>
      </c>
      <c r="N88">
        <f>_xlfn.XLOOKUP(E88,'Base SKUs'!E:E,'Base SKUs'!K:K)</f>
        <v>10</v>
      </c>
      <c r="O88" t="str">
        <f>_xlfn.XLOOKUP(E88,'Base SKUs'!E:E,'Base SKUs'!C:C)</f>
        <v>Long</v>
      </c>
      <c r="P88" t="s">
        <v>4925</v>
      </c>
    </row>
    <row r="89" spans="1:16" hidden="1" x14ac:dyDescent="0.25">
      <c r="A89" t="s">
        <v>87</v>
      </c>
      <c r="B89" t="s">
        <v>7</v>
      </c>
      <c r="C89" t="s">
        <v>20</v>
      </c>
      <c r="D89">
        <v>9011</v>
      </c>
      <c r="E89" t="s">
        <v>92</v>
      </c>
      <c r="F89">
        <v>15</v>
      </c>
      <c r="G89" t="str">
        <f>_xlfn.XLOOKUP(E89,'Base SKUs'!E:E,'Base SKUs'!D:D)</f>
        <v>Thermowood</v>
      </c>
      <c r="H89" s="10">
        <f>_xlfn.XLOOKUP(E89,'Base SKUs'!E:E,'Base SKUs'!S:S)</f>
        <v>4.7196000000000009E-3</v>
      </c>
      <c r="I89" s="9">
        <f t="shared" si="1"/>
        <v>7.0999999999999994E-2</v>
      </c>
      <c r="J89" t="str">
        <f>_xlfn.XLOOKUP(E89,'Base SKUs'!E:E,'Base SKUs'!G:G)</f>
        <v>Maximo Thermo Ayous</v>
      </c>
      <c r="K89" t="str">
        <f>_xlfn.XLOOKUP(E89,'Base SKUs'!E:E,'Base SKUs'!H:H)</f>
        <v>VJoint - Square Back</v>
      </c>
      <c r="L89" t="str">
        <f>_xlfn.XLOOKUP(E89,'Base SKUs'!E:E,'Base SKUs'!I:I)</f>
        <v>-</v>
      </c>
      <c r="M89" t="str">
        <f>_xlfn.XLOOKUP(E89,'Base SKUs'!E:E,'Base SKUs'!J:J)</f>
        <v>1x4</v>
      </c>
      <c r="N89">
        <f>_xlfn.XLOOKUP(E89,'Base SKUs'!E:E,'Base SKUs'!K:K)</f>
        <v>9</v>
      </c>
      <c r="O89" t="str">
        <f>_xlfn.XLOOKUP(E89,'Base SKUs'!E:E,'Base SKUs'!C:C)</f>
        <v>Long</v>
      </c>
      <c r="P89" t="s">
        <v>4925</v>
      </c>
    </row>
    <row r="90" spans="1:16" hidden="1" x14ac:dyDescent="0.25">
      <c r="A90" t="s">
        <v>87</v>
      </c>
      <c r="B90" t="s">
        <v>7</v>
      </c>
      <c r="C90" t="s">
        <v>20</v>
      </c>
      <c r="D90">
        <v>9011</v>
      </c>
      <c r="E90" t="s">
        <v>93</v>
      </c>
      <c r="F90">
        <v>2</v>
      </c>
      <c r="G90" t="str">
        <f>_xlfn.XLOOKUP(E90,'Base SKUs'!E:E,'Base SKUs'!D:D)</f>
        <v>Thermowood</v>
      </c>
      <c r="H90" s="10">
        <f>_xlfn.XLOOKUP(E90,'Base SKUs'!E:E,'Base SKUs'!S:S)</f>
        <v>7.980000000000001E-3</v>
      </c>
      <c r="I90" s="9">
        <f t="shared" si="1"/>
        <v>1.6E-2</v>
      </c>
      <c r="J90" t="str">
        <f>_xlfn.XLOOKUP(E90,'Base SKUs'!E:E,'Base SKUs'!G:G)</f>
        <v>Maximo Thermo Scandinavian Pine</v>
      </c>
      <c r="K90" t="str">
        <f>_xlfn.XLOOKUP(E90,'Base SKUs'!E:E,'Base SKUs'!H:H)</f>
        <v>VJoint - Square Back</v>
      </c>
      <c r="L90" t="str">
        <f>_xlfn.XLOOKUP(E90,'Base SKUs'!E:E,'Base SKUs'!I:I)</f>
        <v>-</v>
      </c>
      <c r="M90" t="str">
        <f>_xlfn.XLOOKUP(E90,'Base SKUs'!E:E,'Base SKUs'!J:J)</f>
        <v>1x6</v>
      </c>
      <c r="N90">
        <f>_xlfn.XLOOKUP(E90,'Base SKUs'!E:E,'Base SKUs'!K:K)</f>
        <v>10</v>
      </c>
      <c r="O90" t="str">
        <f>_xlfn.XLOOKUP(E90,'Base SKUs'!E:E,'Base SKUs'!C:C)</f>
        <v>Long</v>
      </c>
      <c r="P90" t="s">
        <v>4925</v>
      </c>
    </row>
    <row r="91" spans="1:16" hidden="1" x14ac:dyDescent="0.25">
      <c r="A91" t="s">
        <v>87</v>
      </c>
      <c r="B91" t="s">
        <v>7</v>
      </c>
      <c r="C91" t="s">
        <v>20</v>
      </c>
      <c r="D91">
        <v>9011</v>
      </c>
      <c r="E91" t="s">
        <v>94</v>
      </c>
      <c r="F91">
        <v>1</v>
      </c>
      <c r="G91" t="str">
        <f>_xlfn.XLOOKUP(E91,'Base SKUs'!E:E,'Base SKUs'!D:D)</f>
        <v>Thermowood</v>
      </c>
      <c r="H91" s="10">
        <f>_xlfn.XLOOKUP(E91,'Base SKUs'!E:E,'Base SKUs'!S:S)</f>
        <v>8.7779999999999993E-3</v>
      </c>
      <c r="I91" s="9">
        <f t="shared" si="1"/>
        <v>8.9999999999999993E-3</v>
      </c>
      <c r="J91" t="str">
        <f>_xlfn.XLOOKUP(E91,'Base SKUs'!E:E,'Base SKUs'!G:G)</f>
        <v>Maximo Thermo Scandinavian Pine</v>
      </c>
      <c r="K91" t="str">
        <f>_xlfn.XLOOKUP(E91,'Base SKUs'!E:E,'Base SKUs'!H:H)</f>
        <v>VJoint - Square Back</v>
      </c>
      <c r="L91" t="str">
        <f>_xlfn.XLOOKUP(E91,'Base SKUs'!E:E,'Base SKUs'!I:I)</f>
        <v>-</v>
      </c>
      <c r="M91" t="str">
        <f>_xlfn.XLOOKUP(E91,'Base SKUs'!E:E,'Base SKUs'!J:J)</f>
        <v>1x6</v>
      </c>
      <c r="N91">
        <f>_xlfn.XLOOKUP(E91,'Base SKUs'!E:E,'Base SKUs'!K:K)</f>
        <v>11</v>
      </c>
      <c r="O91" t="str">
        <f>_xlfn.XLOOKUP(E91,'Base SKUs'!E:E,'Base SKUs'!C:C)</f>
        <v>Long</v>
      </c>
      <c r="P91" t="s">
        <v>4925</v>
      </c>
    </row>
    <row r="92" spans="1:16" hidden="1" x14ac:dyDescent="0.25">
      <c r="A92" t="s">
        <v>87</v>
      </c>
      <c r="B92" t="s">
        <v>7</v>
      </c>
      <c r="C92" t="s">
        <v>20</v>
      </c>
      <c r="D92">
        <v>9011</v>
      </c>
      <c r="E92" t="s">
        <v>95</v>
      </c>
      <c r="F92">
        <v>9</v>
      </c>
      <c r="G92" t="str">
        <f>_xlfn.XLOOKUP(E92,'Base SKUs'!E:E,'Base SKUs'!D:D)</f>
        <v>Thermowood</v>
      </c>
      <c r="H92" s="10">
        <f>_xlfn.XLOOKUP(E92,'Base SKUs'!E:E,'Base SKUs'!S:S)</f>
        <v>9.5760000000000012E-3</v>
      </c>
      <c r="I92" s="9">
        <f t="shared" si="1"/>
        <v>8.5999999999999993E-2</v>
      </c>
      <c r="J92" t="str">
        <f>_xlfn.XLOOKUP(E92,'Base SKUs'!E:E,'Base SKUs'!G:G)</f>
        <v>Maximo Thermo Scandinavian Pine</v>
      </c>
      <c r="K92" t="str">
        <f>_xlfn.XLOOKUP(E92,'Base SKUs'!E:E,'Base SKUs'!H:H)</f>
        <v>VJoint - Square Back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12</v>
      </c>
      <c r="O92" t="str">
        <f>_xlfn.XLOOKUP(E92,'Base SKUs'!E:E,'Base SKUs'!C:C)</f>
        <v>Long</v>
      </c>
      <c r="P92" t="s">
        <v>4925</v>
      </c>
    </row>
    <row r="93" spans="1:16" hidden="1" x14ac:dyDescent="0.25">
      <c r="A93" t="s">
        <v>87</v>
      </c>
      <c r="B93" t="s">
        <v>7</v>
      </c>
      <c r="C93" t="s">
        <v>20</v>
      </c>
      <c r="D93">
        <v>9011</v>
      </c>
      <c r="E93" t="s">
        <v>96</v>
      </c>
      <c r="F93">
        <v>25</v>
      </c>
      <c r="G93" t="str">
        <f>_xlfn.XLOOKUP(E93,'Base SKUs'!E:E,'Base SKUs'!D:D)</f>
        <v>Thermowood</v>
      </c>
      <c r="H93" s="10">
        <f>_xlfn.XLOOKUP(E93,'Base SKUs'!E:E,'Base SKUs'!S:S)</f>
        <v>1.0374000000000001E-2</v>
      </c>
      <c r="I93" s="9">
        <f t="shared" si="1"/>
        <v>0.25900000000000001</v>
      </c>
      <c r="J93" t="str">
        <f>_xlfn.XLOOKUP(E93,'Base SKUs'!E:E,'Base SKUs'!G:G)</f>
        <v>Maximo Thermo Scandinavian Pine</v>
      </c>
      <c r="K93" t="str">
        <f>_xlfn.XLOOKUP(E93,'Base SKUs'!E:E,'Base SKUs'!H:H)</f>
        <v>VJoint - Square Back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13</v>
      </c>
      <c r="O93" t="str">
        <f>_xlfn.XLOOKUP(E93,'Base SKUs'!E:E,'Base SKUs'!C:C)</f>
        <v>Long</v>
      </c>
      <c r="P93" t="s">
        <v>4925</v>
      </c>
    </row>
    <row r="94" spans="1:16" hidden="1" x14ac:dyDescent="0.25">
      <c r="A94" t="s">
        <v>87</v>
      </c>
      <c r="B94" t="s">
        <v>7</v>
      </c>
      <c r="C94" t="s">
        <v>20</v>
      </c>
      <c r="D94">
        <v>9011</v>
      </c>
      <c r="E94" t="s">
        <v>97</v>
      </c>
      <c r="F94">
        <v>15</v>
      </c>
      <c r="G94" t="str">
        <f>_xlfn.XLOOKUP(E94,'Base SKUs'!E:E,'Base SKUs'!D:D)</f>
        <v>Thermowood</v>
      </c>
      <c r="H94" s="10">
        <f>_xlfn.XLOOKUP(E94,'Base SKUs'!E:E,'Base SKUs'!S:S)</f>
        <v>1.1172E-2</v>
      </c>
      <c r="I94" s="9">
        <f t="shared" si="1"/>
        <v>0.16800000000000001</v>
      </c>
      <c r="J94" t="str">
        <f>_xlfn.XLOOKUP(E94,'Base SKUs'!E:E,'Base SKUs'!G:G)</f>
        <v>Maximo Thermo Scandinavian Pine</v>
      </c>
      <c r="K94" t="str">
        <f>_xlfn.XLOOKUP(E94,'Base SKUs'!E:E,'Base SKUs'!H:H)</f>
        <v>VJoint - Square Back</v>
      </c>
      <c r="L94" t="str">
        <f>_xlfn.XLOOKUP(E94,'Base SKUs'!E:E,'Base SKUs'!I:I)</f>
        <v>-</v>
      </c>
      <c r="M94" t="str">
        <f>_xlfn.XLOOKUP(E94,'Base SKUs'!E:E,'Base SKUs'!J:J)</f>
        <v>1x6</v>
      </c>
      <c r="N94">
        <f>_xlfn.XLOOKUP(E94,'Base SKUs'!E:E,'Base SKUs'!K:K)</f>
        <v>14</v>
      </c>
      <c r="O94" t="str">
        <f>_xlfn.XLOOKUP(E94,'Base SKUs'!E:E,'Base SKUs'!C:C)</f>
        <v>Long</v>
      </c>
      <c r="P94" t="s">
        <v>4925</v>
      </c>
    </row>
    <row r="95" spans="1:16" hidden="1" x14ac:dyDescent="0.25">
      <c r="A95" t="s">
        <v>87</v>
      </c>
      <c r="B95" t="s">
        <v>7</v>
      </c>
      <c r="C95" t="s">
        <v>20</v>
      </c>
      <c r="D95">
        <v>9011</v>
      </c>
      <c r="E95" t="s">
        <v>98</v>
      </c>
      <c r="F95">
        <v>37</v>
      </c>
      <c r="G95" t="str">
        <f>_xlfn.XLOOKUP(E95,'Base SKUs'!E:E,'Base SKUs'!D:D)</f>
        <v>Thermowood</v>
      </c>
      <c r="H95" s="10">
        <f>_xlfn.XLOOKUP(E95,'Base SKUs'!E:E,'Base SKUs'!S:S)</f>
        <v>1.1970000000000001E-2</v>
      </c>
      <c r="I95" s="9">
        <f t="shared" si="1"/>
        <v>0.443</v>
      </c>
      <c r="J95" t="str">
        <f>_xlfn.XLOOKUP(E95,'Base SKUs'!E:E,'Base SKUs'!G:G)</f>
        <v>Maximo Thermo Scandinavian Pine</v>
      </c>
      <c r="K95" t="str">
        <f>_xlfn.XLOOKUP(E95,'Base SKUs'!E:E,'Base SKUs'!H:H)</f>
        <v>VJoint - Square Back</v>
      </c>
      <c r="L95" t="str">
        <f>_xlfn.XLOOKUP(E95,'Base SKUs'!E:E,'Base SKUs'!I:I)</f>
        <v>-</v>
      </c>
      <c r="M95" t="str">
        <f>_xlfn.XLOOKUP(E95,'Base SKUs'!E:E,'Base SKUs'!J:J)</f>
        <v>1x6</v>
      </c>
      <c r="N95">
        <f>_xlfn.XLOOKUP(E95,'Base SKUs'!E:E,'Base SKUs'!K:K)</f>
        <v>15</v>
      </c>
      <c r="O95" t="str">
        <f>_xlfn.XLOOKUP(E95,'Base SKUs'!E:E,'Base SKUs'!C:C)</f>
        <v>Long</v>
      </c>
      <c r="P95" t="s">
        <v>4925</v>
      </c>
    </row>
    <row r="96" spans="1:16" hidden="1" x14ac:dyDescent="0.25">
      <c r="A96" t="s">
        <v>87</v>
      </c>
      <c r="B96" t="s">
        <v>7</v>
      </c>
      <c r="C96" t="s">
        <v>20</v>
      </c>
      <c r="D96">
        <v>9011</v>
      </c>
      <c r="E96" t="s">
        <v>99</v>
      </c>
      <c r="F96">
        <v>12</v>
      </c>
      <c r="G96" t="str">
        <f>_xlfn.XLOOKUP(E96,'Base SKUs'!E:E,'Base SKUs'!D:D)</f>
        <v>Thermowood</v>
      </c>
      <c r="H96" s="10">
        <f>_xlfn.XLOOKUP(E96,'Base SKUs'!E:E,'Base SKUs'!S:S)</f>
        <v>1.3565999999999998E-2</v>
      </c>
      <c r="I96" s="9">
        <f t="shared" si="1"/>
        <v>0.16300000000000001</v>
      </c>
      <c r="J96" t="str">
        <f>_xlfn.XLOOKUP(E96,'Base SKUs'!E:E,'Base SKUs'!G:G)</f>
        <v>Maximo Thermo Scandinavian Pine</v>
      </c>
      <c r="K96" t="str">
        <f>_xlfn.XLOOKUP(E96,'Base SKUs'!E:E,'Base SKUs'!H:H)</f>
        <v>VJoint - Square Back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17</v>
      </c>
      <c r="O96" t="str">
        <f>_xlfn.XLOOKUP(E96,'Base SKUs'!E:E,'Base SKUs'!C:C)</f>
        <v>Long</v>
      </c>
      <c r="P96" t="s">
        <v>4925</v>
      </c>
    </row>
    <row r="97" spans="1:16" hidden="1" x14ac:dyDescent="0.25">
      <c r="A97" t="s">
        <v>87</v>
      </c>
      <c r="B97" t="s">
        <v>7</v>
      </c>
      <c r="C97" t="s">
        <v>20</v>
      </c>
      <c r="D97">
        <v>9011</v>
      </c>
      <c r="E97" t="s">
        <v>100</v>
      </c>
      <c r="F97">
        <v>17</v>
      </c>
      <c r="G97" t="str">
        <f>_xlfn.XLOOKUP(E97,'Base SKUs'!E:E,'Base SKUs'!D:D)</f>
        <v>Thermowood</v>
      </c>
      <c r="H97" s="10">
        <f>_xlfn.XLOOKUP(E97,'Base SKUs'!E:E,'Base SKUs'!S:S)</f>
        <v>7.182E-3</v>
      </c>
      <c r="I97" s="9">
        <f t="shared" si="1"/>
        <v>0.122</v>
      </c>
      <c r="J97" t="str">
        <f>_xlfn.XLOOKUP(E97,'Base SKUs'!E:E,'Base SKUs'!G:G)</f>
        <v>Maximo Thermo Scandinavian Pine</v>
      </c>
      <c r="K97" t="str">
        <f>_xlfn.XLOOKUP(E97,'Base SKUs'!E:E,'Base SKUs'!H:H)</f>
        <v>VJoint - Square Back</v>
      </c>
      <c r="L97" t="str">
        <f>_xlfn.XLOOKUP(E97,'Base SKUs'!E:E,'Base SKUs'!I:I)</f>
        <v>-</v>
      </c>
      <c r="M97" t="str">
        <f>_xlfn.XLOOKUP(E97,'Base SKUs'!E:E,'Base SKUs'!J:J)</f>
        <v>1x6</v>
      </c>
      <c r="N97">
        <f>_xlfn.XLOOKUP(E97,'Base SKUs'!E:E,'Base SKUs'!K:K)</f>
        <v>9</v>
      </c>
      <c r="O97" t="str">
        <f>_xlfn.XLOOKUP(E97,'Base SKUs'!E:E,'Base SKUs'!C:C)</f>
        <v>Long</v>
      </c>
      <c r="P97" t="s">
        <v>4925</v>
      </c>
    </row>
    <row r="98" spans="1:16" hidden="1" x14ac:dyDescent="0.25">
      <c r="A98" t="s">
        <v>87</v>
      </c>
      <c r="B98" t="s">
        <v>7</v>
      </c>
      <c r="C98" t="s">
        <v>20</v>
      </c>
      <c r="D98">
        <v>9011</v>
      </c>
      <c r="E98" t="s">
        <v>101</v>
      </c>
      <c r="F98">
        <v>2</v>
      </c>
      <c r="G98" t="str">
        <f>_xlfn.XLOOKUP(E98,'Base SKUs'!E:E,'Base SKUs'!D:D)</f>
        <v>Thermowood</v>
      </c>
      <c r="H98" s="10">
        <f>_xlfn.XLOOKUP(E98,'Base SKUs'!E:E,'Base SKUs'!S:S)</f>
        <v>6.3E-3</v>
      </c>
      <c r="I98" s="9">
        <f t="shared" si="1"/>
        <v>1.2999999999999999E-2</v>
      </c>
      <c r="J98" t="str">
        <f>_xlfn.XLOOKUP(E98,'Base SKUs'!E:E,'Base SKUs'!G:G)</f>
        <v>Maximo Thermo Ash</v>
      </c>
      <c r="K98" t="str">
        <f>_xlfn.XLOOKUP(E98,'Base SKUs'!E:E,'Base SKUs'!H:H)</f>
        <v>S4S E4E End Match</v>
      </c>
      <c r="L98" t="str">
        <f>_xlfn.XLOOKUP(E98,'Base SKUs'!E:E,'Base SKUs'!I:I)</f>
        <v>-</v>
      </c>
      <c r="M98" t="str">
        <f>_xlfn.XLOOKUP(E98,'Base SKUs'!E:E,'Base SKUs'!J:J)</f>
        <v>5/4x6</v>
      </c>
      <c r="N98">
        <f>_xlfn.XLOOKUP(E98,'Base SKUs'!E:E,'Base SKUs'!K:K)</f>
        <v>6</v>
      </c>
      <c r="O98" t="str">
        <f>_xlfn.XLOOKUP(E98,'Base SKUs'!E:E,'Base SKUs'!C:C)</f>
        <v>Short</v>
      </c>
      <c r="P98" t="s">
        <v>4925</v>
      </c>
    </row>
    <row r="99" spans="1:16" hidden="1" x14ac:dyDescent="0.25">
      <c r="A99" t="s">
        <v>87</v>
      </c>
      <c r="B99" t="s">
        <v>7</v>
      </c>
      <c r="C99" t="s">
        <v>20</v>
      </c>
      <c r="D99">
        <v>9011</v>
      </c>
      <c r="E99" t="s">
        <v>102</v>
      </c>
      <c r="F99">
        <v>1</v>
      </c>
      <c r="G99" t="str">
        <f>_xlfn.XLOOKUP(E99,'Base SKUs'!E:E,'Base SKUs'!D:D)</f>
        <v>Thermowood</v>
      </c>
      <c r="H99" s="10">
        <f>_xlfn.XLOOKUP(E99,'Base SKUs'!E:E,'Base SKUs'!S:S)</f>
        <v>7.3499999999999998E-3</v>
      </c>
      <c r="I99" s="9">
        <f t="shared" si="1"/>
        <v>7.0000000000000001E-3</v>
      </c>
      <c r="J99" t="str">
        <f>_xlfn.XLOOKUP(E99,'Base SKUs'!E:E,'Base SKUs'!G:G)</f>
        <v>Maximo Thermo Ash</v>
      </c>
      <c r="K99" t="str">
        <f>_xlfn.XLOOKUP(E99,'Base SKUs'!E:E,'Base SKUs'!H:H)</f>
        <v>S4S E4E End Match</v>
      </c>
      <c r="L99" t="str">
        <f>_xlfn.XLOOKUP(E99,'Base SKUs'!E:E,'Base SKUs'!I:I)</f>
        <v>-</v>
      </c>
      <c r="M99" t="str">
        <f>_xlfn.XLOOKUP(E99,'Base SKUs'!E:E,'Base SKUs'!J:J)</f>
        <v>5/4x6</v>
      </c>
      <c r="N99">
        <f>_xlfn.XLOOKUP(E99,'Base SKUs'!E:E,'Base SKUs'!K:K)</f>
        <v>7</v>
      </c>
      <c r="O99" t="str">
        <f>_xlfn.XLOOKUP(E99,'Base SKUs'!E:E,'Base SKUs'!C:C)</f>
        <v>Short</v>
      </c>
      <c r="P99" t="s">
        <v>4925</v>
      </c>
    </row>
    <row r="100" spans="1:16" hidden="1" x14ac:dyDescent="0.25">
      <c r="A100" t="s">
        <v>87</v>
      </c>
      <c r="B100" t="s">
        <v>7</v>
      </c>
      <c r="C100" t="s">
        <v>20</v>
      </c>
      <c r="D100">
        <v>9011</v>
      </c>
      <c r="E100" t="s">
        <v>103</v>
      </c>
      <c r="F100">
        <v>5</v>
      </c>
      <c r="G100" t="str">
        <f>_xlfn.XLOOKUP(E100,'Base SKUs'!E:E,'Base SKUs'!D:D)</f>
        <v>Thermowood</v>
      </c>
      <c r="H100" s="10">
        <f>_xlfn.XLOOKUP(E100,'Base SKUs'!E:E,'Base SKUs'!S:S)</f>
        <v>1.4489999999999999E-2</v>
      </c>
      <c r="I100" s="9">
        <f t="shared" si="1"/>
        <v>7.1999999999999995E-2</v>
      </c>
      <c r="J100" t="str">
        <f>_xlfn.XLOOKUP(E100,'Base SKUs'!E:E,'Base SKUs'!G:G)</f>
        <v>Maximo Thermo Clear Radiata</v>
      </c>
      <c r="K100" t="str">
        <f>_xlfn.XLOOKUP(E100,'Base SKUs'!E:E,'Base SKUs'!H:H)</f>
        <v>S4S E4E</v>
      </c>
      <c r="L100" t="str">
        <f>_xlfn.XLOOKUP(E100,'Base SKUs'!E:E,'Base SKUs'!I:I)</f>
        <v>OPX</v>
      </c>
      <c r="M100" t="str">
        <f>_xlfn.XLOOKUP(E100,'Base SKUs'!E:E,'Base SKUs'!J:J)</f>
        <v>5/4x6</v>
      </c>
      <c r="N100">
        <f>_xlfn.XLOOKUP(E100,'Base SKUs'!E:E,'Base SKUs'!K:K)</f>
        <v>14</v>
      </c>
      <c r="O100" t="str">
        <f>_xlfn.XLOOKUP(E100,'Base SKUs'!E:E,'Base SKUs'!C:C)</f>
        <v>Long</v>
      </c>
      <c r="P100" t="s">
        <v>4925</v>
      </c>
    </row>
    <row r="101" spans="1:16" hidden="1" x14ac:dyDescent="0.25">
      <c r="A101" t="s">
        <v>87</v>
      </c>
      <c r="B101" t="s">
        <v>7</v>
      </c>
      <c r="C101" t="s">
        <v>20</v>
      </c>
      <c r="D101">
        <v>9011</v>
      </c>
      <c r="E101" t="s">
        <v>104</v>
      </c>
      <c r="F101">
        <v>5</v>
      </c>
      <c r="G101" t="str">
        <f>_xlfn.XLOOKUP(E101,'Base SKUs'!E:E,'Base SKUs'!D:D)</f>
        <v>Thermowood</v>
      </c>
      <c r="H101" s="10">
        <f>_xlfn.XLOOKUP(E101,'Base SKUs'!E:E,'Base SKUs'!S:S)</f>
        <v>1.10124E-2</v>
      </c>
      <c r="I101" s="9">
        <f t="shared" si="1"/>
        <v>5.5E-2</v>
      </c>
      <c r="J101" t="str">
        <f>_xlfn.XLOOKUP(E101,'Base SKUs'!E:E,'Base SKUs'!G:G)</f>
        <v>Maximo Thermo Clear Radiata</v>
      </c>
      <c r="K101" t="str">
        <f>_xlfn.XLOOKUP(E101,'Base SKUs'!E:E,'Base SKUs'!H:H)</f>
        <v>Nickel Gap</v>
      </c>
      <c r="L101" t="str">
        <f>_xlfn.XLOOKUP(E101,'Base SKUs'!E:E,'Base SKUs'!I:I)</f>
        <v>Pre Finished Black</v>
      </c>
      <c r="M101" t="str">
        <f>_xlfn.XLOOKUP(E101,'Base SKUs'!E:E,'Base SKUs'!J:J)</f>
        <v>1x6</v>
      </c>
      <c r="N101">
        <f>_xlfn.XLOOKUP(E101,'Base SKUs'!E:E,'Base SKUs'!K:K)</f>
        <v>14</v>
      </c>
      <c r="O101" t="str">
        <f>_xlfn.XLOOKUP(E101,'Base SKUs'!E:E,'Base SKUs'!C:C)</f>
        <v>Long</v>
      </c>
      <c r="P101" t="s">
        <v>4925</v>
      </c>
    </row>
    <row r="102" spans="1:16" hidden="1" x14ac:dyDescent="0.25">
      <c r="A102" t="s">
        <v>87</v>
      </c>
      <c r="B102" t="s">
        <v>7</v>
      </c>
      <c r="C102" t="s">
        <v>20</v>
      </c>
      <c r="D102">
        <v>9011</v>
      </c>
      <c r="E102" t="s">
        <v>105</v>
      </c>
      <c r="F102">
        <v>35</v>
      </c>
      <c r="G102" t="str">
        <f>_xlfn.XLOOKUP(E102,'Base SKUs'!E:E,'Base SKUs'!D:D)</f>
        <v>Thermowood</v>
      </c>
      <c r="H102" s="10">
        <f>_xlfn.XLOOKUP(E102,'Base SKUs'!E:E,'Base SKUs'!S:S)</f>
        <v>8.7779999999999993E-3</v>
      </c>
      <c r="I102" s="9">
        <f t="shared" si="1"/>
        <v>0.307</v>
      </c>
      <c r="J102" t="str">
        <f>_xlfn.XLOOKUP(E102,'Base SKUs'!E:E,'Base SKUs'!G:G)</f>
        <v>Maximo Thermo Ayous Dark</v>
      </c>
      <c r="K102" t="str">
        <f>_xlfn.XLOOKUP(E102,'Base SKUs'!E:E,'Base SKUs'!H:H)</f>
        <v>VJoint - Square Back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11</v>
      </c>
      <c r="O102" t="str">
        <f>_xlfn.XLOOKUP(E102,'Base SKUs'!E:E,'Base SKUs'!C:C)</f>
        <v>Long</v>
      </c>
      <c r="P102" t="s">
        <v>4925</v>
      </c>
    </row>
    <row r="103" spans="1:16" hidden="1" x14ac:dyDescent="0.25">
      <c r="A103" t="s">
        <v>87</v>
      </c>
      <c r="B103" t="s">
        <v>7</v>
      </c>
      <c r="C103" t="s">
        <v>20</v>
      </c>
      <c r="D103">
        <v>9011</v>
      </c>
      <c r="E103" t="s">
        <v>106</v>
      </c>
      <c r="F103">
        <v>1</v>
      </c>
      <c r="G103" t="str">
        <f>_xlfn.XLOOKUP(E103,'Base SKUs'!E:E,'Base SKUs'!D:D)</f>
        <v>Thermowood</v>
      </c>
      <c r="H103" s="10">
        <f>_xlfn.XLOOKUP(E103,'Base SKUs'!E:E,'Base SKUs'!S:S)</f>
        <v>1.0374000000000001E-2</v>
      </c>
      <c r="I103" s="9">
        <f t="shared" si="1"/>
        <v>0.01</v>
      </c>
      <c r="J103" t="str">
        <f>_xlfn.XLOOKUP(E103,'Base SKUs'!E:E,'Base SKUs'!G:G)</f>
        <v>Maximo Thermo Ayous Dark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13</v>
      </c>
      <c r="O103" t="str">
        <f>_xlfn.XLOOKUP(E103,'Base SKUs'!E:E,'Base SKUs'!C:C)</f>
        <v>Long</v>
      </c>
      <c r="P103" t="s">
        <v>4925</v>
      </c>
    </row>
    <row r="104" spans="1:16" hidden="1" x14ac:dyDescent="0.25">
      <c r="A104" t="s">
        <v>87</v>
      </c>
      <c r="B104" t="s">
        <v>7</v>
      </c>
      <c r="C104" t="s">
        <v>20</v>
      </c>
      <c r="D104">
        <v>9011</v>
      </c>
      <c r="E104" t="s">
        <v>107</v>
      </c>
      <c r="F104">
        <v>1</v>
      </c>
      <c r="G104" t="str">
        <f>_xlfn.XLOOKUP(E104,'Base SKUs'!E:E,'Base SKUs'!D:D)</f>
        <v>Thermowood</v>
      </c>
      <c r="H104" s="10">
        <f>_xlfn.XLOOKUP(E104,'Base SKUs'!E:E,'Base SKUs'!S:S)</f>
        <v>1.1970000000000001E-2</v>
      </c>
      <c r="I104" s="9">
        <f t="shared" si="1"/>
        <v>1.2E-2</v>
      </c>
      <c r="J104" t="str">
        <f>_xlfn.XLOOKUP(E104,'Base SKUs'!E:E,'Base SKUs'!G:G)</f>
        <v>Maximo Thermo Ayous Dark</v>
      </c>
      <c r="K104" t="str">
        <f>_xlfn.XLOOKUP(E104,'Base SKUs'!E:E,'Base SKUs'!H:H)</f>
        <v>VJoint - Square Back</v>
      </c>
      <c r="L104" t="str">
        <f>_xlfn.XLOOKUP(E104,'Base SKUs'!E:E,'Base SKUs'!I:I)</f>
        <v>-</v>
      </c>
      <c r="M104" t="str">
        <f>_xlfn.XLOOKUP(E104,'Base SKUs'!E:E,'Base SKUs'!J:J)</f>
        <v>1x6</v>
      </c>
      <c r="N104">
        <f>_xlfn.XLOOKUP(E104,'Base SKUs'!E:E,'Base SKUs'!K:K)</f>
        <v>15</v>
      </c>
      <c r="O104" t="str">
        <f>_xlfn.XLOOKUP(E104,'Base SKUs'!E:E,'Base SKUs'!C:C)</f>
        <v>Long</v>
      </c>
      <c r="P104" t="s">
        <v>4925</v>
      </c>
    </row>
    <row r="105" spans="1:16" hidden="1" x14ac:dyDescent="0.25">
      <c r="A105" t="s">
        <v>87</v>
      </c>
      <c r="B105" t="s">
        <v>7</v>
      </c>
      <c r="C105" t="s">
        <v>20</v>
      </c>
      <c r="D105">
        <v>9011</v>
      </c>
      <c r="E105" t="s">
        <v>108</v>
      </c>
      <c r="F105">
        <v>1</v>
      </c>
      <c r="G105" t="str">
        <f>_xlfn.XLOOKUP(E105,'Base SKUs'!E:E,'Base SKUs'!D:D)</f>
        <v>Thermowood</v>
      </c>
      <c r="H105" s="10">
        <f>_xlfn.XLOOKUP(E105,'Base SKUs'!E:E,'Base SKUs'!S:S)</f>
        <v>7.8659999999999997E-3</v>
      </c>
      <c r="I105" s="9">
        <f t="shared" si="1"/>
        <v>8.0000000000000002E-3</v>
      </c>
      <c r="J105" t="str">
        <f>_xlfn.XLOOKUP(E105,'Base SKUs'!E:E,'Base SKUs'!G:G)</f>
        <v>Maximo Thermo Ayous</v>
      </c>
      <c r="K105" t="str">
        <f>_xlfn.XLOOKUP(E105,'Base SKUs'!E:E,'Base SKUs'!H:H)</f>
        <v>VJoint - Square Back</v>
      </c>
      <c r="L105" t="str">
        <f>_xlfn.XLOOKUP(E105,'Base SKUs'!E:E,'Base SKUs'!I:I)</f>
        <v>-</v>
      </c>
      <c r="M105" t="str">
        <f>_xlfn.XLOOKUP(E105,'Base SKUs'!E:E,'Base SKUs'!J:J)</f>
        <v>1x4</v>
      </c>
      <c r="N105">
        <f>_xlfn.XLOOKUP(E105,'Base SKUs'!E:E,'Base SKUs'!K:K)</f>
        <v>15</v>
      </c>
      <c r="O105" t="str">
        <f>_xlfn.XLOOKUP(E105,'Base SKUs'!E:E,'Base SKUs'!C:C)</f>
        <v>Long</v>
      </c>
      <c r="P105" t="s">
        <v>4925</v>
      </c>
    </row>
    <row r="106" spans="1:16" hidden="1" x14ac:dyDescent="0.25">
      <c r="A106" t="s">
        <v>87</v>
      </c>
      <c r="B106" t="s">
        <v>7</v>
      </c>
      <c r="C106" t="s">
        <v>20</v>
      </c>
      <c r="D106">
        <v>9011</v>
      </c>
      <c r="E106" t="s">
        <v>109</v>
      </c>
      <c r="F106">
        <v>1</v>
      </c>
      <c r="G106" t="str">
        <f>_xlfn.XLOOKUP(E106,'Base SKUs'!E:E,'Base SKUs'!D:D)</f>
        <v>Thermowood</v>
      </c>
      <c r="H106" s="10">
        <f>_xlfn.XLOOKUP(E106,'Base SKUs'!E:E,'Base SKUs'!S:S)</f>
        <v>8.3903999999999992E-3</v>
      </c>
      <c r="I106" s="9">
        <f t="shared" si="1"/>
        <v>8.0000000000000002E-3</v>
      </c>
      <c r="J106" t="str">
        <f>_xlfn.XLOOKUP(E106,'Base SKUs'!E:E,'Base SKUs'!G:G)</f>
        <v>Maximo Thermo Ayous</v>
      </c>
      <c r="K106" t="str">
        <f>_xlfn.XLOOKUP(E106,'Base SKUs'!E:E,'Base SKUs'!H:H)</f>
        <v>VJoint - Square Back</v>
      </c>
      <c r="L106" t="str">
        <f>_xlfn.XLOOKUP(E106,'Base SKUs'!E:E,'Base SKUs'!I:I)</f>
        <v>-</v>
      </c>
      <c r="M106" t="str">
        <f>_xlfn.XLOOKUP(E106,'Base SKUs'!E:E,'Base SKUs'!J:J)</f>
        <v>1x4</v>
      </c>
      <c r="N106">
        <f>_xlfn.XLOOKUP(E106,'Base SKUs'!E:E,'Base SKUs'!K:K)</f>
        <v>16</v>
      </c>
      <c r="O106" t="str">
        <f>_xlfn.XLOOKUP(E106,'Base SKUs'!E:E,'Base SKUs'!C:C)</f>
        <v>Long</v>
      </c>
      <c r="P106" t="s">
        <v>4925</v>
      </c>
    </row>
    <row r="107" spans="1:16" hidden="1" x14ac:dyDescent="0.25">
      <c r="A107" t="s">
        <v>87</v>
      </c>
      <c r="B107" t="s">
        <v>7</v>
      </c>
      <c r="C107" t="s">
        <v>20</v>
      </c>
      <c r="D107">
        <v>9011</v>
      </c>
      <c r="E107" t="s">
        <v>110</v>
      </c>
      <c r="F107">
        <v>1</v>
      </c>
      <c r="G107" t="str">
        <f>_xlfn.XLOOKUP(E107,'Base SKUs'!E:E,'Base SKUs'!D:D)</f>
        <v>Thermowood</v>
      </c>
      <c r="H107" s="10">
        <f>_xlfn.XLOOKUP(E107,'Base SKUs'!E:E,'Base SKUs'!S:S)</f>
        <v>7.983854999999998E-3</v>
      </c>
      <c r="I107" s="9">
        <f t="shared" si="1"/>
        <v>8.0000000000000002E-3</v>
      </c>
      <c r="J107" t="str">
        <f>_xlfn.XLOOKUP(E107,'Base SKUs'!E:E,'Base SKUs'!G:G)</f>
        <v>Wawa</v>
      </c>
      <c r="K107" t="str">
        <f>_xlfn.XLOOKUP(E107,'Base SKUs'!E:E,'Base SKUs'!H:H)</f>
        <v>S4S Tongue &amp; Grooved</v>
      </c>
      <c r="L107" t="str">
        <f>_xlfn.XLOOKUP(E107,'Base SKUs'!E:E,'Base SKUs'!I:I)</f>
        <v>-</v>
      </c>
      <c r="M107" t="str">
        <f>_xlfn.XLOOKUP(E107,'Base SKUs'!E:E,'Base SKUs'!J:J)</f>
        <v>1x6</v>
      </c>
      <c r="N107">
        <f>_xlfn.XLOOKUP(E107,'Base SKUs'!E:E,'Base SKUs'!K:K)</f>
        <v>10</v>
      </c>
      <c r="O107" t="str">
        <f>_xlfn.XLOOKUP(E107,'Base SKUs'!E:E,'Base SKUs'!C:C)</f>
        <v>Long</v>
      </c>
      <c r="P107" t="s">
        <v>4925</v>
      </c>
    </row>
    <row r="108" spans="1:16" hidden="1" x14ac:dyDescent="0.25">
      <c r="A108" t="s">
        <v>87</v>
      </c>
      <c r="B108" t="s">
        <v>7</v>
      </c>
      <c r="C108" t="s">
        <v>20</v>
      </c>
      <c r="D108">
        <v>9011</v>
      </c>
      <c r="E108" t="s">
        <v>111</v>
      </c>
      <c r="F108">
        <v>3</v>
      </c>
      <c r="G108" t="str">
        <f>_xlfn.XLOOKUP(E108,'Base SKUs'!E:E,'Base SKUs'!D:D)</f>
        <v>Thermowood</v>
      </c>
      <c r="H108" s="10">
        <f>_xlfn.XLOOKUP(E108,'Base SKUs'!E:E,'Base SKUs'!S:S)</f>
        <v>9.5806259999999983E-3</v>
      </c>
      <c r="I108" s="9">
        <f t="shared" si="1"/>
        <v>2.9000000000000001E-2</v>
      </c>
      <c r="J108" t="str">
        <f>_xlfn.XLOOKUP(E108,'Base SKUs'!E:E,'Base SKUs'!G:G)</f>
        <v>Wawa</v>
      </c>
      <c r="K108" t="str">
        <f>_xlfn.XLOOKUP(E108,'Base SKUs'!E:E,'Base SKUs'!H:H)</f>
        <v>S4S Tongue &amp; Grooved</v>
      </c>
      <c r="L108" t="str">
        <f>_xlfn.XLOOKUP(E108,'Base SKUs'!E:E,'Base SKUs'!I:I)</f>
        <v>-</v>
      </c>
      <c r="M108" t="str">
        <f>_xlfn.XLOOKUP(E108,'Base SKUs'!E:E,'Base SKUs'!J:J)</f>
        <v>1x6</v>
      </c>
      <c r="N108">
        <f>_xlfn.XLOOKUP(E108,'Base SKUs'!E:E,'Base SKUs'!K:K)</f>
        <v>12</v>
      </c>
      <c r="O108" t="str">
        <f>_xlfn.XLOOKUP(E108,'Base SKUs'!E:E,'Base SKUs'!C:C)</f>
        <v>Long</v>
      </c>
      <c r="P108" t="s">
        <v>4925</v>
      </c>
    </row>
    <row r="109" spans="1:16" hidden="1" x14ac:dyDescent="0.25">
      <c r="A109" t="s">
        <v>87</v>
      </c>
      <c r="B109" t="s">
        <v>7</v>
      </c>
      <c r="C109" t="s">
        <v>20</v>
      </c>
      <c r="D109">
        <v>9011</v>
      </c>
      <c r="E109" t="s">
        <v>112</v>
      </c>
      <c r="F109">
        <v>1</v>
      </c>
      <c r="G109" t="str">
        <f>_xlfn.XLOOKUP(E109,'Base SKUs'!E:E,'Base SKUs'!D:D)</f>
        <v>Thermowood</v>
      </c>
      <c r="H109" s="10">
        <f>_xlfn.XLOOKUP(E109,'Base SKUs'!E:E,'Base SKUs'!S:S)</f>
        <v>6.3839999999999999E-3</v>
      </c>
      <c r="I109" s="9">
        <f t="shared" si="1"/>
        <v>6.0000000000000001E-3</v>
      </c>
      <c r="J109" t="str">
        <f>_xlfn.XLOOKUP(E109,'Base SKUs'!E:E,'Base SKUs'!G:G)</f>
        <v>Maximo Thermo Ayous Dark</v>
      </c>
      <c r="K109" t="str">
        <f>_xlfn.XLOOKUP(E109,'Base SKUs'!E:E,'Base SKUs'!H:H)</f>
        <v>VJoint - Square Back</v>
      </c>
      <c r="L109" t="str">
        <f>_xlfn.XLOOKUP(E109,'Base SKUs'!E:E,'Base SKUs'!I:I)</f>
        <v>-</v>
      </c>
      <c r="M109" t="str">
        <f>_xlfn.XLOOKUP(E109,'Base SKUs'!E:E,'Base SKUs'!J:J)</f>
        <v>1x6</v>
      </c>
      <c r="N109">
        <f>_xlfn.XLOOKUP(E109,'Base SKUs'!E:E,'Base SKUs'!K:K)</f>
        <v>8</v>
      </c>
      <c r="O109" t="str">
        <f>_xlfn.XLOOKUP(E109,'Base SKUs'!E:E,'Base SKUs'!C:C)</f>
        <v>Long</v>
      </c>
      <c r="P109" t="s">
        <v>4925</v>
      </c>
    </row>
    <row r="110" spans="1:16" hidden="1" x14ac:dyDescent="0.25">
      <c r="A110" t="s">
        <v>87</v>
      </c>
      <c r="B110" t="s">
        <v>7</v>
      </c>
      <c r="C110" t="s">
        <v>20</v>
      </c>
      <c r="D110">
        <v>9011</v>
      </c>
      <c r="E110" t="s">
        <v>113</v>
      </c>
      <c r="F110">
        <v>3</v>
      </c>
      <c r="G110" t="str">
        <f>_xlfn.XLOOKUP(E110,'Base SKUs'!E:E,'Base SKUs'!D:D)</f>
        <v>Norx</v>
      </c>
      <c r="H110" s="10">
        <f>_xlfn.XLOOKUP(E110,'Base SKUs'!E:E,'Base SKUs'!S:S)</f>
        <v>0</v>
      </c>
      <c r="I110" s="9">
        <f t="shared" si="1"/>
        <v>3</v>
      </c>
      <c r="J110" t="str">
        <f>_xlfn.XLOOKUP(E110,'Base SKUs'!E:E,'Base SKUs'!G:G)</f>
        <v>Teak</v>
      </c>
      <c r="K110" t="str">
        <f>_xlfn.XLOOKUP(E110,'Base SKUs'!E:E,'Base SKUs'!H:H)</f>
        <v>L Trim</v>
      </c>
      <c r="L110" t="str">
        <f>_xlfn.XLOOKUP(E110,'Base SKUs'!E:E,'Base SKUs'!I:I)</f>
        <v>-</v>
      </c>
      <c r="M110" t="str">
        <f>_xlfn.XLOOKUP(E110,'Base SKUs'!E:E,'Base SKUs'!J:J)</f>
        <v>2x2</v>
      </c>
      <c r="N110">
        <f>_xlfn.XLOOKUP(E110,'Base SKUs'!E:E,'Base SKUs'!K:K)</f>
        <v>16</v>
      </c>
      <c r="O110" t="str">
        <f>_xlfn.XLOOKUP(E110,'Base SKUs'!E:E,'Base SKUs'!C:C)</f>
        <v>Long</v>
      </c>
      <c r="P110" t="s">
        <v>4925</v>
      </c>
    </row>
    <row r="111" spans="1:16" hidden="1" x14ac:dyDescent="0.25">
      <c r="A111" t="s">
        <v>87</v>
      </c>
      <c r="B111" t="s">
        <v>7</v>
      </c>
      <c r="C111" t="s">
        <v>20</v>
      </c>
      <c r="D111">
        <v>9011</v>
      </c>
      <c r="E111" t="s">
        <v>114</v>
      </c>
      <c r="F111">
        <v>118</v>
      </c>
      <c r="G111" t="str">
        <f>_xlfn.XLOOKUP(E111,'Base SKUs'!E:E,'Base SKUs'!D:D)</f>
        <v>Thermowood</v>
      </c>
      <c r="H111" s="10">
        <f>_xlfn.XLOOKUP(E111,'Base SKUs'!E:E,'Base SKUs'!S:S)</f>
        <v>1.2585600000000001E-2</v>
      </c>
      <c r="I111" s="9">
        <f t="shared" si="1"/>
        <v>1.4850000000000001</v>
      </c>
      <c r="J111" t="str">
        <f>_xlfn.XLOOKUP(E111,'Base SKUs'!E:E,'Base SKUs'!G:G)</f>
        <v>Maximo Thermo Clear Radiata</v>
      </c>
      <c r="K111" t="str">
        <f>_xlfn.XLOOKUP(E111,'Base SKUs'!E:E,'Base SKUs'!H:H)</f>
        <v>Nickel Gap</v>
      </c>
      <c r="L111" t="str">
        <f>_xlfn.XLOOKUP(E111,'Base SKUs'!E:E,'Base SKUs'!I:I)</f>
        <v>Pre Finished Black</v>
      </c>
      <c r="M111" t="str">
        <f>_xlfn.XLOOKUP(E111,'Base SKUs'!E:E,'Base SKUs'!J:J)</f>
        <v>1x6</v>
      </c>
      <c r="N111">
        <f>_xlfn.XLOOKUP(E111,'Base SKUs'!E:E,'Base SKUs'!K:K)</f>
        <v>16</v>
      </c>
      <c r="O111" t="str">
        <f>_xlfn.XLOOKUP(E111,'Base SKUs'!E:E,'Base SKUs'!C:C)</f>
        <v>Long</v>
      </c>
      <c r="P111" t="s">
        <v>4925</v>
      </c>
    </row>
    <row r="112" spans="1:16" hidden="1" x14ac:dyDescent="0.25">
      <c r="A112" t="s">
        <v>115</v>
      </c>
      <c r="B112" t="s">
        <v>7</v>
      </c>
      <c r="C112" t="s">
        <v>8</v>
      </c>
      <c r="D112">
        <v>9007</v>
      </c>
      <c r="E112" t="s">
        <v>116</v>
      </c>
      <c r="F112">
        <v>53</v>
      </c>
      <c r="G112" t="str">
        <f>_xlfn.XLOOKUP(E112,'Base SKUs'!E:E,'Base SKUs'!D:D)</f>
        <v>Thermowood</v>
      </c>
      <c r="H112" s="10">
        <f>_xlfn.XLOOKUP(E112,'Base SKUs'!E:E,'Base SKUs'!S:S)</f>
        <v>1.2585600000000001E-2</v>
      </c>
      <c r="I112" s="9">
        <f t="shared" si="1"/>
        <v>0.66700000000000004</v>
      </c>
      <c r="J112" t="str">
        <f>_xlfn.XLOOKUP(E112,'Base SKUs'!E:E,'Base SKUs'!G:G)</f>
        <v>Maximo Thermo Clear Radiata</v>
      </c>
      <c r="K112" t="str">
        <f>_xlfn.XLOOKUP(E112,'Base SKUs'!E:E,'Base SKUs'!H:H)</f>
        <v>S4S E4E</v>
      </c>
      <c r="L112" t="str">
        <f>_xlfn.XLOOKUP(E112,'Base SKUs'!E:E,'Base SKUs'!I:I)</f>
        <v>OPX</v>
      </c>
      <c r="M112" t="str">
        <f>_xlfn.XLOOKUP(E112,'Base SKUs'!E:E,'Base SKUs'!J:J)</f>
        <v>1x6</v>
      </c>
      <c r="N112">
        <f>_xlfn.XLOOKUP(E112,'Base SKUs'!E:E,'Base SKUs'!K:K)</f>
        <v>16</v>
      </c>
      <c r="O112" t="str">
        <f>_xlfn.XLOOKUP(E112,'Base SKUs'!E:E,'Base SKUs'!C:C)</f>
        <v>Long</v>
      </c>
      <c r="P112" t="s">
        <v>4923</v>
      </c>
    </row>
    <row r="113" spans="1:16" hidden="1" x14ac:dyDescent="0.25">
      <c r="A113" t="s">
        <v>115</v>
      </c>
      <c r="B113" t="s">
        <v>7</v>
      </c>
      <c r="C113" t="s">
        <v>8</v>
      </c>
      <c r="D113">
        <v>9007</v>
      </c>
      <c r="E113" t="s">
        <v>117</v>
      </c>
      <c r="F113">
        <v>12</v>
      </c>
      <c r="G113" t="str">
        <f>_xlfn.XLOOKUP(E113,'Base SKUs'!E:E,'Base SKUs'!D:D)</f>
        <v>Thermowood</v>
      </c>
      <c r="H113" s="10">
        <f>_xlfn.XLOOKUP(E113,'Base SKUs'!E:E,'Base SKUs'!S:S)</f>
        <v>1.4158800000000001E-2</v>
      </c>
      <c r="I113" s="9">
        <f t="shared" si="1"/>
        <v>0.17</v>
      </c>
      <c r="J113" t="str">
        <f>_xlfn.XLOOKUP(E113,'Base SKUs'!E:E,'Base SKUs'!G:G)</f>
        <v>Maximo Thermo Clear Radiata</v>
      </c>
      <c r="K113" t="str">
        <f>_xlfn.XLOOKUP(E113,'Base SKUs'!E:E,'Base SKUs'!H:H)</f>
        <v>S4S E4E</v>
      </c>
      <c r="L113" t="str">
        <f>_xlfn.XLOOKUP(E113,'Base SKUs'!E:E,'Base SKUs'!I:I)</f>
        <v>OPX</v>
      </c>
      <c r="M113" t="str">
        <f>_xlfn.XLOOKUP(E113,'Base SKUs'!E:E,'Base SKUs'!J:J)</f>
        <v>1x6</v>
      </c>
      <c r="N113">
        <f>_xlfn.XLOOKUP(E113,'Base SKUs'!E:E,'Base SKUs'!K:K)</f>
        <v>18</v>
      </c>
      <c r="O113" t="str">
        <f>_xlfn.XLOOKUP(E113,'Base SKUs'!E:E,'Base SKUs'!C:C)</f>
        <v>Long</v>
      </c>
      <c r="P113" t="s">
        <v>4923</v>
      </c>
    </row>
    <row r="114" spans="1:16" hidden="1" x14ac:dyDescent="0.25">
      <c r="A114" t="s">
        <v>118</v>
      </c>
      <c r="B114" t="s">
        <v>7</v>
      </c>
      <c r="C114" t="s">
        <v>119</v>
      </c>
      <c r="D114">
        <v>9007</v>
      </c>
      <c r="E114" t="s">
        <v>120</v>
      </c>
      <c r="F114">
        <v>84</v>
      </c>
      <c r="G114" t="str">
        <f>_xlfn.XLOOKUP(E114,'Base SKUs'!E:E,'Base SKUs'!D:D)</f>
        <v>Thermowood</v>
      </c>
      <c r="H114" s="10">
        <f>_xlfn.XLOOKUP(E114,'Base SKUs'!E:E,'Base SKUs'!S:S)</f>
        <v>3.192E-3</v>
      </c>
      <c r="I114" s="9">
        <f t="shared" si="1"/>
        <v>0.26800000000000002</v>
      </c>
      <c r="J114" t="str">
        <f>_xlfn.XLOOKUP(E114,'Base SKUs'!E:E,'Base SKUs'!G:G)</f>
        <v>Maximo Thermo Ayous</v>
      </c>
      <c r="K114" t="str">
        <f>_xlfn.XLOOKUP(E114,'Base SKUs'!E:E,'Base SKUs'!H:H)</f>
        <v>VJoint - Nickel Gap</v>
      </c>
      <c r="L114" t="str">
        <f>_xlfn.XLOOKUP(E114,'Base SKUs'!E:E,'Base SKUs'!I:I)</f>
        <v>-</v>
      </c>
      <c r="M114" t="str">
        <f>_xlfn.XLOOKUP(E114,'Base SKUs'!E:E,'Base SKUs'!J:J)</f>
        <v>1x6</v>
      </c>
      <c r="N114">
        <f>_xlfn.XLOOKUP(E114,'Base SKUs'!E:E,'Base SKUs'!K:K)</f>
        <v>4</v>
      </c>
      <c r="O114" t="str">
        <f>_xlfn.XLOOKUP(E114,'Base SKUs'!E:E,'Base SKUs'!C:C)</f>
        <v>Short</v>
      </c>
      <c r="P114" t="s">
        <v>4923</v>
      </c>
    </row>
    <row r="115" spans="1:16" hidden="1" x14ac:dyDescent="0.25">
      <c r="A115" t="s">
        <v>118</v>
      </c>
      <c r="B115" t="s">
        <v>7</v>
      </c>
      <c r="C115" t="s">
        <v>119</v>
      </c>
      <c r="D115">
        <v>9007</v>
      </c>
      <c r="E115" t="s">
        <v>121</v>
      </c>
      <c r="F115">
        <v>86</v>
      </c>
      <c r="G115" t="str">
        <f>_xlfn.XLOOKUP(E115,'Base SKUs'!E:E,'Base SKUs'!D:D)</f>
        <v>Thermowood</v>
      </c>
      <c r="H115" s="10">
        <f>_xlfn.XLOOKUP(E115,'Base SKUs'!E:E,'Base SKUs'!S:S)</f>
        <v>4.7880000000000006E-3</v>
      </c>
      <c r="I115" s="9">
        <f t="shared" si="1"/>
        <v>0.41199999999999998</v>
      </c>
      <c r="J115" t="str">
        <f>_xlfn.XLOOKUP(E115,'Base SKUs'!E:E,'Base SKUs'!G:G)</f>
        <v>Maximo Thermo Ayous</v>
      </c>
      <c r="K115" t="str">
        <f>_xlfn.XLOOKUP(E115,'Base SKUs'!E:E,'Base SKUs'!H:H)</f>
        <v>VJoint - Nickel Gap</v>
      </c>
      <c r="L115" t="str">
        <f>_xlfn.XLOOKUP(E115,'Base SKUs'!E:E,'Base SKUs'!I:I)</f>
        <v>-</v>
      </c>
      <c r="M115" t="str">
        <f>_xlfn.XLOOKUP(E115,'Base SKUs'!E:E,'Base SKUs'!J:J)</f>
        <v>1x6</v>
      </c>
      <c r="N115">
        <f>_xlfn.XLOOKUP(E115,'Base SKUs'!E:E,'Base SKUs'!K:K)</f>
        <v>6</v>
      </c>
      <c r="O115" t="str">
        <f>_xlfn.XLOOKUP(E115,'Base SKUs'!E:E,'Base SKUs'!C:C)</f>
        <v>Short</v>
      </c>
      <c r="P115" t="s">
        <v>4923</v>
      </c>
    </row>
    <row r="116" spans="1:16" hidden="1" x14ac:dyDescent="0.25">
      <c r="A116" t="s">
        <v>118</v>
      </c>
      <c r="B116" t="s">
        <v>7</v>
      </c>
      <c r="C116" t="s">
        <v>119</v>
      </c>
      <c r="D116">
        <v>9007</v>
      </c>
      <c r="E116" t="s">
        <v>122</v>
      </c>
      <c r="F116">
        <v>4</v>
      </c>
      <c r="G116" t="str">
        <f>_xlfn.XLOOKUP(E116,'Base SKUs'!E:E,'Base SKUs'!D:D)</f>
        <v>Thermowood</v>
      </c>
      <c r="H116" s="10">
        <f>_xlfn.XLOOKUP(E116,'Base SKUs'!E:E,'Base SKUs'!S:S)</f>
        <v>5.5859999999999998E-3</v>
      </c>
      <c r="I116" s="9">
        <f t="shared" si="1"/>
        <v>2.1999999999999999E-2</v>
      </c>
      <c r="J116" t="str">
        <f>_xlfn.XLOOKUP(E116,'Base SKUs'!E:E,'Base SKUs'!G:G)</f>
        <v>Maximo Thermo Ayous</v>
      </c>
      <c r="K116" t="str">
        <f>_xlfn.XLOOKUP(E116,'Base SKUs'!E:E,'Base SKUs'!H:H)</f>
        <v>VJoint - Nickel Gap</v>
      </c>
      <c r="L116" t="str">
        <f>_xlfn.XLOOKUP(E116,'Base SKUs'!E:E,'Base SKUs'!I:I)</f>
        <v>-</v>
      </c>
      <c r="M116" t="str">
        <f>_xlfn.XLOOKUP(E116,'Base SKUs'!E:E,'Base SKUs'!J:J)</f>
        <v>1x6</v>
      </c>
      <c r="N116">
        <f>_xlfn.XLOOKUP(E116,'Base SKUs'!E:E,'Base SKUs'!K:K)</f>
        <v>7</v>
      </c>
      <c r="O116" t="str">
        <f>_xlfn.XLOOKUP(E116,'Base SKUs'!E:E,'Base SKUs'!C:C)</f>
        <v>Short</v>
      </c>
      <c r="P116" t="s">
        <v>4923</v>
      </c>
    </row>
    <row r="117" spans="1:16" hidden="1" x14ac:dyDescent="0.25">
      <c r="A117" t="s">
        <v>118</v>
      </c>
      <c r="B117" t="s">
        <v>7</v>
      </c>
      <c r="C117" t="s">
        <v>119</v>
      </c>
      <c r="D117">
        <v>9007</v>
      </c>
      <c r="E117" t="s">
        <v>68</v>
      </c>
      <c r="F117">
        <v>6</v>
      </c>
      <c r="G117" t="str">
        <f>_xlfn.XLOOKUP(E117,'Base SKUs'!E:E,'Base SKUs'!D:D)</f>
        <v>Thermowood</v>
      </c>
      <c r="H117" s="10">
        <f>_xlfn.XLOOKUP(E117,'Base SKUs'!E:E,'Base SKUs'!S:S)</f>
        <v>8.7779999999999993E-3</v>
      </c>
      <c r="I117" s="9">
        <f t="shared" si="1"/>
        <v>5.2999999999999999E-2</v>
      </c>
      <c r="J117" t="str">
        <f>_xlfn.XLOOKUP(E117,'Base SKUs'!E:E,'Base SKUs'!G:G)</f>
        <v>Maximo Thermo Ayous</v>
      </c>
      <c r="K117" t="str">
        <f>_xlfn.XLOOKUP(E117,'Base SKUs'!E:E,'Base SKUs'!H:H)</f>
        <v>VJoint - Nickel Gap</v>
      </c>
      <c r="L117" t="str">
        <f>_xlfn.XLOOKUP(E117,'Base SKUs'!E:E,'Base SKUs'!I:I)</f>
        <v>-</v>
      </c>
      <c r="M117" t="str">
        <f>_xlfn.XLOOKUP(E117,'Base SKUs'!E:E,'Base SKUs'!J:J)</f>
        <v>1x6</v>
      </c>
      <c r="N117">
        <f>_xlfn.XLOOKUP(E117,'Base SKUs'!E:E,'Base SKUs'!K:K)</f>
        <v>11</v>
      </c>
      <c r="O117" t="str">
        <f>_xlfn.XLOOKUP(E117,'Base SKUs'!E:E,'Base SKUs'!C:C)</f>
        <v>Long</v>
      </c>
      <c r="P117" t="s">
        <v>4923</v>
      </c>
    </row>
    <row r="118" spans="1:16" hidden="1" x14ac:dyDescent="0.25">
      <c r="A118" t="s">
        <v>118</v>
      </c>
      <c r="B118" t="s">
        <v>7</v>
      </c>
      <c r="C118" t="s">
        <v>119</v>
      </c>
      <c r="D118">
        <v>9007</v>
      </c>
      <c r="E118" t="s">
        <v>9</v>
      </c>
      <c r="F118">
        <v>11</v>
      </c>
      <c r="G118" t="str">
        <f>_xlfn.XLOOKUP(E118,'Base SKUs'!E:E,'Base SKUs'!D:D)</f>
        <v>Thermowood</v>
      </c>
      <c r="H118" s="10">
        <f>_xlfn.XLOOKUP(E118,'Base SKUs'!E:E,'Base SKUs'!S:S)</f>
        <v>1.1172E-2</v>
      </c>
      <c r="I118" s="9">
        <f t="shared" si="1"/>
        <v>0.123</v>
      </c>
      <c r="J118" t="str">
        <f>_xlfn.XLOOKUP(E118,'Base SKUs'!E:E,'Base SKUs'!G:G)</f>
        <v>Maximo Thermo Ayous</v>
      </c>
      <c r="K118" t="str">
        <f>_xlfn.XLOOKUP(E118,'Base SKUs'!E:E,'Base SKUs'!H:H)</f>
        <v>VJoint - Nickel Gap</v>
      </c>
      <c r="L118" t="str">
        <f>_xlfn.XLOOKUP(E118,'Base SKUs'!E:E,'Base SKUs'!I:I)</f>
        <v>-</v>
      </c>
      <c r="M118" t="str">
        <f>_xlfn.XLOOKUP(E118,'Base SKUs'!E:E,'Base SKUs'!J:J)</f>
        <v>1x6</v>
      </c>
      <c r="N118">
        <f>_xlfn.XLOOKUP(E118,'Base SKUs'!E:E,'Base SKUs'!K:K)</f>
        <v>14</v>
      </c>
      <c r="O118" t="str">
        <f>_xlfn.XLOOKUP(E118,'Base SKUs'!E:E,'Base SKUs'!C:C)</f>
        <v>Long</v>
      </c>
      <c r="P118" t="s">
        <v>4923</v>
      </c>
    </row>
    <row r="119" spans="1:16" hidden="1" x14ac:dyDescent="0.25">
      <c r="A119" t="s">
        <v>118</v>
      </c>
      <c r="B119" t="s">
        <v>7</v>
      </c>
      <c r="C119" t="s">
        <v>119</v>
      </c>
      <c r="D119">
        <v>9007</v>
      </c>
      <c r="E119" t="s">
        <v>24</v>
      </c>
      <c r="F119">
        <v>1</v>
      </c>
      <c r="G119" t="str">
        <f>_xlfn.XLOOKUP(E119,'Base SKUs'!E:E,'Base SKUs'!D:D)</f>
        <v>Thermowood</v>
      </c>
      <c r="H119" s="10">
        <f>_xlfn.XLOOKUP(E119,'Base SKUs'!E:E,'Base SKUs'!S:S)</f>
        <v>1.2768E-2</v>
      </c>
      <c r="I119" s="9">
        <f t="shared" si="1"/>
        <v>1.2999999999999999E-2</v>
      </c>
      <c r="J119" t="str">
        <f>_xlfn.XLOOKUP(E119,'Base SKUs'!E:E,'Base SKUs'!G:G)</f>
        <v>Maximo Thermo Ayous</v>
      </c>
      <c r="K119" t="str">
        <f>_xlfn.XLOOKUP(E119,'Base SKUs'!E:E,'Base SKUs'!H:H)</f>
        <v>VJoint - Nickel Gap</v>
      </c>
      <c r="L119" t="str">
        <f>_xlfn.XLOOKUP(E119,'Base SKUs'!E:E,'Base SKUs'!I:I)</f>
        <v>-</v>
      </c>
      <c r="M119" t="str">
        <f>_xlfn.XLOOKUP(E119,'Base SKUs'!E:E,'Base SKUs'!J:J)</f>
        <v>1x6</v>
      </c>
      <c r="N119">
        <f>_xlfn.XLOOKUP(E119,'Base SKUs'!E:E,'Base SKUs'!K:K)</f>
        <v>16</v>
      </c>
      <c r="O119" t="str">
        <f>_xlfn.XLOOKUP(E119,'Base SKUs'!E:E,'Base SKUs'!C:C)</f>
        <v>Long</v>
      </c>
      <c r="P119" t="s">
        <v>4923</v>
      </c>
    </row>
    <row r="120" spans="1:16" hidden="1" x14ac:dyDescent="0.25">
      <c r="A120" t="s">
        <v>118</v>
      </c>
      <c r="B120" t="s">
        <v>7</v>
      </c>
      <c r="C120" t="s">
        <v>119</v>
      </c>
      <c r="D120">
        <v>9007</v>
      </c>
      <c r="E120" t="s">
        <v>56</v>
      </c>
      <c r="F120">
        <v>310</v>
      </c>
      <c r="G120" t="str">
        <f>_xlfn.XLOOKUP(E120,'Base SKUs'!E:E,'Base SKUs'!D:D)</f>
        <v>Thermowood</v>
      </c>
      <c r="H120" s="10">
        <f>_xlfn.XLOOKUP(E120,'Base SKUs'!E:E,'Base SKUs'!S:S)</f>
        <v>4.7880000000000006E-3</v>
      </c>
      <c r="I120" s="9">
        <f t="shared" si="1"/>
        <v>1.484</v>
      </c>
      <c r="J120" t="str">
        <f>_xlfn.XLOOKUP(E120,'Base SKUs'!E:E,'Base SKUs'!G:G)</f>
        <v>Maximo Thermo Ayous</v>
      </c>
      <c r="K120" t="str">
        <f>_xlfn.XLOOKUP(E120,'Base SKUs'!E:E,'Base SKUs'!H:H)</f>
        <v>VJoint - Square Back</v>
      </c>
      <c r="L120" t="str">
        <f>_xlfn.XLOOKUP(E120,'Base SKUs'!E:E,'Base SKUs'!I:I)</f>
        <v>-</v>
      </c>
      <c r="M120" t="str">
        <f>_xlfn.XLOOKUP(E120,'Base SKUs'!E:E,'Base SKUs'!J:J)</f>
        <v>1x6</v>
      </c>
      <c r="N120">
        <f>_xlfn.XLOOKUP(E120,'Base SKUs'!E:E,'Base SKUs'!K:K)</f>
        <v>6</v>
      </c>
      <c r="O120" t="str">
        <f>_xlfn.XLOOKUP(E120,'Base SKUs'!E:E,'Base SKUs'!C:C)</f>
        <v>Short</v>
      </c>
      <c r="P120" t="s">
        <v>4923</v>
      </c>
    </row>
    <row r="121" spans="1:16" hidden="1" x14ac:dyDescent="0.25">
      <c r="A121" t="s">
        <v>118</v>
      </c>
      <c r="B121" t="s">
        <v>7</v>
      </c>
      <c r="C121" t="s">
        <v>119</v>
      </c>
      <c r="D121">
        <v>9007</v>
      </c>
      <c r="E121" t="s">
        <v>123</v>
      </c>
      <c r="F121">
        <v>10</v>
      </c>
      <c r="G121" t="str">
        <f>_xlfn.XLOOKUP(E121,'Base SKUs'!E:E,'Base SKUs'!D:D)</f>
        <v>Thermowood</v>
      </c>
      <c r="H121" s="10">
        <f>_xlfn.XLOOKUP(E121,'Base SKUs'!E:E,'Base SKUs'!S:S)</f>
        <v>5.5859999999999998E-3</v>
      </c>
      <c r="I121" s="9">
        <f t="shared" si="1"/>
        <v>5.6000000000000001E-2</v>
      </c>
      <c r="J121" t="str">
        <f>_xlfn.XLOOKUP(E121,'Base SKUs'!E:E,'Base SKUs'!G:G)</f>
        <v>Maximo Thermo Ayous</v>
      </c>
      <c r="K121" t="str">
        <f>_xlfn.XLOOKUP(E121,'Base SKUs'!E:E,'Base SKUs'!H:H)</f>
        <v>VJoint - Square Back</v>
      </c>
      <c r="L121" t="str">
        <f>_xlfn.XLOOKUP(E121,'Base SKUs'!E:E,'Base SKUs'!I:I)</f>
        <v>-</v>
      </c>
      <c r="M121" t="str">
        <f>_xlfn.XLOOKUP(E121,'Base SKUs'!E:E,'Base SKUs'!J:J)</f>
        <v>1x6</v>
      </c>
      <c r="N121">
        <f>_xlfn.XLOOKUP(E121,'Base SKUs'!E:E,'Base SKUs'!K:K)</f>
        <v>7</v>
      </c>
      <c r="O121" t="str">
        <f>_xlfn.XLOOKUP(E121,'Base SKUs'!E:E,'Base SKUs'!C:C)</f>
        <v>Short</v>
      </c>
      <c r="P121" t="s">
        <v>4923</v>
      </c>
    </row>
    <row r="122" spans="1:16" hidden="1" x14ac:dyDescent="0.25">
      <c r="A122" t="s">
        <v>118</v>
      </c>
      <c r="B122" t="s">
        <v>7</v>
      </c>
      <c r="C122" t="s">
        <v>119</v>
      </c>
      <c r="D122">
        <v>9007</v>
      </c>
      <c r="E122" t="s">
        <v>44</v>
      </c>
      <c r="F122">
        <v>15</v>
      </c>
      <c r="G122" t="str">
        <f>_xlfn.XLOOKUP(E122,'Base SKUs'!E:E,'Base SKUs'!D:D)</f>
        <v>Thermowood</v>
      </c>
      <c r="H122" s="10">
        <f>_xlfn.XLOOKUP(E122,'Base SKUs'!E:E,'Base SKUs'!S:S)</f>
        <v>6.3839999999999999E-3</v>
      </c>
      <c r="I122" s="9">
        <f t="shared" si="1"/>
        <v>9.6000000000000002E-2</v>
      </c>
      <c r="J122" t="str">
        <f>_xlfn.XLOOKUP(E122,'Base SKUs'!E:E,'Base SKUs'!G:G)</f>
        <v>Maximo Thermo Ayous</v>
      </c>
      <c r="K122" t="str">
        <f>_xlfn.XLOOKUP(E122,'Base SKUs'!E:E,'Base SKUs'!H:H)</f>
        <v>VJoint - Square Back</v>
      </c>
      <c r="L122" t="str">
        <f>_xlfn.XLOOKUP(E122,'Base SKUs'!E:E,'Base SKUs'!I:I)</f>
        <v>-</v>
      </c>
      <c r="M122" t="str">
        <f>_xlfn.XLOOKUP(E122,'Base SKUs'!E:E,'Base SKUs'!J:J)</f>
        <v>1x6</v>
      </c>
      <c r="N122">
        <f>_xlfn.XLOOKUP(E122,'Base SKUs'!E:E,'Base SKUs'!K:K)</f>
        <v>8</v>
      </c>
      <c r="O122" t="str">
        <f>_xlfn.XLOOKUP(E122,'Base SKUs'!E:E,'Base SKUs'!C:C)</f>
        <v>Long</v>
      </c>
      <c r="P122" t="s">
        <v>4923</v>
      </c>
    </row>
    <row r="123" spans="1:16" hidden="1" x14ac:dyDescent="0.25">
      <c r="A123" t="s">
        <v>118</v>
      </c>
      <c r="B123" t="s">
        <v>7</v>
      </c>
      <c r="C123" t="s">
        <v>119</v>
      </c>
      <c r="D123">
        <v>9007</v>
      </c>
      <c r="E123" t="s">
        <v>46</v>
      </c>
      <c r="F123">
        <v>22</v>
      </c>
      <c r="G123" t="str">
        <f>_xlfn.XLOOKUP(E123,'Base SKUs'!E:E,'Base SKUs'!D:D)</f>
        <v>Thermowood</v>
      </c>
      <c r="H123" s="10">
        <f>_xlfn.XLOOKUP(E123,'Base SKUs'!E:E,'Base SKUs'!S:S)</f>
        <v>7.980000000000001E-3</v>
      </c>
      <c r="I123" s="9">
        <f t="shared" si="1"/>
        <v>0.17599999999999999</v>
      </c>
      <c r="J123" t="str">
        <f>_xlfn.XLOOKUP(E123,'Base SKUs'!E:E,'Base SKUs'!G:G)</f>
        <v>Maximo Thermo Ayous</v>
      </c>
      <c r="K123" t="str">
        <f>_xlfn.XLOOKUP(E123,'Base SKUs'!E:E,'Base SKUs'!H:H)</f>
        <v>VJoint - Square Back</v>
      </c>
      <c r="L123" t="str">
        <f>_xlfn.XLOOKUP(E123,'Base SKUs'!E:E,'Base SKUs'!I:I)</f>
        <v>-</v>
      </c>
      <c r="M123" t="str">
        <f>_xlfn.XLOOKUP(E123,'Base SKUs'!E:E,'Base SKUs'!J:J)</f>
        <v>1x6</v>
      </c>
      <c r="N123">
        <f>_xlfn.XLOOKUP(E123,'Base SKUs'!E:E,'Base SKUs'!K:K)</f>
        <v>10</v>
      </c>
      <c r="O123" t="str">
        <f>_xlfn.XLOOKUP(E123,'Base SKUs'!E:E,'Base SKUs'!C:C)</f>
        <v>Long</v>
      </c>
      <c r="P123" t="s">
        <v>4923</v>
      </c>
    </row>
    <row r="124" spans="1:16" hidden="1" x14ac:dyDescent="0.25">
      <c r="A124" t="s">
        <v>118</v>
      </c>
      <c r="B124" t="s">
        <v>7</v>
      </c>
      <c r="C124" t="s">
        <v>119</v>
      </c>
      <c r="D124">
        <v>9007</v>
      </c>
      <c r="E124" t="s">
        <v>124</v>
      </c>
      <c r="F124">
        <v>23</v>
      </c>
      <c r="G124" t="str">
        <f>_xlfn.XLOOKUP(E124,'Base SKUs'!E:E,'Base SKUs'!D:D)</f>
        <v>Thermowood</v>
      </c>
      <c r="H124" s="10">
        <f>_xlfn.XLOOKUP(E124,'Base SKUs'!E:E,'Base SKUs'!S:S)</f>
        <v>8.7779999999999993E-3</v>
      </c>
      <c r="I124" s="9">
        <f t="shared" si="1"/>
        <v>0.20200000000000001</v>
      </c>
      <c r="J124" t="str">
        <f>_xlfn.XLOOKUP(E124,'Base SKUs'!E:E,'Base SKUs'!G:G)</f>
        <v>Maximo Thermo Ayous</v>
      </c>
      <c r="K124" t="str">
        <f>_xlfn.XLOOKUP(E124,'Base SKUs'!E:E,'Base SKUs'!H:H)</f>
        <v>VJoint - Square Back</v>
      </c>
      <c r="L124" t="str">
        <f>_xlfn.XLOOKUP(E124,'Base SKUs'!E:E,'Base SKUs'!I:I)</f>
        <v>-</v>
      </c>
      <c r="M124" t="str">
        <f>_xlfn.XLOOKUP(E124,'Base SKUs'!E:E,'Base SKUs'!J:J)</f>
        <v>1x6</v>
      </c>
      <c r="N124">
        <f>_xlfn.XLOOKUP(E124,'Base SKUs'!E:E,'Base SKUs'!K:K)</f>
        <v>11</v>
      </c>
      <c r="O124" t="str">
        <f>_xlfn.XLOOKUP(E124,'Base SKUs'!E:E,'Base SKUs'!C:C)</f>
        <v>Long</v>
      </c>
      <c r="P124" t="s">
        <v>4923</v>
      </c>
    </row>
    <row r="125" spans="1:16" hidden="1" x14ac:dyDescent="0.25">
      <c r="A125" t="s">
        <v>118</v>
      </c>
      <c r="B125" t="s">
        <v>7</v>
      </c>
      <c r="C125" t="s">
        <v>119</v>
      </c>
      <c r="D125">
        <v>9007</v>
      </c>
      <c r="E125" t="s">
        <v>125</v>
      </c>
      <c r="F125">
        <v>1</v>
      </c>
      <c r="G125" t="str">
        <f>_xlfn.XLOOKUP(E125,'Base SKUs'!E:E,'Base SKUs'!D:D)</f>
        <v>Thermowood</v>
      </c>
      <c r="H125" s="10">
        <f>_xlfn.XLOOKUP(E125,'Base SKUs'!E:E,'Base SKUs'!S:S)</f>
        <v>1.1970000000000001E-2</v>
      </c>
      <c r="I125" s="9">
        <f t="shared" si="1"/>
        <v>1.2E-2</v>
      </c>
      <c r="J125" t="str">
        <f>_xlfn.XLOOKUP(E125,'Base SKUs'!E:E,'Base SKUs'!G:G)</f>
        <v>Maximo Thermo Ayous</v>
      </c>
      <c r="K125" t="str">
        <f>_xlfn.XLOOKUP(E125,'Base SKUs'!E:E,'Base SKUs'!H:H)</f>
        <v>VJoint - Square Back</v>
      </c>
      <c r="L125" t="str">
        <f>_xlfn.XLOOKUP(E125,'Base SKUs'!E:E,'Base SKUs'!I:I)</f>
        <v>-</v>
      </c>
      <c r="M125" t="str">
        <f>_xlfn.XLOOKUP(E125,'Base SKUs'!E:E,'Base SKUs'!J:J)</f>
        <v>1x6</v>
      </c>
      <c r="N125">
        <f>_xlfn.XLOOKUP(E125,'Base SKUs'!E:E,'Base SKUs'!K:K)</f>
        <v>15</v>
      </c>
      <c r="O125" t="str">
        <f>_xlfn.XLOOKUP(E125,'Base SKUs'!E:E,'Base SKUs'!C:C)</f>
        <v>Long</v>
      </c>
      <c r="P125" t="s">
        <v>4923</v>
      </c>
    </row>
    <row r="126" spans="1:16" hidden="1" x14ac:dyDescent="0.25">
      <c r="A126" t="s">
        <v>118</v>
      </c>
      <c r="B126" t="s">
        <v>7</v>
      </c>
      <c r="C126" t="s">
        <v>119</v>
      </c>
      <c r="D126">
        <v>9007</v>
      </c>
      <c r="E126" t="s">
        <v>47</v>
      </c>
      <c r="F126">
        <v>3</v>
      </c>
      <c r="G126" t="str">
        <f>_xlfn.XLOOKUP(E126,'Base SKUs'!E:E,'Base SKUs'!D:D)</f>
        <v>Thermowood</v>
      </c>
      <c r="H126" s="10">
        <f>_xlfn.XLOOKUP(E126,'Base SKUs'!E:E,'Base SKUs'!S:S)</f>
        <v>1.1172E-2</v>
      </c>
      <c r="I126" s="9">
        <f t="shared" si="1"/>
        <v>3.4000000000000002E-2</v>
      </c>
      <c r="J126" t="str">
        <f>_xlfn.XLOOKUP(E126,'Base SKUs'!E:E,'Base SKUs'!G:G)</f>
        <v>Maximo Thermo Ayous</v>
      </c>
      <c r="K126" t="str">
        <f>_xlfn.XLOOKUP(E126,'Base SKUs'!E:E,'Base SKUs'!H:H)</f>
        <v>VJoint - Square Back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14</v>
      </c>
      <c r="O126" t="str">
        <f>_xlfn.XLOOKUP(E126,'Base SKUs'!E:E,'Base SKUs'!C:C)</f>
        <v>Long</v>
      </c>
      <c r="P126" t="s">
        <v>4923</v>
      </c>
    </row>
    <row r="127" spans="1:16" hidden="1" x14ac:dyDescent="0.25">
      <c r="A127" t="s">
        <v>118</v>
      </c>
      <c r="B127" t="s">
        <v>7</v>
      </c>
      <c r="C127" t="s">
        <v>119</v>
      </c>
      <c r="D127">
        <v>9007</v>
      </c>
      <c r="E127" t="s">
        <v>126</v>
      </c>
      <c r="F127">
        <v>16</v>
      </c>
      <c r="G127" t="str">
        <f>_xlfn.XLOOKUP(E127,'Base SKUs'!E:E,'Base SKUs'!D:D)</f>
        <v>Thermowood</v>
      </c>
      <c r="H127" s="10">
        <f>_xlfn.XLOOKUP(E127,'Base SKUs'!E:E,'Base SKUs'!S:S)</f>
        <v>1.3565999999999998E-2</v>
      </c>
      <c r="I127" s="9">
        <f t="shared" si="1"/>
        <v>0.217</v>
      </c>
      <c r="J127" t="str">
        <f>_xlfn.XLOOKUP(E127,'Base SKUs'!E:E,'Base SKUs'!G:G)</f>
        <v>Maximo Thermo Ayous</v>
      </c>
      <c r="K127" t="str">
        <f>_xlfn.XLOOKUP(E127,'Base SKUs'!E:E,'Base SKUs'!H:H)</f>
        <v>VJoint - Square Back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17</v>
      </c>
      <c r="O127" t="str">
        <f>_xlfn.XLOOKUP(E127,'Base SKUs'!E:E,'Base SKUs'!C:C)</f>
        <v>Long</v>
      </c>
      <c r="P127" t="s">
        <v>4923</v>
      </c>
    </row>
    <row r="128" spans="1:16" hidden="1" x14ac:dyDescent="0.25">
      <c r="A128" t="s">
        <v>127</v>
      </c>
      <c r="B128" t="s">
        <v>7</v>
      </c>
      <c r="C128" t="s">
        <v>128</v>
      </c>
      <c r="D128">
        <v>9007</v>
      </c>
      <c r="E128" t="s">
        <v>129</v>
      </c>
      <c r="F128">
        <v>34</v>
      </c>
      <c r="G128" t="str">
        <f>_xlfn.XLOOKUP(E128,'Base SKUs'!E:E,'Base SKUs'!D:D)</f>
        <v>Thermowood</v>
      </c>
      <c r="H128" s="10">
        <f>_xlfn.XLOOKUP(E128,'Base SKUs'!E:E,'Base SKUs'!S:S)</f>
        <v>1.512E-2</v>
      </c>
      <c r="I128" s="9">
        <f t="shared" si="1"/>
        <v>0.51400000000000001</v>
      </c>
      <c r="J128" t="str">
        <f>_xlfn.XLOOKUP(E128,'Base SKUs'!E:E,'Base SKUs'!G:G)</f>
        <v>Maximo Thermo Ayous</v>
      </c>
      <c r="K128" t="str">
        <f>_xlfn.XLOOKUP(E128,'Base SKUs'!E:E,'Base SKUs'!H:H)</f>
        <v>S4S E4E</v>
      </c>
      <c r="L128" t="str">
        <f>_xlfn.XLOOKUP(E128,'Base SKUs'!E:E,'Base SKUs'!I:I)</f>
        <v>-</v>
      </c>
      <c r="M128" t="str">
        <f>_xlfn.XLOOKUP(E128,'Base SKUs'!E:E,'Base SKUs'!J:J)</f>
        <v>2x6</v>
      </c>
      <c r="N128">
        <f>_xlfn.XLOOKUP(E128,'Base SKUs'!E:E,'Base SKUs'!K:K)</f>
        <v>9</v>
      </c>
      <c r="O128" t="str">
        <f>_xlfn.XLOOKUP(E128,'Base SKUs'!E:E,'Base SKUs'!C:C)</f>
        <v>Long</v>
      </c>
      <c r="P128" t="s">
        <v>4923</v>
      </c>
    </row>
    <row r="129" spans="1:16" hidden="1" x14ac:dyDescent="0.25">
      <c r="A129" t="s">
        <v>127</v>
      </c>
      <c r="B129" t="s">
        <v>7</v>
      </c>
      <c r="C129" t="s">
        <v>128</v>
      </c>
      <c r="D129">
        <v>9007</v>
      </c>
      <c r="E129" t="s">
        <v>130</v>
      </c>
      <c r="F129">
        <v>1</v>
      </c>
      <c r="G129" t="str">
        <f>_xlfn.XLOOKUP(E129,'Base SKUs'!E:E,'Base SKUs'!D:D)</f>
        <v>Thermowood</v>
      </c>
      <c r="H129" s="10">
        <f>_xlfn.XLOOKUP(E129,'Base SKUs'!E:E,'Base SKUs'!S:S)</f>
        <v>1.6800000000000002E-2</v>
      </c>
      <c r="I129" s="9">
        <f t="shared" si="1"/>
        <v>1.7000000000000001E-2</v>
      </c>
      <c r="J129" t="str">
        <f>_xlfn.XLOOKUP(E129,'Base SKUs'!E:E,'Base SKUs'!G:G)</f>
        <v>Maximo Thermo Ayous</v>
      </c>
      <c r="K129" t="str">
        <f>_xlfn.XLOOKUP(E129,'Base SKUs'!E:E,'Base SKUs'!H:H)</f>
        <v>S4S E4E</v>
      </c>
      <c r="L129" t="str">
        <f>_xlfn.XLOOKUP(E129,'Base SKUs'!E:E,'Base SKUs'!I:I)</f>
        <v>-</v>
      </c>
      <c r="M129" t="str">
        <f>_xlfn.XLOOKUP(E129,'Base SKUs'!E:E,'Base SKUs'!J:J)</f>
        <v>2x6</v>
      </c>
      <c r="N129">
        <f>_xlfn.XLOOKUP(E129,'Base SKUs'!E:E,'Base SKUs'!K:K)</f>
        <v>10</v>
      </c>
      <c r="O129" t="str">
        <f>_xlfn.XLOOKUP(E129,'Base SKUs'!E:E,'Base SKUs'!C:C)</f>
        <v>Long</v>
      </c>
      <c r="P129" t="s">
        <v>4923</v>
      </c>
    </row>
    <row r="130" spans="1:16" hidden="1" x14ac:dyDescent="0.25">
      <c r="A130" t="s">
        <v>131</v>
      </c>
      <c r="B130" t="s">
        <v>7</v>
      </c>
      <c r="C130" t="s">
        <v>8</v>
      </c>
      <c r="D130">
        <v>9007</v>
      </c>
      <c r="E130" t="s">
        <v>68</v>
      </c>
      <c r="F130">
        <v>2</v>
      </c>
      <c r="G130" t="str">
        <f>_xlfn.XLOOKUP(E130,'Base SKUs'!E:E,'Base SKUs'!D:D)</f>
        <v>Thermowood</v>
      </c>
      <c r="H130" s="10">
        <f>_xlfn.XLOOKUP(E130,'Base SKUs'!E:E,'Base SKUs'!S:S)</f>
        <v>8.7779999999999993E-3</v>
      </c>
      <c r="I130" s="9">
        <f t="shared" ref="I130:I193" si="2">IF(OR(G130="Norx",K130="Tiles"),ROUND(F130,3),ROUND(F130*H130,3))</f>
        <v>1.7999999999999999E-2</v>
      </c>
      <c r="J130" t="str">
        <f>_xlfn.XLOOKUP(E130,'Base SKUs'!E:E,'Base SKUs'!G:G)</f>
        <v>Maximo Thermo Ayous</v>
      </c>
      <c r="K130" t="str">
        <f>_xlfn.XLOOKUP(E130,'Base SKUs'!E:E,'Base SKUs'!H:H)</f>
        <v>VJoint - Nickel Gap</v>
      </c>
      <c r="L130" t="str">
        <f>_xlfn.XLOOKUP(E130,'Base SKUs'!E:E,'Base SKUs'!I:I)</f>
        <v>-</v>
      </c>
      <c r="M130" t="str">
        <f>_xlfn.XLOOKUP(E130,'Base SKUs'!E:E,'Base SKUs'!J:J)</f>
        <v>1x6</v>
      </c>
      <c r="N130">
        <f>_xlfn.XLOOKUP(E130,'Base SKUs'!E:E,'Base SKUs'!K:K)</f>
        <v>11</v>
      </c>
      <c r="O130" t="str">
        <f>_xlfn.XLOOKUP(E130,'Base SKUs'!E:E,'Base SKUs'!C:C)</f>
        <v>Long</v>
      </c>
      <c r="P130" t="s">
        <v>4923</v>
      </c>
    </row>
    <row r="131" spans="1:16" hidden="1" x14ac:dyDescent="0.25">
      <c r="A131" t="s">
        <v>131</v>
      </c>
      <c r="B131" t="s">
        <v>7</v>
      </c>
      <c r="C131" t="s">
        <v>8</v>
      </c>
      <c r="D131">
        <v>9007</v>
      </c>
      <c r="E131" t="s">
        <v>56</v>
      </c>
      <c r="F131">
        <v>18</v>
      </c>
      <c r="G131" t="str">
        <f>_xlfn.XLOOKUP(E131,'Base SKUs'!E:E,'Base SKUs'!D:D)</f>
        <v>Thermowood</v>
      </c>
      <c r="H131" s="10">
        <f>_xlfn.XLOOKUP(E131,'Base SKUs'!E:E,'Base SKUs'!S:S)</f>
        <v>4.7880000000000006E-3</v>
      </c>
      <c r="I131" s="9">
        <f t="shared" si="2"/>
        <v>8.5999999999999993E-2</v>
      </c>
      <c r="J131" t="str">
        <f>_xlfn.XLOOKUP(E131,'Base SKUs'!E:E,'Base SKUs'!G:G)</f>
        <v>Maximo Thermo Ayous</v>
      </c>
      <c r="K131" t="str">
        <f>_xlfn.XLOOKUP(E131,'Base SKUs'!E:E,'Base SKUs'!H:H)</f>
        <v>VJoint - Square Back</v>
      </c>
      <c r="L131" t="str">
        <f>_xlfn.XLOOKUP(E131,'Base SKUs'!E:E,'Base SKUs'!I:I)</f>
        <v>-</v>
      </c>
      <c r="M131" t="str">
        <f>_xlfn.XLOOKUP(E131,'Base SKUs'!E:E,'Base SKUs'!J:J)</f>
        <v>1x6</v>
      </c>
      <c r="N131">
        <f>_xlfn.XLOOKUP(E131,'Base SKUs'!E:E,'Base SKUs'!K:K)</f>
        <v>6</v>
      </c>
      <c r="O131" t="str">
        <f>_xlfn.XLOOKUP(E131,'Base SKUs'!E:E,'Base SKUs'!C:C)</f>
        <v>Short</v>
      </c>
      <c r="P131" t="s">
        <v>4923</v>
      </c>
    </row>
    <row r="132" spans="1:16" hidden="1" x14ac:dyDescent="0.25">
      <c r="A132" t="s">
        <v>131</v>
      </c>
      <c r="B132" t="s">
        <v>7</v>
      </c>
      <c r="C132" t="s">
        <v>8</v>
      </c>
      <c r="D132">
        <v>9007</v>
      </c>
      <c r="E132" t="s">
        <v>44</v>
      </c>
      <c r="F132">
        <v>90</v>
      </c>
      <c r="G132" t="str">
        <f>_xlfn.XLOOKUP(E132,'Base SKUs'!E:E,'Base SKUs'!D:D)</f>
        <v>Thermowood</v>
      </c>
      <c r="H132" s="10">
        <f>_xlfn.XLOOKUP(E132,'Base SKUs'!E:E,'Base SKUs'!S:S)</f>
        <v>6.3839999999999999E-3</v>
      </c>
      <c r="I132" s="9">
        <f t="shared" si="2"/>
        <v>0.57499999999999996</v>
      </c>
      <c r="J132" t="str">
        <f>_xlfn.XLOOKUP(E132,'Base SKUs'!E:E,'Base SKUs'!G:G)</f>
        <v>Maximo Thermo Ayous</v>
      </c>
      <c r="K132" t="str">
        <f>_xlfn.XLOOKUP(E132,'Base SKUs'!E:E,'Base SKUs'!H:H)</f>
        <v>VJoint - Square Back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8</v>
      </c>
      <c r="O132" t="str">
        <f>_xlfn.XLOOKUP(E132,'Base SKUs'!E:E,'Base SKUs'!C:C)</f>
        <v>Long</v>
      </c>
      <c r="P132" t="s">
        <v>4923</v>
      </c>
    </row>
    <row r="133" spans="1:16" hidden="1" x14ac:dyDescent="0.25">
      <c r="A133" t="s">
        <v>131</v>
      </c>
      <c r="B133" t="s">
        <v>7</v>
      </c>
      <c r="C133" t="s">
        <v>8</v>
      </c>
      <c r="D133">
        <v>9007</v>
      </c>
      <c r="E133" t="s">
        <v>46</v>
      </c>
      <c r="F133">
        <v>73</v>
      </c>
      <c r="G133" t="str">
        <f>_xlfn.XLOOKUP(E133,'Base SKUs'!E:E,'Base SKUs'!D:D)</f>
        <v>Thermowood</v>
      </c>
      <c r="H133" s="10">
        <f>_xlfn.XLOOKUP(E133,'Base SKUs'!E:E,'Base SKUs'!S:S)</f>
        <v>7.980000000000001E-3</v>
      </c>
      <c r="I133" s="9">
        <f t="shared" si="2"/>
        <v>0.58299999999999996</v>
      </c>
      <c r="J133" t="str">
        <f>_xlfn.XLOOKUP(E133,'Base SKUs'!E:E,'Base SKUs'!G:G)</f>
        <v>Maximo Thermo Ayous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10</v>
      </c>
      <c r="O133" t="str">
        <f>_xlfn.XLOOKUP(E133,'Base SKUs'!E:E,'Base SKUs'!C:C)</f>
        <v>Long</v>
      </c>
      <c r="P133" t="s">
        <v>4923</v>
      </c>
    </row>
    <row r="134" spans="1:16" hidden="1" x14ac:dyDescent="0.25">
      <c r="A134" t="s">
        <v>131</v>
      </c>
      <c r="B134" t="s">
        <v>7</v>
      </c>
      <c r="C134" t="s">
        <v>8</v>
      </c>
      <c r="D134">
        <v>9007</v>
      </c>
      <c r="E134" t="s">
        <v>124</v>
      </c>
      <c r="F134">
        <v>121</v>
      </c>
      <c r="G134" t="str">
        <f>_xlfn.XLOOKUP(E134,'Base SKUs'!E:E,'Base SKUs'!D:D)</f>
        <v>Thermowood</v>
      </c>
      <c r="H134" s="10">
        <f>_xlfn.XLOOKUP(E134,'Base SKUs'!E:E,'Base SKUs'!S:S)</f>
        <v>8.7779999999999993E-3</v>
      </c>
      <c r="I134" s="9">
        <f t="shared" si="2"/>
        <v>1.0620000000000001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1x6</v>
      </c>
      <c r="N134">
        <f>_xlfn.XLOOKUP(E134,'Base SKUs'!E:E,'Base SKUs'!K:K)</f>
        <v>11</v>
      </c>
      <c r="O134" t="str">
        <f>_xlfn.XLOOKUP(E134,'Base SKUs'!E:E,'Base SKUs'!C:C)</f>
        <v>Long</v>
      </c>
      <c r="P134" t="s">
        <v>4923</v>
      </c>
    </row>
    <row r="135" spans="1:16" hidden="1" x14ac:dyDescent="0.25">
      <c r="A135" t="s">
        <v>131</v>
      </c>
      <c r="B135" t="s">
        <v>7</v>
      </c>
      <c r="C135" t="s">
        <v>8</v>
      </c>
      <c r="D135">
        <v>9007</v>
      </c>
      <c r="E135" t="s">
        <v>125</v>
      </c>
      <c r="F135">
        <v>7</v>
      </c>
      <c r="G135" t="str">
        <f>_xlfn.XLOOKUP(E135,'Base SKUs'!E:E,'Base SKUs'!D:D)</f>
        <v>Thermowood</v>
      </c>
      <c r="H135" s="10">
        <f>_xlfn.XLOOKUP(E135,'Base SKUs'!E:E,'Base SKUs'!S:S)</f>
        <v>1.1970000000000001E-2</v>
      </c>
      <c r="I135" s="9">
        <f t="shared" si="2"/>
        <v>8.4000000000000005E-2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1x6</v>
      </c>
      <c r="N135">
        <f>_xlfn.XLOOKUP(E135,'Base SKUs'!E:E,'Base SKUs'!K:K)</f>
        <v>15</v>
      </c>
      <c r="O135" t="str">
        <f>_xlfn.XLOOKUP(E135,'Base SKUs'!E:E,'Base SKUs'!C:C)</f>
        <v>Long</v>
      </c>
      <c r="P135" t="s">
        <v>4923</v>
      </c>
    </row>
    <row r="136" spans="1:16" hidden="1" x14ac:dyDescent="0.25">
      <c r="A136" t="s">
        <v>132</v>
      </c>
      <c r="B136" t="s">
        <v>7</v>
      </c>
      <c r="C136" t="s">
        <v>8</v>
      </c>
      <c r="D136">
        <v>9007</v>
      </c>
      <c r="E136" t="s">
        <v>133</v>
      </c>
      <c r="F136">
        <v>84</v>
      </c>
      <c r="G136" t="str">
        <f>_xlfn.XLOOKUP(E136,'Base SKUs'!E:E,'Base SKUs'!D:D)</f>
        <v>Hardwoods</v>
      </c>
      <c r="H136" s="10">
        <f>_xlfn.XLOOKUP(E136,'Base SKUs'!E:E,'Base SKUs'!S:S)</f>
        <v>2.9201748047999999E-2</v>
      </c>
      <c r="I136" s="9">
        <f t="shared" si="2"/>
        <v>2.4529999999999998</v>
      </c>
      <c r="J136" t="str">
        <f>_xlfn.XLOOKUP(E136,'Base SKUs'!E:E,'Base SKUs'!G:G)</f>
        <v>Ipe</v>
      </c>
      <c r="K136" t="str">
        <f>_xlfn.XLOOKUP(E136,'Base SKUs'!E:E,'Base SKUs'!H:H)</f>
        <v>S4S E4E</v>
      </c>
      <c r="L136" t="str">
        <f>_xlfn.XLOOKUP(E136,'Base SKUs'!E:E,'Base SKUs'!I:I)</f>
        <v>-</v>
      </c>
      <c r="M136" t="str">
        <f>_xlfn.XLOOKUP(E136,'Base SKUs'!E:E,'Base SKUs'!J:J)</f>
        <v>2x6</v>
      </c>
      <c r="N136">
        <f>_xlfn.XLOOKUP(E136,'Base SKUs'!E:E,'Base SKUs'!K:K)</f>
        <v>18</v>
      </c>
      <c r="O136" t="str">
        <f>_xlfn.XLOOKUP(E136,'Base SKUs'!E:E,'Base SKUs'!C:C)</f>
        <v>Long</v>
      </c>
      <c r="P136" t="s">
        <v>4923</v>
      </c>
    </row>
    <row r="137" spans="1:16" hidden="1" x14ac:dyDescent="0.25">
      <c r="A137" t="s">
        <v>134</v>
      </c>
      <c r="B137" t="s">
        <v>7</v>
      </c>
      <c r="C137" t="s">
        <v>8</v>
      </c>
      <c r="D137">
        <v>9007</v>
      </c>
      <c r="E137" t="s">
        <v>135</v>
      </c>
      <c r="F137">
        <v>18</v>
      </c>
      <c r="G137" t="str">
        <f>_xlfn.XLOOKUP(E137,'Base SKUs'!E:E,'Base SKUs'!D:D)</f>
        <v>Thermowood</v>
      </c>
      <c r="H137" s="10">
        <f>_xlfn.XLOOKUP(E137,'Base SKUs'!E:E,'Base SKUs'!S:S)</f>
        <v>5.5062000000000002E-3</v>
      </c>
      <c r="I137" s="9">
        <f t="shared" si="2"/>
        <v>9.9000000000000005E-2</v>
      </c>
      <c r="J137" t="str">
        <f>_xlfn.XLOOKUP(E137,'Base SKUs'!E:E,'Base SKUs'!G:G)</f>
        <v>Maximo Thermo Clear Radiata</v>
      </c>
      <c r="K137" t="str">
        <f>_xlfn.XLOOKUP(E137,'Base SKUs'!E:E,'Base SKUs'!H:H)</f>
        <v>S4S E4E</v>
      </c>
      <c r="L137" t="str">
        <f>_xlfn.XLOOKUP(E137,'Base SKUs'!E:E,'Base SKUs'!I:I)</f>
        <v>OPX</v>
      </c>
      <c r="M137" t="str">
        <f>_xlfn.XLOOKUP(E137,'Base SKUs'!E:E,'Base SKUs'!J:J)</f>
        <v>1x6</v>
      </c>
      <c r="N137">
        <f>_xlfn.XLOOKUP(E137,'Base SKUs'!E:E,'Base SKUs'!K:K)</f>
        <v>7</v>
      </c>
      <c r="O137" t="str">
        <f>_xlfn.XLOOKUP(E137,'Base SKUs'!E:E,'Base SKUs'!C:C)</f>
        <v>Short</v>
      </c>
      <c r="P137" t="s">
        <v>4923</v>
      </c>
    </row>
    <row r="138" spans="1:16" hidden="1" x14ac:dyDescent="0.25">
      <c r="A138" t="s">
        <v>134</v>
      </c>
      <c r="B138" t="s">
        <v>7</v>
      </c>
      <c r="C138" t="s">
        <v>8</v>
      </c>
      <c r="D138">
        <v>9007</v>
      </c>
      <c r="E138" t="s">
        <v>136</v>
      </c>
      <c r="F138">
        <v>6</v>
      </c>
      <c r="G138" t="str">
        <f>_xlfn.XLOOKUP(E138,'Base SKUs'!E:E,'Base SKUs'!D:D)</f>
        <v>Thermowood</v>
      </c>
      <c r="H138" s="10">
        <f>_xlfn.XLOOKUP(E138,'Base SKUs'!E:E,'Base SKUs'!S:S)</f>
        <v>7.0794000000000004E-3</v>
      </c>
      <c r="I138" s="9">
        <f t="shared" si="2"/>
        <v>4.2000000000000003E-2</v>
      </c>
      <c r="J138" t="str">
        <f>_xlfn.XLOOKUP(E138,'Base SKUs'!E:E,'Base SKUs'!G:G)</f>
        <v>Maximo Thermo Clear Radiata</v>
      </c>
      <c r="K138" t="str">
        <f>_xlfn.XLOOKUP(E138,'Base SKUs'!E:E,'Base SKUs'!H:H)</f>
        <v>S4S E4E</v>
      </c>
      <c r="L138" t="str">
        <f>_xlfn.XLOOKUP(E138,'Base SKUs'!E:E,'Base SKUs'!I:I)</f>
        <v>OPX</v>
      </c>
      <c r="M138" t="str">
        <f>_xlfn.XLOOKUP(E138,'Base SKUs'!E:E,'Base SKUs'!J:J)</f>
        <v>1x6</v>
      </c>
      <c r="N138">
        <f>_xlfn.XLOOKUP(E138,'Base SKUs'!E:E,'Base SKUs'!K:K)</f>
        <v>9</v>
      </c>
      <c r="O138" t="str">
        <f>_xlfn.XLOOKUP(E138,'Base SKUs'!E:E,'Base SKUs'!C:C)</f>
        <v>Long</v>
      </c>
      <c r="P138" t="s">
        <v>4923</v>
      </c>
    </row>
    <row r="139" spans="1:16" hidden="1" x14ac:dyDescent="0.25">
      <c r="A139" t="s">
        <v>134</v>
      </c>
      <c r="B139" t="s">
        <v>7</v>
      </c>
      <c r="C139" t="s">
        <v>8</v>
      </c>
      <c r="D139">
        <v>9007</v>
      </c>
      <c r="E139" t="s">
        <v>137</v>
      </c>
      <c r="F139">
        <v>3</v>
      </c>
      <c r="G139" t="str">
        <f>_xlfn.XLOOKUP(E139,'Base SKUs'!E:E,'Base SKUs'!D:D)</f>
        <v>Thermowood</v>
      </c>
      <c r="H139" s="10">
        <f>_xlfn.XLOOKUP(E139,'Base SKUs'!E:E,'Base SKUs'!S:S)</f>
        <v>7.8659999999999997E-3</v>
      </c>
      <c r="I139" s="9">
        <f t="shared" si="2"/>
        <v>2.4E-2</v>
      </c>
      <c r="J139" t="str">
        <f>_xlfn.XLOOKUP(E139,'Base SKUs'!E:E,'Base SKUs'!G:G)</f>
        <v>Maximo Thermo Clear Radiata</v>
      </c>
      <c r="K139" t="str">
        <f>_xlfn.XLOOKUP(E139,'Base SKUs'!E:E,'Base SKUs'!H:H)</f>
        <v>S4S E4E</v>
      </c>
      <c r="L139" t="str">
        <f>_xlfn.XLOOKUP(E139,'Base SKUs'!E:E,'Base SKUs'!I:I)</f>
        <v>OPX</v>
      </c>
      <c r="M139" t="str">
        <f>_xlfn.XLOOKUP(E139,'Base SKUs'!E:E,'Base SKUs'!J:J)</f>
        <v>1x6</v>
      </c>
      <c r="N139">
        <f>_xlfn.XLOOKUP(E139,'Base SKUs'!E:E,'Base SKUs'!K:K)</f>
        <v>10</v>
      </c>
      <c r="O139" t="str">
        <f>_xlfn.XLOOKUP(E139,'Base SKUs'!E:E,'Base SKUs'!C:C)</f>
        <v>Long</v>
      </c>
      <c r="P139" t="s">
        <v>4923</v>
      </c>
    </row>
    <row r="140" spans="1:16" hidden="1" x14ac:dyDescent="0.25">
      <c r="A140" t="s">
        <v>134</v>
      </c>
      <c r="B140" t="s">
        <v>7</v>
      </c>
      <c r="C140" t="s">
        <v>8</v>
      </c>
      <c r="D140">
        <v>9007</v>
      </c>
      <c r="E140" t="s">
        <v>138</v>
      </c>
      <c r="F140">
        <v>8</v>
      </c>
      <c r="G140" t="str">
        <f>_xlfn.XLOOKUP(E140,'Base SKUs'!E:E,'Base SKUs'!D:D)</f>
        <v>Thermowood</v>
      </c>
      <c r="H140" s="10">
        <f>_xlfn.XLOOKUP(E140,'Base SKUs'!E:E,'Base SKUs'!S:S)</f>
        <v>9.4392E-3</v>
      </c>
      <c r="I140" s="9">
        <f t="shared" si="2"/>
        <v>7.5999999999999998E-2</v>
      </c>
      <c r="J140" t="str">
        <f>_xlfn.XLOOKUP(E140,'Base SKUs'!E:E,'Base SKUs'!G:G)</f>
        <v>Maximo Thermo Clear Radiata</v>
      </c>
      <c r="K140" t="str">
        <f>_xlfn.XLOOKUP(E140,'Base SKUs'!E:E,'Base SKUs'!H:H)</f>
        <v>S4S E4E</v>
      </c>
      <c r="L140" t="str">
        <f>_xlfn.XLOOKUP(E140,'Base SKUs'!E:E,'Base SKUs'!I:I)</f>
        <v>OPX</v>
      </c>
      <c r="M140" t="str">
        <f>_xlfn.XLOOKUP(E140,'Base SKUs'!E:E,'Base SKUs'!J:J)</f>
        <v>1x6</v>
      </c>
      <c r="N140">
        <f>_xlfn.XLOOKUP(E140,'Base SKUs'!E:E,'Base SKUs'!K:K)</f>
        <v>12</v>
      </c>
      <c r="O140" t="str">
        <f>_xlfn.XLOOKUP(E140,'Base SKUs'!E:E,'Base SKUs'!C:C)</f>
        <v>Long</v>
      </c>
      <c r="P140" t="s">
        <v>4923</v>
      </c>
    </row>
    <row r="141" spans="1:16" hidden="1" x14ac:dyDescent="0.25">
      <c r="A141" t="s">
        <v>134</v>
      </c>
      <c r="B141" t="s">
        <v>7</v>
      </c>
      <c r="C141" t="s">
        <v>8</v>
      </c>
      <c r="D141">
        <v>9007</v>
      </c>
      <c r="E141" t="s">
        <v>139</v>
      </c>
      <c r="F141">
        <v>4</v>
      </c>
      <c r="G141" t="str">
        <f>_xlfn.XLOOKUP(E141,'Base SKUs'!E:E,'Base SKUs'!D:D)</f>
        <v>Thermowood</v>
      </c>
      <c r="H141" s="10">
        <f>_xlfn.XLOOKUP(E141,'Base SKUs'!E:E,'Base SKUs'!S:S)</f>
        <v>1.10124E-2</v>
      </c>
      <c r="I141" s="9">
        <f t="shared" si="2"/>
        <v>4.3999999999999997E-2</v>
      </c>
      <c r="J141" t="str">
        <f>_xlfn.XLOOKUP(E141,'Base SKUs'!E:E,'Base SKUs'!G:G)</f>
        <v>Maximo Thermo Clear Radiata</v>
      </c>
      <c r="K141" t="str">
        <f>_xlfn.XLOOKUP(E141,'Base SKUs'!E:E,'Base SKUs'!H:H)</f>
        <v>S4S E4E</v>
      </c>
      <c r="L141" t="str">
        <f>_xlfn.XLOOKUP(E141,'Base SKUs'!E:E,'Base SKUs'!I:I)</f>
        <v>OPX</v>
      </c>
      <c r="M141" t="str">
        <f>_xlfn.XLOOKUP(E141,'Base SKUs'!E:E,'Base SKUs'!J:J)</f>
        <v>1x6</v>
      </c>
      <c r="N141">
        <f>_xlfn.XLOOKUP(E141,'Base SKUs'!E:E,'Base SKUs'!K:K)</f>
        <v>14</v>
      </c>
      <c r="O141" t="str">
        <f>_xlfn.XLOOKUP(E141,'Base SKUs'!E:E,'Base SKUs'!C:C)</f>
        <v>Long</v>
      </c>
      <c r="P141" t="s">
        <v>4923</v>
      </c>
    </row>
    <row r="142" spans="1:16" hidden="1" x14ac:dyDescent="0.25">
      <c r="A142" t="s">
        <v>134</v>
      </c>
      <c r="B142" t="s">
        <v>7</v>
      </c>
      <c r="C142" t="s">
        <v>8</v>
      </c>
      <c r="D142">
        <v>9007</v>
      </c>
      <c r="E142" t="s">
        <v>116</v>
      </c>
      <c r="F142">
        <v>1</v>
      </c>
      <c r="G142" t="str">
        <f>_xlfn.XLOOKUP(E142,'Base SKUs'!E:E,'Base SKUs'!D:D)</f>
        <v>Thermowood</v>
      </c>
      <c r="H142" s="10">
        <f>_xlfn.XLOOKUP(E142,'Base SKUs'!E:E,'Base SKUs'!S:S)</f>
        <v>1.2585600000000001E-2</v>
      </c>
      <c r="I142" s="9">
        <f t="shared" si="2"/>
        <v>1.2999999999999999E-2</v>
      </c>
      <c r="J142" t="str">
        <f>_xlfn.XLOOKUP(E142,'Base SKUs'!E:E,'Base SKUs'!G:G)</f>
        <v>Maximo Thermo Clear Radiata</v>
      </c>
      <c r="K142" t="str">
        <f>_xlfn.XLOOKUP(E142,'Base SKUs'!E:E,'Base SKUs'!H:H)</f>
        <v>S4S E4E</v>
      </c>
      <c r="L142" t="str">
        <f>_xlfn.XLOOKUP(E142,'Base SKUs'!E:E,'Base SKUs'!I:I)</f>
        <v>OPX</v>
      </c>
      <c r="M142" t="str">
        <f>_xlfn.XLOOKUP(E142,'Base SKUs'!E:E,'Base SKUs'!J:J)</f>
        <v>1x6</v>
      </c>
      <c r="N142">
        <f>_xlfn.XLOOKUP(E142,'Base SKUs'!E:E,'Base SKUs'!K:K)</f>
        <v>16</v>
      </c>
      <c r="O142" t="str">
        <f>_xlfn.XLOOKUP(E142,'Base SKUs'!E:E,'Base SKUs'!C:C)</f>
        <v>Long</v>
      </c>
      <c r="P142" t="s">
        <v>4923</v>
      </c>
    </row>
    <row r="143" spans="1:16" hidden="1" x14ac:dyDescent="0.25">
      <c r="A143" t="s">
        <v>134</v>
      </c>
      <c r="B143" t="s">
        <v>7</v>
      </c>
      <c r="C143" t="s">
        <v>8</v>
      </c>
      <c r="D143">
        <v>9007</v>
      </c>
      <c r="E143" t="s">
        <v>125</v>
      </c>
      <c r="F143">
        <v>5</v>
      </c>
      <c r="G143" t="str">
        <f>_xlfn.XLOOKUP(E143,'Base SKUs'!E:E,'Base SKUs'!D:D)</f>
        <v>Thermowood</v>
      </c>
      <c r="H143" s="10">
        <f>_xlfn.XLOOKUP(E143,'Base SKUs'!E:E,'Base SKUs'!S:S)</f>
        <v>1.1970000000000001E-2</v>
      </c>
      <c r="I143" s="9">
        <f t="shared" si="2"/>
        <v>0.06</v>
      </c>
      <c r="J143" t="str">
        <f>_xlfn.XLOOKUP(E143,'Base SKUs'!E:E,'Base SKUs'!G:G)</f>
        <v>Maximo Thermo Ayous</v>
      </c>
      <c r="K143" t="str">
        <f>_xlfn.XLOOKUP(E143,'Base SKUs'!E:E,'Base SKUs'!H:H)</f>
        <v>VJoint - Square Back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15</v>
      </c>
      <c r="O143" t="str">
        <f>_xlfn.XLOOKUP(E143,'Base SKUs'!E:E,'Base SKUs'!C:C)</f>
        <v>Long</v>
      </c>
      <c r="P143" t="s">
        <v>4923</v>
      </c>
    </row>
    <row r="144" spans="1:16" hidden="1" x14ac:dyDescent="0.25">
      <c r="A144" t="s">
        <v>140</v>
      </c>
      <c r="B144" t="s">
        <v>7</v>
      </c>
      <c r="C144" t="s">
        <v>8</v>
      </c>
      <c r="D144">
        <v>9007</v>
      </c>
      <c r="E144" t="s">
        <v>91</v>
      </c>
      <c r="F144">
        <v>15</v>
      </c>
      <c r="G144" t="str">
        <f>_xlfn.XLOOKUP(E144,'Base SKUs'!E:E,'Base SKUs'!D:D)</f>
        <v>Thermowood</v>
      </c>
      <c r="H144" s="10">
        <f>_xlfn.XLOOKUP(E144,'Base SKUs'!E:E,'Base SKUs'!S:S)</f>
        <v>5.2439999999999995E-3</v>
      </c>
      <c r="I144" s="9">
        <f t="shared" si="2"/>
        <v>7.9000000000000001E-2</v>
      </c>
      <c r="J144" t="str">
        <f>_xlfn.XLOOKUP(E144,'Base SKUs'!E:E,'Base SKUs'!G:G)</f>
        <v>Maximo Thermo Ayous</v>
      </c>
      <c r="K144" t="str">
        <f>_xlfn.XLOOKUP(E144,'Base SKUs'!E:E,'Base SKUs'!H:H)</f>
        <v>VJoint - Square Back</v>
      </c>
      <c r="L144" t="str">
        <f>_xlfn.XLOOKUP(E144,'Base SKUs'!E:E,'Base SKUs'!I:I)</f>
        <v>-</v>
      </c>
      <c r="M144" t="str">
        <f>_xlfn.XLOOKUP(E144,'Base SKUs'!E:E,'Base SKUs'!J:J)</f>
        <v>1x4</v>
      </c>
      <c r="N144">
        <f>_xlfn.XLOOKUP(E144,'Base SKUs'!E:E,'Base SKUs'!K:K)</f>
        <v>10</v>
      </c>
      <c r="O144" t="str">
        <f>_xlfn.XLOOKUP(E144,'Base SKUs'!E:E,'Base SKUs'!C:C)</f>
        <v>Long</v>
      </c>
      <c r="P144" t="s">
        <v>4923</v>
      </c>
    </row>
    <row r="145" spans="1:16" hidden="1" x14ac:dyDescent="0.25">
      <c r="A145" t="s">
        <v>140</v>
      </c>
      <c r="B145" t="s">
        <v>7</v>
      </c>
      <c r="C145" t="s">
        <v>8</v>
      </c>
      <c r="D145">
        <v>9007</v>
      </c>
      <c r="E145" t="s">
        <v>141</v>
      </c>
      <c r="F145">
        <v>10</v>
      </c>
      <c r="G145" t="str">
        <f>_xlfn.XLOOKUP(E145,'Base SKUs'!E:E,'Base SKUs'!D:D)</f>
        <v>Thermowood</v>
      </c>
      <c r="H145" s="10">
        <f>_xlfn.XLOOKUP(E145,'Base SKUs'!E:E,'Base SKUs'!S:S)</f>
        <v>7.3415999999999993E-3</v>
      </c>
      <c r="I145" s="9">
        <f t="shared" si="2"/>
        <v>7.2999999999999995E-2</v>
      </c>
      <c r="J145" t="str">
        <f>_xlfn.XLOOKUP(E145,'Base SKUs'!E:E,'Base SKUs'!G:G)</f>
        <v>Maximo Thermo Ayous</v>
      </c>
      <c r="K145" t="str">
        <f>_xlfn.XLOOKUP(E145,'Base SKUs'!E:E,'Base SKUs'!H:H)</f>
        <v>VJoint - Square Back</v>
      </c>
      <c r="L145" t="str">
        <f>_xlfn.XLOOKUP(E145,'Base SKUs'!E:E,'Base SKUs'!I:I)</f>
        <v>-</v>
      </c>
      <c r="M145" t="str">
        <f>_xlfn.XLOOKUP(E145,'Base SKUs'!E:E,'Base SKUs'!J:J)</f>
        <v>1x4</v>
      </c>
      <c r="N145">
        <f>_xlfn.XLOOKUP(E145,'Base SKUs'!E:E,'Base SKUs'!K:K)</f>
        <v>14</v>
      </c>
      <c r="O145" t="str">
        <f>_xlfn.XLOOKUP(E145,'Base SKUs'!E:E,'Base SKUs'!C:C)</f>
        <v>Long</v>
      </c>
      <c r="P145" t="s">
        <v>4923</v>
      </c>
    </row>
    <row r="146" spans="1:16" hidden="1" x14ac:dyDescent="0.25">
      <c r="A146" t="s">
        <v>142</v>
      </c>
      <c r="B146" t="s">
        <v>143</v>
      </c>
      <c r="C146" t="s">
        <v>144</v>
      </c>
      <c r="D146">
        <v>9007</v>
      </c>
      <c r="E146" t="s">
        <v>145</v>
      </c>
      <c r="F146">
        <v>42</v>
      </c>
      <c r="G146" t="str">
        <f>_xlfn.XLOOKUP(E146,'Base SKUs'!E:E,'Base SKUs'!D:D)</f>
        <v>Hardwoods</v>
      </c>
      <c r="H146" s="10">
        <f>_xlfn.XLOOKUP(E146,'Base SKUs'!E:E,'Base SKUs'!S:S)</f>
        <v>4.0557983399999997E-3</v>
      </c>
      <c r="I146" s="9">
        <f t="shared" si="2"/>
        <v>0.17</v>
      </c>
      <c r="J146" t="str">
        <f>_xlfn.XLOOKUP(E146,'Base SKUs'!E:E,'Base SKUs'!G:G)</f>
        <v>Cumaru</v>
      </c>
      <c r="K146" t="str">
        <f>_xlfn.XLOOKUP(E146,'Base SKUs'!E:E,'Base SKUs'!H:H)</f>
        <v>S4S E4E</v>
      </c>
      <c r="L146" t="str">
        <f>_xlfn.XLOOKUP(E146,'Base SKUs'!E:E,'Base SKUs'!I:I)</f>
        <v>-</v>
      </c>
      <c r="M146" t="str">
        <f>_xlfn.XLOOKUP(E146,'Base SKUs'!E:E,'Base SKUs'!J:J)</f>
        <v>1x6</v>
      </c>
      <c r="N146">
        <f>_xlfn.XLOOKUP(E146,'Base SKUs'!E:E,'Base SKUs'!K:K)</f>
        <v>5</v>
      </c>
      <c r="O146" t="str">
        <f>_xlfn.XLOOKUP(E146,'Base SKUs'!E:E,'Base SKUs'!C:C)</f>
        <v>Short</v>
      </c>
      <c r="P146" t="s">
        <v>4925</v>
      </c>
    </row>
    <row r="147" spans="1:16" hidden="1" x14ac:dyDescent="0.25">
      <c r="A147" t="s">
        <v>142</v>
      </c>
      <c r="B147" t="s">
        <v>143</v>
      </c>
      <c r="C147" t="s">
        <v>144</v>
      </c>
      <c r="D147">
        <v>9007</v>
      </c>
      <c r="E147" t="s">
        <v>146</v>
      </c>
      <c r="F147">
        <v>1</v>
      </c>
      <c r="G147" t="str">
        <f>_xlfn.XLOOKUP(E147,'Base SKUs'!E:E,'Base SKUs'!D:D)</f>
        <v>Hardwoods</v>
      </c>
      <c r="H147" s="10">
        <f>_xlfn.XLOOKUP(E147,'Base SKUs'!E:E,'Base SKUs'!S:S)</f>
        <v>7.3004370119999999E-3</v>
      </c>
      <c r="I147" s="9">
        <f t="shared" si="2"/>
        <v>7.0000000000000001E-3</v>
      </c>
      <c r="J147" t="str">
        <f>_xlfn.XLOOKUP(E147,'Base SKUs'!E:E,'Base SKUs'!G:G)</f>
        <v>Cumaru</v>
      </c>
      <c r="K147" t="str">
        <f>_xlfn.XLOOKUP(E147,'Base SKUs'!E:E,'Base SKUs'!H:H)</f>
        <v>S4S E4E</v>
      </c>
      <c r="L147" t="str">
        <f>_xlfn.XLOOKUP(E147,'Base SKUs'!E:E,'Base SKUs'!I:I)</f>
        <v>-</v>
      </c>
      <c r="M147" t="str">
        <f>_xlfn.XLOOKUP(E147,'Base SKUs'!E:E,'Base SKUs'!J:J)</f>
        <v>1x6</v>
      </c>
      <c r="N147">
        <f>_xlfn.XLOOKUP(E147,'Base SKUs'!E:E,'Base SKUs'!K:K)</f>
        <v>9</v>
      </c>
      <c r="O147" t="str">
        <f>_xlfn.XLOOKUP(E147,'Base SKUs'!E:E,'Base SKUs'!C:C)</f>
        <v>Long</v>
      </c>
      <c r="P147" t="s">
        <v>4925</v>
      </c>
    </row>
    <row r="148" spans="1:16" hidden="1" x14ac:dyDescent="0.25">
      <c r="A148" t="s">
        <v>142</v>
      </c>
      <c r="B148" t="s">
        <v>143</v>
      </c>
      <c r="C148" t="s">
        <v>144</v>
      </c>
      <c r="D148">
        <v>9007</v>
      </c>
      <c r="E148" t="s">
        <v>147</v>
      </c>
      <c r="F148">
        <v>11</v>
      </c>
      <c r="G148" t="str">
        <f>_xlfn.XLOOKUP(E148,'Base SKUs'!E:E,'Base SKUs'!D:D)</f>
        <v>Hardwoods</v>
      </c>
      <c r="H148" s="10">
        <f>_xlfn.XLOOKUP(E148,'Base SKUs'!E:E,'Base SKUs'!S:S)</f>
        <v>1.2861796857E-2</v>
      </c>
      <c r="I148" s="9">
        <f t="shared" si="2"/>
        <v>0.14099999999999999</v>
      </c>
      <c r="J148" t="str">
        <f>_xlfn.XLOOKUP(E148,'Base SKUs'!E:E,'Base SKUs'!G:G)</f>
        <v>Cumaru</v>
      </c>
      <c r="K148" t="str">
        <f>_xlfn.XLOOKUP(E148,'Base SKUs'!E:E,'Base SKUs'!H:H)</f>
        <v>S4S E4E</v>
      </c>
      <c r="L148" t="str">
        <f>_xlfn.XLOOKUP(E148,'Base SKUs'!E:E,'Base SKUs'!I:I)</f>
        <v>-</v>
      </c>
      <c r="M148" t="str">
        <f>_xlfn.XLOOKUP(E148,'Base SKUs'!E:E,'Base SKUs'!J:J)</f>
        <v>1x6 Plus</v>
      </c>
      <c r="N148">
        <f>_xlfn.XLOOKUP(E148,'Base SKUs'!E:E,'Base SKUs'!K:K)</f>
        <v>13</v>
      </c>
      <c r="O148" t="str">
        <f>_xlfn.XLOOKUP(E148,'Base SKUs'!E:E,'Base SKUs'!C:C)</f>
        <v>Long</v>
      </c>
      <c r="P148" t="s">
        <v>4925</v>
      </c>
    </row>
    <row r="149" spans="1:16" hidden="1" x14ac:dyDescent="0.25">
      <c r="A149" t="s">
        <v>142</v>
      </c>
      <c r="B149" t="s">
        <v>143</v>
      </c>
      <c r="C149" t="s">
        <v>144</v>
      </c>
      <c r="D149">
        <v>9007</v>
      </c>
      <c r="E149" t="s">
        <v>148</v>
      </c>
      <c r="F149">
        <v>14</v>
      </c>
      <c r="G149" t="str">
        <f>_xlfn.XLOOKUP(E149,'Base SKUs'!E:E,'Base SKUs'!D:D)</f>
        <v>Hardwoods</v>
      </c>
      <c r="H149" s="10">
        <f>_xlfn.XLOOKUP(E149,'Base SKUs'!E:E,'Base SKUs'!S:S)</f>
        <v>1.3789714356000002E-2</v>
      </c>
      <c r="I149" s="9">
        <f t="shared" si="2"/>
        <v>0.193</v>
      </c>
      <c r="J149" t="str">
        <f>_xlfn.XLOOKUP(E149,'Base SKUs'!E:E,'Base SKUs'!G:G)</f>
        <v>Cumaru</v>
      </c>
      <c r="K149" t="str">
        <f>_xlfn.XLOOKUP(E149,'Base SKUs'!E:E,'Base SKUs'!H:H)</f>
        <v>S4S E4E</v>
      </c>
      <c r="L149" t="str">
        <f>_xlfn.XLOOKUP(E149,'Base SKUs'!E:E,'Base SKUs'!I:I)</f>
        <v>-</v>
      </c>
      <c r="M149" t="str">
        <f>_xlfn.XLOOKUP(E149,'Base SKUs'!E:E,'Base SKUs'!J:J)</f>
        <v>1x6</v>
      </c>
      <c r="N149">
        <f>_xlfn.XLOOKUP(E149,'Base SKUs'!E:E,'Base SKUs'!K:K)</f>
        <v>17</v>
      </c>
      <c r="O149" t="str">
        <f>_xlfn.XLOOKUP(E149,'Base SKUs'!E:E,'Base SKUs'!C:C)</f>
        <v>Long</v>
      </c>
      <c r="P149" t="s">
        <v>4925</v>
      </c>
    </row>
    <row r="150" spans="1:16" hidden="1" x14ac:dyDescent="0.25">
      <c r="A150" t="s">
        <v>149</v>
      </c>
      <c r="B150" t="s">
        <v>7</v>
      </c>
      <c r="C150" t="s">
        <v>119</v>
      </c>
      <c r="D150">
        <v>9007</v>
      </c>
      <c r="E150" t="s">
        <v>67</v>
      </c>
      <c r="F150">
        <v>3</v>
      </c>
      <c r="G150" t="str">
        <f>_xlfn.XLOOKUP(E150,'Base SKUs'!E:E,'Base SKUs'!D:D)</f>
        <v>Thermowood</v>
      </c>
      <c r="H150" s="10">
        <f>_xlfn.XLOOKUP(E150,'Base SKUs'!E:E,'Base SKUs'!S:S)</f>
        <v>7.980000000000001E-3</v>
      </c>
      <c r="I150" s="9">
        <f t="shared" si="2"/>
        <v>2.4E-2</v>
      </c>
      <c r="J150" t="str">
        <f>_xlfn.XLOOKUP(E150,'Base SKUs'!E:E,'Base SKUs'!G:G)</f>
        <v>Maximo Thermo Ayous</v>
      </c>
      <c r="K150" t="str">
        <f>_xlfn.XLOOKUP(E150,'Base SKUs'!E:E,'Base SKUs'!H:H)</f>
        <v>VJoint - Nickel Gap</v>
      </c>
      <c r="L150" t="str">
        <f>_xlfn.XLOOKUP(E150,'Base SKUs'!E:E,'Base SKUs'!I:I)</f>
        <v>-</v>
      </c>
      <c r="M150" t="str">
        <f>_xlfn.XLOOKUP(E150,'Base SKUs'!E:E,'Base SKUs'!J:J)</f>
        <v>1x6</v>
      </c>
      <c r="N150">
        <f>_xlfn.XLOOKUP(E150,'Base SKUs'!E:E,'Base SKUs'!K:K)</f>
        <v>10</v>
      </c>
      <c r="O150" t="str">
        <f>_xlfn.XLOOKUP(E150,'Base SKUs'!E:E,'Base SKUs'!C:C)</f>
        <v>Long</v>
      </c>
      <c r="P150" t="s">
        <v>4923</v>
      </c>
    </row>
    <row r="151" spans="1:16" hidden="1" x14ac:dyDescent="0.25">
      <c r="A151" t="s">
        <v>149</v>
      </c>
      <c r="B151" t="s">
        <v>7</v>
      </c>
      <c r="C151" t="s">
        <v>119</v>
      </c>
      <c r="D151">
        <v>9007</v>
      </c>
      <c r="E151" t="s">
        <v>150</v>
      </c>
      <c r="F151">
        <v>1</v>
      </c>
      <c r="G151" t="str">
        <f>_xlfn.XLOOKUP(E151,'Base SKUs'!E:E,'Base SKUs'!D:D)</f>
        <v>Thermowood</v>
      </c>
      <c r="H151" s="10">
        <f>_xlfn.XLOOKUP(E151,'Base SKUs'!E:E,'Base SKUs'!S:S)</f>
        <v>9.5760000000000012E-3</v>
      </c>
      <c r="I151" s="9">
        <f t="shared" si="2"/>
        <v>0.01</v>
      </c>
      <c r="J151" t="str">
        <f>_xlfn.XLOOKUP(E151,'Base SKUs'!E:E,'Base SKUs'!G:G)</f>
        <v>Maximo Thermo Ayous</v>
      </c>
      <c r="K151" t="str">
        <f>_xlfn.XLOOKUP(E151,'Base SKUs'!E:E,'Base SKUs'!H:H)</f>
        <v>VJoint - Nickel Gap</v>
      </c>
      <c r="L151" t="str">
        <f>_xlfn.XLOOKUP(E151,'Base SKUs'!E:E,'Base SKUs'!I:I)</f>
        <v>-</v>
      </c>
      <c r="M151" t="str">
        <f>_xlfn.XLOOKUP(E151,'Base SKUs'!E:E,'Base SKUs'!J:J)</f>
        <v>1x6</v>
      </c>
      <c r="N151">
        <f>_xlfn.XLOOKUP(E151,'Base SKUs'!E:E,'Base SKUs'!K:K)</f>
        <v>12</v>
      </c>
      <c r="O151" t="str">
        <f>_xlfn.XLOOKUP(E151,'Base SKUs'!E:E,'Base SKUs'!C:C)</f>
        <v>Long</v>
      </c>
      <c r="P151" t="s">
        <v>4923</v>
      </c>
    </row>
    <row r="152" spans="1:16" hidden="1" x14ac:dyDescent="0.25">
      <c r="A152" t="s">
        <v>151</v>
      </c>
      <c r="B152" t="s">
        <v>7</v>
      </c>
      <c r="C152" t="s">
        <v>8</v>
      </c>
      <c r="D152">
        <v>9007</v>
      </c>
      <c r="E152" t="s">
        <v>67</v>
      </c>
      <c r="F152">
        <v>11</v>
      </c>
      <c r="G152" t="str">
        <f>_xlfn.XLOOKUP(E152,'Base SKUs'!E:E,'Base SKUs'!D:D)</f>
        <v>Thermowood</v>
      </c>
      <c r="H152" s="10">
        <f>_xlfn.XLOOKUP(E152,'Base SKUs'!E:E,'Base SKUs'!S:S)</f>
        <v>7.980000000000001E-3</v>
      </c>
      <c r="I152" s="9">
        <f t="shared" si="2"/>
        <v>8.7999999999999995E-2</v>
      </c>
      <c r="J152" t="str">
        <f>_xlfn.XLOOKUP(E152,'Base SKUs'!E:E,'Base SKUs'!G:G)</f>
        <v>Maximo Thermo Ayous</v>
      </c>
      <c r="K152" t="str">
        <f>_xlfn.XLOOKUP(E152,'Base SKUs'!E:E,'Base SKUs'!H:H)</f>
        <v>VJoint - Nickel Gap</v>
      </c>
      <c r="L152" t="str">
        <f>_xlfn.XLOOKUP(E152,'Base SKUs'!E:E,'Base SKUs'!I:I)</f>
        <v>-</v>
      </c>
      <c r="M152" t="str">
        <f>_xlfn.XLOOKUP(E152,'Base SKUs'!E:E,'Base SKUs'!J:J)</f>
        <v>1x6</v>
      </c>
      <c r="N152">
        <f>_xlfn.XLOOKUP(E152,'Base SKUs'!E:E,'Base SKUs'!K:K)</f>
        <v>10</v>
      </c>
      <c r="O152" t="str">
        <f>_xlfn.XLOOKUP(E152,'Base SKUs'!E:E,'Base SKUs'!C:C)</f>
        <v>Long</v>
      </c>
      <c r="P152" t="s">
        <v>4923</v>
      </c>
    </row>
    <row r="153" spans="1:16" hidden="1" x14ac:dyDescent="0.25">
      <c r="A153" t="s">
        <v>152</v>
      </c>
      <c r="B153" t="s">
        <v>19</v>
      </c>
      <c r="C153" t="s">
        <v>20</v>
      </c>
      <c r="D153">
        <v>9007</v>
      </c>
      <c r="E153" t="s">
        <v>122</v>
      </c>
      <c r="F153">
        <v>2</v>
      </c>
      <c r="G153" t="str">
        <f>_xlfn.XLOOKUP(E153,'Base SKUs'!E:E,'Base SKUs'!D:D)</f>
        <v>Thermowood</v>
      </c>
      <c r="H153" s="10">
        <f>_xlfn.XLOOKUP(E153,'Base SKUs'!E:E,'Base SKUs'!S:S)</f>
        <v>5.5859999999999998E-3</v>
      </c>
      <c r="I153" s="9">
        <f t="shared" si="2"/>
        <v>1.0999999999999999E-2</v>
      </c>
      <c r="J153" t="str">
        <f>_xlfn.XLOOKUP(E153,'Base SKUs'!E:E,'Base SKUs'!G:G)</f>
        <v>Maximo Thermo Ayous</v>
      </c>
      <c r="K153" t="str">
        <f>_xlfn.XLOOKUP(E153,'Base SKUs'!E:E,'Base SKUs'!H:H)</f>
        <v>VJoint - Nickel Gap</v>
      </c>
      <c r="L153" t="str">
        <f>_xlfn.XLOOKUP(E153,'Base SKUs'!E:E,'Base SKUs'!I:I)</f>
        <v>-</v>
      </c>
      <c r="M153" t="str">
        <f>_xlfn.XLOOKUP(E153,'Base SKUs'!E:E,'Base SKUs'!J:J)</f>
        <v>1x6</v>
      </c>
      <c r="N153">
        <f>_xlfn.XLOOKUP(E153,'Base SKUs'!E:E,'Base SKUs'!K:K)</f>
        <v>7</v>
      </c>
      <c r="O153" t="str">
        <f>_xlfn.XLOOKUP(E153,'Base SKUs'!E:E,'Base SKUs'!C:C)</f>
        <v>Short</v>
      </c>
      <c r="P153" t="s">
        <v>4925</v>
      </c>
    </row>
    <row r="154" spans="1:16" hidden="1" x14ac:dyDescent="0.25">
      <c r="A154" t="s">
        <v>157</v>
      </c>
      <c r="B154" t="s">
        <v>7</v>
      </c>
      <c r="C154" t="s">
        <v>8</v>
      </c>
      <c r="D154">
        <v>9007</v>
      </c>
      <c r="E154" t="s">
        <v>60</v>
      </c>
      <c r="F154">
        <v>1</v>
      </c>
      <c r="G154" t="str">
        <f>_xlfn.XLOOKUP(E154,'Base SKUs'!E:E,'Base SKUs'!D:D)</f>
        <v>Thermowood</v>
      </c>
      <c r="H154" s="10">
        <f>_xlfn.XLOOKUP(E154,'Base SKUs'!E:E,'Base SKUs'!S:S)</f>
        <v>7.8659999999999997E-3</v>
      </c>
      <c r="I154" s="9">
        <f t="shared" si="2"/>
        <v>8.0000000000000002E-3</v>
      </c>
      <c r="J154" t="str">
        <f>_xlfn.XLOOKUP(E154,'Base SKUs'!E:E,'Base SKUs'!G:G)</f>
        <v>Maximo Thermo Clear Radiata</v>
      </c>
      <c r="K154" t="str">
        <f>_xlfn.XLOOKUP(E154,'Base SKUs'!E:E,'Base SKUs'!H:H)</f>
        <v>Nickel Gap</v>
      </c>
      <c r="L154" t="str">
        <f>_xlfn.XLOOKUP(E154,'Base SKUs'!E:E,'Base SKUs'!I:I)</f>
        <v>OPX</v>
      </c>
      <c r="M154" t="str">
        <f>_xlfn.XLOOKUP(E154,'Base SKUs'!E:E,'Base SKUs'!J:J)</f>
        <v>1x6</v>
      </c>
      <c r="N154">
        <f>_xlfn.XLOOKUP(E154,'Base SKUs'!E:E,'Base SKUs'!K:K)</f>
        <v>10</v>
      </c>
      <c r="O154" t="str">
        <f>_xlfn.XLOOKUP(E154,'Base SKUs'!E:E,'Base SKUs'!C:C)</f>
        <v>Long</v>
      </c>
      <c r="P154" t="s">
        <v>4923</v>
      </c>
    </row>
    <row r="155" spans="1:16" hidden="1" x14ac:dyDescent="0.25">
      <c r="A155" t="s">
        <v>157</v>
      </c>
      <c r="B155" t="s">
        <v>7</v>
      </c>
      <c r="C155" t="s">
        <v>8</v>
      </c>
      <c r="D155">
        <v>9007</v>
      </c>
      <c r="E155" t="s">
        <v>158</v>
      </c>
      <c r="F155">
        <v>2</v>
      </c>
      <c r="G155" t="str">
        <f>_xlfn.XLOOKUP(E155,'Base SKUs'!E:E,'Base SKUs'!D:D)</f>
        <v>Thermowood</v>
      </c>
      <c r="H155" s="10">
        <f>_xlfn.XLOOKUP(E155,'Base SKUs'!E:E,'Base SKUs'!S:S)</f>
        <v>1.10124E-2</v>
      </c>
      <c r="I155" s="9">
        <f t="shared" si="2"/>
        <v>2.1999999999999999E-2</v>
      </c>
      <c r="J155" t="str">
        <f>_xlfn.XLOOKUP(E155,'Base SKUs'!E:E,'Base SKUs'!G:G)</f>
        <v>Maximo Thermo Clear Radiata</v>
      </c>
      <c r="K155" t="str">
        <f>_xlfn.XLOOKUP(E155,'Base SKUs'!E:E,'Base SKUs'!H:H)</f>
        <v>Nickel Gap</v>
      </c>
      <c r="L155" t="str">
        <f>_xlfn.XLOOKUP(E155,'Base SKUs'!E:E,'Base SKUs'!I:I)</f>
        <v>OPX</v>
      </c>
      <c r="M155" t="str">
        <f>_xlfn.XLOOKUP(E155,'Base SKUs'!E:E,'Base SKUs'!J:J)</f>
        <v>1x6</v>
      </c>
      <c r="N155">
        <f>_xlfn.XLOOKUP(E155,'Base SKUs'!E:E,'Base SKUs'!K:K)</f>
        <v>14</v>
      </c>
      <c r="O155" t="str">
        <f>_xlfn.XLOOKUP(E155,'Base SKUs'!E:E,'Base SKUs'!C:C)</f>
        <v>Long</v>
      </c>
      <c r="P155" t="s">
        <v>4923</v>
      </c>
    </row>
    <row r="156" spans="1:16" hidden="1" x14ac:dyDescent="0.25">
      <c r="A156" t="s">
        <v>157</v>
      </c>
      <c r="B156" t="s">
        <v>7</v>
      </c>
      <c r="C156" t="s">
        <v>8</v>
      </c>
      <c r="D156">
        <v>9007</v>
      </c>
      <c r="E156" t="s">
        <v>159</v>
      </c>
      <c r="F156">
        <v>5</v>
      </c>
      <c r="G156" t="str">
        <f>_xlfn.XLOOKUP(E156,'Base SKUs'!E:E,'Base SKUs'!D:D)</f>
        <v>Thermowood</v>
      </c>
      <c r="H156" s="10">
        <f>_xlfn.XLOOKUP(E156,'Base SKUs'!E:E,'Base SKUs'!S:S)</f>
        <v>1.4158800000000001E-2</v>
      </c>
      <c r="I156" s="9">
        <f t="shared" si="2"/>
        <v>7.0999999999999994E-2</v>
      </c>
      <c r="J156" t="str">
        <f>_xlfn.XLOOKUP(E156,'Base SKUs'!E:E,'Base SKUs'!G:G)</f>
        <v>Maximo Thermo Clear Radiata</v>
      </c>
      <c r="K156" t="str">
        <f>_xlfn.XLOOKUP(E156,'Base SKUs'!E:E,'Base SKUs'!H:H)</f>
        <v>Nickel Gap</v>
      </c>
      <c r="L156" t="str">
        <f>_xlfn.XLOOKUP(E156,'Base SKUs'!E:E,'Base SKUs'!I:I)</f>
        <v>OPX</v>
      </c>
      <c r="M156" t="str">
        <f>_xlfn.XLOOKUP(E156,'Base SKUs'!E:E,'Base SKUs'!J:J)</f>
        <v>1x6</v>
      </c>
      <c r="N156">
        <f>_xlfn.XLOOKUP(E156,'Base SKUs'!E:E,'Base SKUs'!K:K)</f>
        <v>18</v>
      </c>
      <c r="O156" t="str">
        <f>_xlfn.XLOOKUP(E156,'Base SKUs'!E:E,'Base SKUs'!C:C)</f>
        <v>Long</v>
      </c>
      <c r="P156" t="s">
        <v>4923</v>
      </c>
    </row>
    <row r="157" spans="1:16" hidden="1" x14ac:dyDescent="0.25">
      <c r="A157" t="s">
        <v>160</v>
      </c>
      <c r="B157" t="s">
        <v>19</v>
      </c>
      <c r="C157" t="s">
        <v>20</v>
      </c>
      <c r="D157">
        <v>9007</v>
      </c>
      <c r="E157" t="s">
        <v>161</v>
      </c>
      <c r="F157">
        <v>1640</v>
      </c>
      <c r="G157" t="str">
        <f>_xlfn.XLOOKUP(E157,'Base SKUs'!E:E,'Base SKUs'!D:D)</f>
        <v>Hardwoods</v>
      </c>
      <c r="H157" s="10">
        <f>_xlfn.XLOOKUP(E157,'Base SKUs'!E:E,'Base SKUs'!S:S)</f>
        <v>8.1803360000000012E-4</v>
      </c>
      <c r="I157" s="9">
        <f t="shared" si="2"/>
        <v>1640</v>
      </c>
      <c r="J157" t="str">
        <f>_xlfn.XLOOKUP(E157,'Base SKUs'!E:E,'Base SKUs'!G:G)</f>
        <v>IpeB</v>
      </c>
      <c r="K157" t="str">
        <f>_xlfn.XLOOKUP(E157,'Base SKUs'!E:E,'Base SKUs'!H:H)</f>
        <v>Tiles</v>
      </c>
      <c r="L157" t="str">
        <f>_xlfn.XLOOKUP(E157,'Base SKUs'!E:E,'Base SKUs'!I:I)</f>
        <v>-</v>
      </c>
      <c r="M157" t="str">
        <f>_xlfn.XLOOKUP(E157,'Base SKUs'!E:E,'Base SKUs'!J:J)</f>
        <v>24x24</v>
      </c>
      <c r="N157">
        <f>_xlfn.XLOOKUP(E157,'Base SKUs'!E:E,'Base SKUs'!K:K)</f>
        <v>24</v>
      </c>
      <c r="O157" t="str">
        <f>_xlfn.XLOOKUP(E157,'Base SKUs'!E:E,'Base SKUs'!C:C)</f>
        <v>Tiles</v>
      </c>
      <c r="P157" t="s">
        <v>4923</v>
      </c>
    </row>
    <row r="158" spans="1:16" hidden="1" x14ac:dyDescent="0.25">
      <c r="A158" t="s">
        <v>162</v>
      </c>
      <c r="B158" t="s">
        <v>7</v>
      </c>
      <c r="C158" t="s">
        <v>8</v>
      </c>
      <c r="D158">
        <v>9007</v>
      </c>
      <c r="E158" t="s">
        <v>122</v>
      </c>
      <c r="F158">
        <v>6</v>
      </c>
      <c r="G158" t="str">
        <f>_xlfn.XLOOKUP(E158,'Base SKUs'!E:E,'Base SKUs'!D:D)</f>
        <v>Thermowood</v>
      </c>
      <c r="H158" s="10">
        <f>_xlfn.XLOOKUP(E158,'Base SKUs'!E:E,'Base SKUs'!S:S)</f>
        <v>5.5859999999999998E-3</v>
      </c>
      <c r="I158" s="9">
        <f t="shared" si="2"/>
        <v>3.4000000000000002E-2</v>
      </c>
      <c r="J158" t="str">
        <f>_xlfn.XLOOKUP(E158,'Base SKUs'!E:E,'Base SKUs'!G:G)</f>
        <v>Maximo Thermo Ayous</v>
      </c>
      <c r="K158" t="str">
        <f>_xlfn.XLOOKUP(E158,'Base SKUs'!E:E,'Base SKUs'!H:H)</f>
        <v>VJoint - Nickel Gap</v>
      </c>
      <c r="L158" t="str">
        <f>_xlfn.XLOOKUP(E158,'Base SKUs'!E:E,'Base SKUs'!I:I)</f>
        <v>-</v>
      </c>
      <c r="M158" t="str">
        <f>_xlfn.XLOOKUP(E158,'Base SKUs'!E:E,'Base SKUs'!J:J)</f>
        <v>1x6</v>
      </c>
      <c r="N158">
        <f>_xlfn.XLOOKUP(E158,'Base SKUs'!E:E,'Base SKUs'!K:K)</f>
        <v>7</v>
      </c>
      <c r="O158" t="str">
        <f>_xlfn.XLOOKUP(E158,'Base SKUs'!E:E,'Base SKUs'!C:C)</f>
        <v>Short</v>
      </c>
      <c r="P158" t="s">
        <v>4923</v>
      </c>
    </row>
    <row r="159" spans="1:16" hidden="1" x14ac:dyDescent="0.25">
      <c r="A159" t="s">
        <v>162</v>
      </c>
      <c r="B159" t="s">
        <v>7</v>
      </c>
      <c r="C159" t="s">
        <v>8</v>
      </c>
      <c r="D159">
        <v>9007</v>
      </c>
      <c r="E159" t="s">
        <v>23</v>
      </c>
      <c r="F159">
        <v>4</v>
      </c>
      <c r="G159" t="str">
        <f>_xlfn.XLOOKUP(E159,'Base SKUs'!E:E,'Base SKUs'!D:D)</f>
        <v>Thermowood</v>
      </c>
      <c r="H159" s="10">
        <f>_xlfn.XLOOKUP(E159,'Base SKUs'!E:E,'Base SKUs'!S:S)</f>
        <v>6.3839999999999999E-3</v>
      </c>
      <c r="I159" s="9">
        <f t="shared" si="2"/>
        <v>2.5999999999999999E-2</v>
      </c>
      <c r="J159" t="str">
        <f>_xlfn.XLOOKUP(E159,'Base SKUs'!E:E,'Base SKUs'!G:G)</f>
        <v>Maximo Thermo Ayous</v>
      </c>
      <c r="K159" t="str">
        <f>_xlfn.XLOOKUP(E159,'Base SKUs'!E:E,'Base SKUs'!H:H)</f>
        <v>VJoint - Nickel Gap</v>
      </c>
      <c r="L159" t="str">
        <f>_xlfn.XLOOKUP(E159,'Base SKUs'!E:E,'Base SKUs'!I:I)</f>
        <v>-</v>
      </c>
      <c r="M159" t="str">
        <f>_xlfn.XLOOKUP(E159,'Base SKUs'!E:E,'Base SKUs'!J:J)</f>
        <v>1x6</v>
      </c>
      <c r="N159">
        <f>_xlfn.XLOOKUP(E159,'Base SKUs'!E:E,'Base SKUs'!K:K)</f>
        <v>8</v>
      </c>
      <c r="O159" t="str">
        <f>_xlfn.XLOOKUP(E159,'Base SKUs'!E:E,'Base SKUs'!C:C)</f>
        <v>Long</v>
      </c>
      <c r="P159" t="s">
        <v>4923</v>
      </c>
    </row>
    <row r="160" spans="1:16" hidden="1" x14ac:dyDescent="0.25">
      <c r="A160" t="s">
        <v>162</v>
      </c>
      <c r="B160" t="s">
        <v>7</v>
      </c>
      <c r="C160" t="s">
        <v>8</v>
      </c>
      <c r="D160">
        <v>9007</v>
      </c>
      <c r="E160" t="s">
        <v>150</v>
      </c>
      <c r="F160">
        <v>7</v>
      </c>
      <c r="G160" t="str">
        <f>_xlfn.XLOOKUP(E160,'Base SKUs'!E:E,'Base SKUs'!D:D)</f>
        <v>Thermowood</v>
      </c>
      <c r="H160" s="10">
        <f>_xlfn.XLOOKUP(E160,'Base SKUs'!E:E,'Base SKUs'!S:S)</f>
        <v>9.5760000000000012E-3</v>
      </c>
      <c r="I160" s="9">
        <f t="shared" si="2"/>
        <v>6.7000000000000004E-2</v>
      </c>
      <c r="J160" t="str">
        <f>_xlfn.XLOOKUP(E160,'Base SKUs'!E:E,'Base SKUs'!G:G)</f>
        <v>Maximo Thermo Ayous</v>
      </c>
      <c r="K160" t="str">
        <f>_xlfn.XLOOKUP(E160,'Base SKUs'!E:E,'Base SKUs'!H:H)</f>
        <v>VJoint - Nickel Gap</v>
      </c>
      <c r="L160" t="str">
        <f>_xlfn.XLOOKUP(E160,'Base SKUs'!E:E,'Base SKUs'!I:I)</f>
        <v>-</v>
      </c>
      <c r="M160" t="str">
        <f>_xlfn.XLOOKUP(E160,'Base SKUs'!E:E,'Base SKUs'!J:J)</f>
        <v>1x6</v>
      </c>
      <c r="N160">
        <f>_xlfn.XLOOKUP(E160,'Base SKUs'!E:E,'Base SKUs'!K:K)</f>
        <v>12</v>
      </c>
      <c r="O160" t="str">
        <f>_xlfn.XLOOKUP(E160,'Base SKUs'!E:E,'Base SKUs'!C:C)</f>
        <v>Long</v>
      </c>
      <c r="P160" t="s">
        <v>4923</v>
      </c>
    </row>
    <row r="161" spans="1:16" hidden="1" x14ac:dyDescent="0.25">
      <c r="A161" t="s">
        <v>162</v>
      </c>
      <c r="B161" t="s">
        <v>7</v>
      </c>
      <c r="C161" t="s">
        <v>8</v>
      </c>
      <c r="D161">
        <v>9007</v>
      </c>
      <c r="E161" t="s">
        <v>163</v>
      </c>
      <c r="F161">
        <v>5</v>
      </c>
      <c r="G161" t="str">
        <f>_xlfn.XLOOKUP(E161,'Base SKUs'!E:E,'Base SKUs'!D:D)</f>
        <v>Thermowood</v>
      </c>
      <c r="H161" s="10">
        <f>_xlfn.XLOOKUP(E161,'Base SKUs'!E:E,'Base SKUs'!S:S)</f>
        <v>1.0374000000000001E-2</v>
      </c>
      <c r="I161" s="9">
        <f t="shared" si="2"/>
        <v>5.1999999999999998E-2</v>
      </c>
      <c r="J161" t="str">
        <f>_xlfn.XLOOKUP(E161,'Base SKUs'!E:E,'Base SKUs'!G:G)</f>
        <v>Maximo Thermo Ayous</v>
      </c>
      <c r="K161" t="str">
        <f>_xlfn.XLOOKUP(E161,'Base SKUs'!E:E,'Base SKUs'!H:H)</f>
        <v>VJoint - Nickel Gap</v>
      </c>
      <c r="L161" t="str">
        <f>_xlfn.XLOOKUP(E161,'Base SKUs'!E:E,'Base SKUs'!I:I)</f>
        <v>-</v>
      </c>
      <c r="M161" t="str">
        <f>_xlfn.XLOOKUP(E161,'Base SKUs'!E:E,'Base SKUs'!J:J)</f>
        <v>1x6</v>
      </c>
      <c r="N161">
        <f>_xlfn.XLOOKUP(E161,'Base SKUs'!E:E,'Base SKUs'!K:K)</f>
        <v>13</v>
      </c>
      <c r="O161" t="str">
        <f>_xlfn.XLOOKUP(E161,'Base SKUs'!E:E,'Base SKUs'!C:C)</f>
        <v>Long</v>
      </c>
      <c r="P161" t="s">
        <v>4923</v>
      </c>
    </row>
    <row r="162" spans="1:16" hidden="1" x14ac:dyDescent="0.25">
      <c r="A162" t="s">
        <v>164</v>
      </c>
      <c r="B162" t="s">
        <v>7</v>
      </c>
      <c r="C162" t="s">
        <v>8</v>
      </c>
      <c r="D162">
        <v>9011</v>
      </c>
      <c r="E162" t="s">
        <v>165</v>
      </c>
      <c r="F162">
        <v>39</v>
      </c>
      <c r="G162" t="str">
        <f>_xlfn.XLOOKUP(E162,'Base SKUs'!E:E,'Base SKUs'!D:D)</f>
        <v>Hardwoods</v>
      </c>
      <c r="H162" s="10">
        <f>_xlfn.XLOOKUP(E162,'Base SKUs'!E:E,'Base SKUs'!S:S)</f>
        <v>8.1803360000000012E-4</v>
      </c>
      <c r="I162" s="9">
        <f t="shared" si="2"/>
        <v>39</v>
      </c>
      <c r="J162" t="str">
        <f>_xlfn.XLOOKUP(E162,'Base SKUs'!E:E,'Base SKUs'!G:G)</f>
        <v>Cumaru</v>
      </c>
      <c r="K162" t="str">
        <f>_xlfn.XLOOKUP(E162,'Base SKUs'!E:E,'Base SKUs'!H:H)</f>
        <v>Tiles</v>
      </c>
      <c r="L162" t="str">
        <f>_xlfn.XLOOKUP(E162,'Base SKUs'!E:E,'Base SKUs'!I:I)</f>
        <v>-</v>
      </c>
      <c r="M162" t="str">
        <f>_xlfn.XLOOKUP(E162,'Base SKUs'!E:E,'Base SKUs'!J:J)</f>
        <v>24x24</v>
      </c>
      <c r="N162">
        <f>_xlfn.XLOOKUP(E162,'Base SKUs'!E:E,'Base SKUs'!K:K)</f>
        <v>24</v>
      </c>
      <c r="O162" t="str">
        <f>_xlfn.XLOOKUP(E162,'Base SKUs'!E:E,'Base SKUs'!C:C)</f>
        <v>Tiles</v>
      </c>
      <c r="P162" t="s">
        <v>4923</v>
      </c>
    </row>
    <row r="163" spans="1:16" hidden="1" x14ac:dyDescent="0.25">
      <c r="A163" t="s">
        <v>164</v>
      </c>
      <c r="B163" t="s">
        <v>7</v>
      </c>
      <c r="C163" t="s">
        <v>8</v>
      </c>
      <c r="D163">
        <v>9011</v>
      </c>
      <c r="E163" t="s">
        <v>166</v>
      </c>
      <c r="F163">
        <v>5</v>
      </c>
      <c r="G163" t="str">
        <f>_xlfn.XLOOKUP(E163,'Base SKUs'!E:E,'Base SKUs'!D:D)</f>
        <v>Hardwoods</v>
      </c>
      <c r="H163" s="10">
        <f>_xlfn.XLOOKUP(E163,'Base SKUs'!E:E,'Base SKUs'!S:S)</f>
        <v>5.3094087360000004E-3</v>
      </c>
      <c r="I163" s="9">
        <f t="shared" si="2"/>
        <v>2.7E-2</v>
      </c>
      <c r="J163" t="str">
        <f>_xlfn.XLOOKUP(E163,'Base SKUs'!E:E,'Base SKUs'!G:G)</f>
        <v>Ipe</v>
      </c>
      <c r="K163" t="str">
        <f>_xlfn.XLOOKUP(E163,'Base SKUs'!E:E,'Base SKUs'!H:H)</f>
        <v>S4S E4E</v>
      </c>
      <c r="L163" t="str">
        <f>_xlfn.XLOOKUP(E163,'Base SKUs'!E:E,'Base SKUs'!I:I)</f>
        <v>-</v>
      </c>
      <c r="M163" t="str">
        <f>_xlfn.XLOOKUP(E163,'Base SKUs'!E:E,'Base SKUs'!J:J)</f>
        <v>2x2</v>
      </c>
      <c r="N163">
        <f>_xlfn.XLOOKUP(E163,'Base SKUs'!E:E,'Base SKUs'!K:K)</f>
        <v>12</v>
      </c>
      <c r="O163" t="str">
        <f>_xlfn.XLOOKUP(E163,'Base SKUs'!E:E,'Base SKUs'!C:C)</f>
        <v>Long</v>
      </c>
      <c r="P163" t="s">
        <v>4923</v>
      </c>
    </row>
    <row r="164" spans="1:16" hidden="1" x14ac:dyDescent="0.25">
      <c r="A164" t="s">
        <v>164</v>
      </c>
      <c r="B164" t="s">
        <v>7</v>
      </c>
      <c r="C164" t="s">
        <v>8</v>
      </c>
      <c r="D164">
        <v>9011</v>
      </c>
      <c r="E164" t="s">
        <v>167</v>
      </c>
      <c r="F164">
        <v>160</v>
      </c>
      <c r="G164" t="str">
        <f>_xlfn.XLOOKUP(E164,'Base SKUs'!E:E,'Base SKUs'!D:D)</f>
        <v>Hardwoods</v>
      </c>
      <c r="H164" s="10">
        <f>_xlfn.XLOOKUP(E164,'Base SKUs'!E:E,'Base SKUs'!S:S)</f>
        <v>7.9641131039999997E-3</v>
      </c>
      <c r="I164" s="9">
        <f t="shared" si="2"/>
        <v>1.274</v>
      </c>
      <c r="J164" t="str">
        <f>_xlfn.XLOOKUP(E164,'Base SKUs'!E:E,'Base SKUs'!G:G)</f>
        <v>Ipe</v>
      </c>
      <c r="K164" t="str">
        <f>_xlfn.XLOOKUP(E164,'Base SKUs'!E:E,'Base SKUs'!H:H)</f>
        <v>S4S E4E</v>
      </c>
      <c r="L164" t="str">
        <f>_xlfn.XLOOKUP(E164,'Base SKUs'!E:E,'Base SKUs'!I:I)</f>
        <v>-</v>
      </c>
      <c r="M164" t="str">
        <f>_xlfn.XLOOKUP(E164,'Base SKUs'!E:E,'Base SKUs'!J:J)</f>
        <v>2x2</v>
      </c>
      <c r="N164">
        <f>_xlfn.XLOOKUP(E164,'Base SKUs'!E:E,'Base SKUs'!K:K)</f>
        <v>18</v>
      </c>
      <c r="O164" t="str">
        <f>_xlfn.XLOOKUP(E164,'Base SKUs'!E:E,'Base SKUs'!C:C)</f>
        <v>Long</v>
      </c>
      <c r="P164" t="s">
        <v>4923</v>
      </c>
    </row>
    <row r="165" spans="1:16" hidden="1" x14ac:dyDescent="0.25">
      <c r="A165" t="s">
        <v>164</v>
      </c>
      <c r="B165" t="s">
        <v>7</v>
      </c>
      <c r="C165" t="s">
        <v>8</v>
      </c>
      <c r="D165">
        <v>9011</v>
      </c>
      <c r="E165" t="s">
        <v>168</v>
      </c>
      <c r="F165">
        <v>178</v>
      </c>
      <c r="G165" t="str">
        <f>_xlfn.XLOOKUP(E165,'Base SKUs'!E:E,'Base SKUs'!D:D)</f>
        <v>Hardwoods</v>
      </c>
      <c r="H165" s="10">
        <f>_xlfn.XLOOKUP(E165,'Base SKUs'!E:E,'Base SKUs'!S:S)</f>
        <v>1.0323850320000001E-2</v>
      </c>
      <c r="I165" s="9">
        <f t="shared" si="2"/>
        <v>1.8380000000000001</v>
      </c>
      <c r="J165" t="str">
        <f>_xlfn.XLOOKUP(E165,'Base SKUs'!E:E,'Base SKUs'!G:G)</f>
        <v>Ipe</v>
      </c>
      <c r="K165" t="str">
        <f>_xlfn.XLOOKUP(E165,'Base SKUs'!E:E,'Base SKUs'!H:H)</f>
        <v>S4S E4E</v>
      </c>
      <c r="L165" t="str">
        <f>_xlfn.XLOOKUP(E165,'Base SKUs'!E:E,'Base SKUs'!I:I)</f>
        <v>-</v>
      </c>
      <c r="M165" t="str">
        <f>_xlfn.XLOOKUP(E165,'Base SKUs'!E:E,'Base SKUs'!J:J)</f>
        <v>2x4</v>
      </c>
      <c r="N165">
        <f>_xlfn.XLOOKUP(E165,'Base SKUs'!E:E,'Base SKUs'!K:K)</f>
        <v>10</v>
      </c>
      <c r="O165" t="str">
        <f>_xlfn.XLOOKUP(E165,'Base SKUs'!E:E,'Base SKUs'!C:C)</f>
        <v>Long</v>
      </c>
      <c r="P165" t="s">
        <v>4923</v>
      </c>
    </row>
    <row r="166" spans="1:16" hidden="1" x14ac:dyDescent="0.25">
      <c r="A166" t="s">
        <v>164</v>
      </c>
      <c r="B166" t="s">
        <v>7</v>
      </c>
      <c r="C166" t="s">
        <v>8</v>
      </c>
      <c r="D166">
        <v>9011</v>
      </c>
      <c r="E166" t="s">
        <v>169</v>
      </c>
      <c r="F166">
        <v>72</v>
      </c>
      <c r="G166" t="str">
        <f>_xlfn.XLOOKUP(E166,'Base SKUs'!E:E,'Base SKUs'!D:D)</f>
        <v>Hardwoods</v>
      </c>
      <c r="H166" s="10">
        <f>_xlfn.XLOOKUP(E166,'Base SKUs'!E:E,'Base SKUs'!S:S)</f>
        <v>1.4453390448E-2</v>
      </c>
      <c r="I166" s="9">
        <f t="shared" si="2"/>
        <v>1.0409999999999999</v>
      </c>
      <c r="J166" t="str">
        <f>_xlfn.XLOOKUP(E166,'Base SKUs'!E:E,'Base SKUs'!G:G)</f>
        <v>Ipe</v>
      </c>
      <c r="K166" t="str">
        <f>_xlfn.XLOOKUP(E166,'Base SKUs'!E:E,'Base SKUs'!H:H)</f>
        <v>S4S E4E</v>
      </c>
      <c r="L166" t="str">
        <f>_xlfn.XLOOKUP(E166,'Base SKUs'!E:E,'Base SKUs'!I:I)</f>
        <v>-</v>
      </c>
      <c r="M166" t="str">
        <f>_xlfn.XLOOKUP(E166,'Base SKUs'!E:E,'Base SKUs'!J:J)</f>
        <v>2x4</v>
      </c>
      <c r="N166">
        <f>_xlfn.XLOOKUP(E166,'Base SKUs'!E:E,'Base SKUs'!K:K)</f>
        <v>14</v>
      </c>
      <c r="O166" t="str">
        <f>_xlfn.XLOOKUP(E166,'Base SKUs'!E:E,'Base SKUs'!C:C)</f>
        <v>Long</v>
      </c>
      <c r="P166" t="s">
        <v>4923</v>
      </c>
    </row>
    <row r="167" spans="1:16" hidden="1" x14ac:dyDescent="0.25">
      <c r="A167" t="s">
        <v>164</v>
      </c>
      <c r="B167" t="s">
        <v>7</v>
      </c>
      <c r="C167" t="s">
        <v>8</v>
      </c>
      <c r="D167">
        <v>9011</v>
      </c>
      <c r="E167" t="s">
        <v>170</v>
      </c>
      <c r="F167">
        <v>22</v>
      </c>
      <c r="G167" t="str">
        <f>_xlfn.XLOOKUP(E167,'Base SKUs'!E:E,'Base SKUs'!D:D)</f>
        <v>Hardwoods</v>
      </c>
      <c r="H167" s="10">
        <f>_xlfn.XLOOKUP(E167,'Base SKUs'!E:E,'Base SKUs'!S:S)</f>
        <v>1.6223193359999999E-2</v>
      </c>
      <c r="I167" s="9">
        <f t="shared" si="2"/>
        <v>0.35699999999999998</v>
      </c>
      <c r="J167" t="str">
        <f>_xlfn.XLOOKUP(E167,'Base SKUs'!E:E,'Base SKUs'!G:G)</f>
        <v>Ipe</v>
      </c>
      <c r="K167" t="str">
        <f>_xlfn.XLOOKUP(E167,'Base SKUs'!E:E,'Base SKUs'!H:H)</f>
        <v>S4S E4E</v>
      </c>
      <c r="L167" t="str">
        <f>_xlfn.XLOOKUP(E167,'Base SKUs'!E:E,'Base SKUs'!I:I)</f>
        <v>-</v>
      </c>
      <c r="M167" t="str">
        <f>_xlfn.XLOOKUP(E167,'Base SKUs'!E:E,'Base SKUs'!J:J)</f>
        <v>2x6</v>
      </c>
      <c r="N167">
        <f>_xlfn.XLOOKUP(E167,'Base SKUs'!E:E,'Base SKUs'!K:K)</f>
        <v>10</v>
      </c>
      <c r="O167" t="str">
        <f>_xlfn.XLOOKUP(E167,'Base SKUs'!E:E,'Base SKUs'!C:C)</f>
        <v>Long</v>
      </c>
      <c r="P167" t="s">
        <v>4923</v>
      </c>
    </row>
    <row r="168" spans="1:16" hidden="1" x14ac:dyDescent="0.25">
      <c r="A168" t="s">
        <v>164</v>
      </c>
      <c r="B168" t="s">
        <v>7</v>
      </c>
      <c r="C168" t="s">
        <v>8</v>
      </c>
      <c r="D168">
        <v>9011</v>
      </c>
      <c r="E168" t="s">
        <v>133</v>
      </c>
      <c r="F168">
        <v>25</v>
      </c>
      <c r="G168" t="str">
        <f>_xlfn.XLOOKUP(E168,'Base SKUs'!E:E,'Base SKUs'!D:D)</f>
        <v>Hardwoods</v>
      </c>
      <c r="H168" s="10">
        <f>_xlfn.XLOOKUP(E168,'Base SKUs'!E:E,'Base SKUs'!S:S)</f>
        <v>2.9201748047999999E-2</v>
      </c>
      <c r="I168" s="9">
        <f t="shared" si="2"/>
        <v>0.73</v>
      </c>
      <c r="J168" t="str">
        <f>_xlfn.XLOOKUP(E168,'Base SKUs'!E:E,'Base SKUs'!G:G)</f>
        <v>Ipe</v>
      </c>
      <c r="K168" t="str">
        <f>_xlfn.XLOOKUP(E168,'Base SKUs'!E:E,'Base SKUs'!H:H)</f>
        <v>S4S E4E</v>
      </c>
      <c r="L168" t="str">
        <f>_xlfn.XLOOKUP(E168,'Base SKUs'!E:E,'Base SKUs'!I:I)</f>
        <v>-</v>
      </c>
      <c r="M168" t="str">
        <f>_xlfn.XLOOKUP(E168,'Base SKUs'!E:E,'Base SKUs'!J:J)</f>
        <v>2x6</v>
      </c>
      <c r="N168">
        <f>_xlfn.XLOOKUP(E168,'Base SKUs'!E:E,'Base SKUs'!K:K)</f>
        <v>18</v>
      </c>
      <c r="O168" t="str">
        <f>_xlfn.XLOOKUP(E168,'Base SKUs'!E:E,'Base SKUs'!C:C)</f>
        <v>Long</v>
      </c>
      <c r="P168" t="s">
        <v>4923</v>
      </c>
    </row>
    <row r="169" spans="1:16" hidden="1" x14ac:dyDescent="0.25">
      <c r="A169" t="s">
        <v>164</v>
      </c>
      <c r="B169" t="s">
        <v>7</v>
      </c>
      <c r="C169" t="s">
        <v>8</v>
      </c>
      <c r="D169">
        <v>9011</v>
      </c>
      <c r="E169" t="s">
        <v>171</v>
      </c>
      <c r="F169">
        <v>10</v>
      </c>
      <c r="G169" t="str">
        <f>_xlfn.XLOOKUP(E169,'Base SKUs'!E:E,'Base SKUs'!D:D)</f>
        <v>Hardwoods</v>
      </c>
      <c r="H169" s="10">
        <f>_xlfn.XLOOKUP(E169,'Base SKUs'!E:E,'Base SKUs'!S:S)</f>
        <v>4.9898609879999993E-2</v>
      </c>
      <c r="I169" s="9">
        <f t="shared" si="2"/>
        <v>0.499</v>
      </c>
      <c r="J169" t="str">
        <f>_xlfn.XLOOKUP(E169,'Base SKUs'!E:E,'Base SKUs'!G:G)</f>
        <v>Ipe</v>
      </c>
      <c r="K169" t="str">
        <f>_xlfn.XLOOKUP(E169,'Base SKUs'!E:E,'Base SKUs'!H:H)</f>
        <v>S4S E4E</v>
      </c>
      <c r="L169" t="str">
        <f>_xlfn.XLOOKUP(E169,'Base SKUs'!E:E,'Base SKUs'!I:I)</f>
        <v>-</v>
      </c>
      <c r="M169" t="str">
        <f>_xlfn.XLOOKUP(E169,'Base SKUs'!E:E,'Base SKUs'!J:J)</f>
        <v>3x8</v>
      </c>
      <c r="N169">
        <f>_xlfn.XLOOKUP(E169,'Base SKUs'!E:E,'Base SKUs'!K:K)</f>
        <v>14</v>
      </c>
      <c r="O169" t="str">
        <f>_xlfn.XLOOKUP(E169,'Base SKUs'!E:E,'Base SKUs'!C:C)</f>
        <v>Long</v>
      </c>
      <c r="P169" t="s">
        <v>4923</v>
      </c>
    </row>
    <row r="170" spans="1:16" hidden="1" x14ac:dyDescent="0.25">
      <c r="A170" t="s">
        <v>164</v>
      </c>
      <c r="B170" t="s">
        <v>7</v>
      </c>
      <c r="C170" t="s">
        <v>8</v>
      </c>
      <c r="D170">
        <v>9011</v>
      </c>
      <c r="E170" t="s">
        <v>172</v>
      </c>
      <c r="F170">
        <v>4</v>
      </c>
      <c r="G170" t="str">
        <f>_xlfn.XLOOKUP(E170,'Base SKUs'!E:E,'Base SKUs'!D:D)</f>
        <v>Hardwoods</v>
      </c>
      <c r="H170" s="10">
        <f>_xlfn.XLOOKUP(E170,'Base SKUs'!E:E,'Base SKUs'!S:S)</f>
        <v>6.4155355560000002E-2</v>
      </c>
      <c r="I170" s="9">
        <f t="shared" si="2"/>
        <v>0.25700000000000001</v>
      </c>
      <c r="J170" t="str">
        <f>_xlfn.XLOOKUP(E170,'Base SKUs'!E:E,'Base SKUs'!G:G)</f>
        <v>Ipe</v>
      </c>
      <c r="K170" t="str">
        <f>_xlfn.XLOOKUP(E170,'Base SKUs'!E:E,'Base SKUs'!H:H)</f>
        <v>S4S E4E</v>
      </c>
      <c r="L170" t="str">
        <f>_xlfn.XLOOKUP(E170,'Base SKUs'!E:E,'Base SKUs'!I:I)</f>
        <v>-</v>
      </c>
      <c r="M170" t="str">
        <f>_xlfn.XLOOKUP(E170,'Base SKUs'!E:E,'Base SKUs'!J:J)</f>
        <v>3x8</v>
      </c>
      <c r="N170">
        <f>_xlfn.XLOOKUP(E170,'Base SKUs'!E:E,'Base SKUs'!K:K)</f>
        <v>18</v>
      </c>
      <c r="O170" t="str">
        <f>_xlfn.XLOOKUP(E170,'Base SKUs'!E:E,'Base SKUs'!C:C)</f>
        <v>Long</v>
      </c>
      <c r="P170" t="s">
        <v>4923</v>
      </c>
    </row>
    <row r="171" spans="1:16" hidden="1" x14ac:dyDescent="0.25">
      <c r="A171" t="s">
        <v>164</v>
      </c>
      <c r="B171" t="s">
        <v>7</v>
      </c>
      <c r="C171" t="s">
        <v>8</v>
      </c>
      <c r="D171">
        <v>9011</v>
      </c>
      <c r="E171" t="s">
        <v>73</v>
      </c>
      <c r="F171">
        <v>5</v>
      </c>
      <c r="G171" t="str">
        <f>_xlfn.XLOOKUP(E171,'Base SKUs'!E:E,'Base SKUs'!D:D)</f>
        <v>Hardwoods</v>
      </c>
      <c r="H171" s="10">
        <f>_xlfn.XLOOKUP(E171,'Base SKUs'!E:E,'Base SKUs'!S:S)</f>
        <v>7.1382050783999992E-2</v>
      </c>
      <c r="I171" s="9">
        <f t="shared" si="2"/>
        <v>0.35699999999999998</v>
      </c>
      <c r="J171" t="str">
        <f>_xlfn.XLOOKUP(E171,'Base SKUs'!E:E,'Base SKUs'!G:G)</f>
        <v>Ipe</v>
      </c>
      <c r="K171" t="str">
        <f>_xlfn.XLOOKUP(E171,'Base SKUs'!E:E,'Base SKUs'!H:H)</f>
        <v>S4S E4E</v>
      </c>
      <c r="L171" t="str">
        <f>_xlfn.XLOOKUP(E171,'Base SKUs'!E:E,'Base SKUs'!I:I)</f>
        <v>-</v>
      </c>
      <c r="M171" t="str">
        <f>_xlfn.XLOOKUP(E171,'Base SKUs'!E:E,'Base SKUs'!J:J)</f>
        <v>6x6</v>
      </c>
      <c r="N171">
        <f>_xlfn.XLOOKUP(E171,'Base SKUs'!E:E,'Base SKUs'!K:K)</f>
        <v>12</v>
      </c>
      <c r="O171" t="str">
        <f>_xlfn.XLOOKUP(E171,'Base SKUs'!E:E,'Base SKUs'!C:C)</f>
        <v>Long</v>
      </c>
      <c r="P171" t="s">
        <v>4923</v>
      </c>
    </row>
    <row r="172" spans="1:16" hidden="1" x14ac:dyDescent="0.25">
      <c r="A172" t="s">
        <v>164</v>
      </c>
      <c r="B172" t="s">
        <v>7</v>
      </c>
      <c r="C172" t="s">
        <v>8</v>
      </c>
      <c r="D172">
        <v>9011</v>
      </c>
      <c r="E172" t="s">
        <v>173</v>
      </c>
      <c r="F172">
        <v>119</v>
      </c>
      <c r="G172" t="str">
        <f>_xlfn.XLOOKUP(E172,'Base SKUs'!E:E,'Base SKUs'!D:D)</f>
        <v>Hardwoods</v>
      </c>
      <c r="H172" s="10">
        <f>_xlfn.XLOOKUP(E172,'Base SKUs'!E:E,'Base SKUs'!S:S)</f>
        <v>3.2446386719999997E-3</v>
      </c>
      <c r="I172" s="9">
        <f t="shared" si="2"/>
        <v>0.38600000000000001</v>
      </c>
      <c r="J172" t="str">
        <f>_xlfn.XLOOKUP(E172,'Base SKUs'!E:E,'Base SKUs'!G:G)</f>
        <v>Ipe</v>
      </c>
      <c r="K172" t="str">
        <f>_xlfn.XLOOKUP(E172,'Base SKUs'!E:E,'Base SKUs'!H:H)</f>
        <v>S4S E4E</v>
      </c>
      <c r="L172" t="str">
        <f>_xlfn.XLOOKUP(E172,'Base SKUs'!E:E,'Base SKUs'!I:I)</f>
        <v>-</v>
      </c>
      <c r="M172" t="str">
        <f>_xlfn.XLOOKUP(E172,'Base SKUs'!E:E,'Base SKUs'!J:J)</f>
        <v>1x6</v>
      </c>
      <c r="N172">
        <f>_xlfn.XLOOKUP(E172,'Base SKUs'!E:E,'Base SKUs'!K:K)</f>
        <v>4</v>
      </c>
      <c r="O172" t="str">
        <f>_xlfn.XLOOKUP(E172,'Base SKUs'!E:E,'Base SKUs'!C:C)</f>
        <v>Short</v>
      </c>
      <c r="P172" t="s">
        <v>4923</v>
      </c>
    </row>
    <row r="173" spans="1:16" hidden="1" x14ac:dyDescent="0.25">
      <c r="A173" t="s">
        <v>164</v>
      </c>
      <c r="B173" t="s">
        <v>7</v>
      </c>
      <c r="C173" t="s">
        <v>8</v>
      </c>
      <c r="D173">
        <v>9011</v>
      </c>
      <c r="E173" t="s">
        <v>174</v>
      </c>
      <c r="F173">
        <v>25</v>
      </c>
      <c r="G173" t="str">
        <f>_xlfn.XLOOKUP(E173,'Base SKUs'!E:E,'Base SKUs'!D:D)</f>
        <v>Hardwoods</v>
      </c>
      <c r="H173" s="10">
        <f>_xlfn.XLOOKUP(E173,'Base SKUs'!E:E,'Base SKUs'!S:S)</f>
        <v>4.8669580079999993E-3</v>
      </c>
      <c r="I173" s="9">
        <f t="shared" si="2"/>
        <v>0.122</v>
      </c>
      <c r="J173" t="str">
        <f>_xlfn.XLOOKUP(E173,'Base SKUs'!E:E,'Base SKUs'!G:G)</f>
        <v>Ipe</v>
      </c>
      <c r="K173" t="str">
        <f>_xlfn.XLOOKUP(E173,'Base SKUs'!E:E,'Base SKUs'!H:H)</f>
        <v>S4S E4E</v>
      </c>
      <c r="L173" t="str">
        <f>_xlfn.XLOOKUP(E173,'Base SKUs'!E:E,'Base SKUs'!I:I)</f>
        <v>-</v>
      </c>
      <c r="M173" t="str">
        <f>_xlfn.XLOOKUP(E173,'Base SKUs'!E:E,'Base SKUs'!J:J)</f>
        <v>1x6</v>
      </c>
      <c r="N173">
        <f>_xlfn.XLOOKUP(E173,'Base SKUs'!E:E,'Base SKUs'!K:K)</f>
        <v>6</v>
      </c>
      <c r="O173" t="str">
        <f>_xlfn.XLOOKUP(E173,'Base SKUs'!E:E,'Base SKUs'!C:C)</f>
        <v>Short</v>
      </c>
      <c r="P173" t="s">
        <v>4923</v>
      </c>
    </row>
    <row r="174" spans="1:16" hidden="1" x14ac:dyDescent="0.25">
      <c r="A174" t="s">
        <v>164</v>
      </c>
      <c r="B174" t="s">
        <v>7</v>
      </c>
      <c r="C174" t="s">
        <v>8</v>
      </c>
      <c r="D174">
        <v>9011</v>
      </c>
      <c r="E174" t="s">
        <v>175</v>
      </c>
      <c r="F174">
        <v>4</v>
      </c>
      <c r="G174" t="str">
        <f>_xlfn.XLOOKUP(E174,'Base SKUs'!E:E,'Base SKUs'!D:D)</f>
        <v>Hardwoods</v>
      </c>
      <c r="H174" s="10">
        <f>_xlfn.XLOOKUP(E174,'Base SKUs'!E:E,'Base SKUs'!S:S)</f>
        <v>6.4892773439999985E-3</v>
      </c>
      <c r="I174" s="9">
        <f t="shared" si="2"/>
        <v>2.5999999999999999E-2</v>
      </c>
      <c r="J174" t="str">
        <f>_xlfn.XLOOKUP(E174,'Base SKUs'!E:E,'Base SKUs'!G:G)</f>
        <v>Ipe</v>
      </c>
      <c r="K174" t="str">
        <f>_xlfn.XLOOKUP(E174,'Base SKUs'!E:E,'Base SKUs'!H:H)</f>
        <v>Grooved</v>
      </c>
      <c r="L174" t="str">
        <f>_xlfn.XLOOKUP(E174,'Base SKUs'!E:E,'Base SKUs'!I:I)</f>
        <v>-</v>
      </c>
      <c r="M174" t="str">
        <f>_xlfn.XLOOKUP(E174,'Base SKUs'!E:E,'Base SKUs'!J:J)</f>
        <v>5/4x6</v>
      </c>
      <c r="N174">
        <f>_xlfn.XLOOKUP(E174,'Base SKUs'!E:E,'Base SKUs'!K:K)</f>
        <v>6</v>
      </c>
      <c r="O174" t="str">
        <f>_xlfn.XLOOKUP(E174,'Base SKUs'!E:E,'Base SKUs'!C:C)</f>
        <v>Short</v>
      </c>
      <c r="P174" t="s">
        <v>4923</v>
      </c>
    </row>
    <row r="175" spans="1:16" hidden="1" x14ac:dyDescent="0.25">
      <c r="A175" t="s">
        <v>164</v>
      </c>
      <c r="B175" t="s">
        <v>7</v>
      </c>
      <c r="C175" t="s">
        <v>8</v>
      </c>
      <c r="D175">
        <v>9011</v>
      </c>
      <c r="E175" t="s">
        <v>176</v>
      </c>
      <c r="F175">
        <v>32</v>
      </c>
      <c r="G175" t="str">
        <f>_xlfn.XLOOKUP(E175,'Base SKUs'!E:E,'Base SKUs'!D:D)</f>
        <v>Norx</v>
      </c>
      <c r="H175" s="10">
        <f>_xlfn.XLOOKUP(E175,'Base SKUs'!E:E,'Base SKUs'!S:S)</f>
        <v>0</v>
      </c>
      <c r="I175" s="9">
        <f t="shared" si="2"/>
        <v>32</v>
      </c>
      <c r="J175" t="str">
        <f>_xlfn.XLOOKUP(E175,'Base SKUs'!E:E,'Base SKUs'!G:G)</f>
        <v>Empire State</v>
      </c>
      <c r="K175" t="str">
        <f>_xlfn.XLOOKUP(E175,'Base SKUs'!E:E,'Base SKUs'!H:H)</f>
        <v>Profile</v>
      </c>
      <c r="L175" t="str">
        <f>_xlfn.XLOOKUP(E175,'Base SKUs'!E:E,'Base SKUs'!I:I)</f>
        <v>-</v>
      </c>
      <c r="M175" t="str">
        <f>_xlfn.XLOOKUP(E175,'Base SKUs'!E:E,'Base SKUs'!J:J)</f>
        <v>1x6</v>
      </c>
      <c r="N175">
        <f>_xlfn.XLOOKUP(E175,'Base SKUs'!E:E,'Base SKUs'!K:K)</f>
        <v>16</v>
      </c>
      <c r="O175" t="str">
        <f>_xlfn.XLOOKUP(E175,'Base SKUs'!E:E,'Base SKUs'!C:C)</f>
        <v>Long</v>
      </c>
      <c r="P175" t="s">
        <v>4923</v>
      </c>
    </row>
    <row r="176" spans="1:16" hidden="1" x14ac:dyDescent="0.25">
      <c r="A176" t="s">
        <v>164</v>
      </c>
      <c r="B176" t="s">
        <v>7</v>
      </c>
      <c r="C176" t="s">
        <v>8</v>
      </c>
      <c r="D176">
        <v>9011</v>
      </c>
      <c r="E176" t="s">
        <v>177</v>
      </c>
      <c r="F176">
        <v>100</v>
      </c>
      <c r="G176" t="str">
        <f>_xlfn.XLOOKUP(E176,'Base SKUs'!E:E,'Base SKUs'!D:D)</f>
        <v>Norx</v>
      </c>
      <c r="H176" s="10">
        <f>_xlfn.XLOOKUP(E176,'Base SKUs'!E:E,'Base SKUs'!S:S)</f>
        <v>0</v>
      </c>
      <c r="I176" s="9">
        <f t="shared" si="2"/>
        <v>100</v>
      </c>
      <c r="J176" t="str">
        <f>_xlfn.XLOOKUP(E176,'Base SKUs'!E:E,'Base SKUs'!G:G)</f>
        <v>Rockefeller</v>
      </c>
      <c r="K176" t="str">
        <f>_xlfn.XLOOKUP(E176,'Base SKUs'!E:E,'Base SKUs'!H:H)</f>
        <v>Profile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16</v>
      </c>
      <c r="O176" t="str">
        <f>_xlfn.XLOOKUP(E176,'Base SKUs'!E:E,'Base SKUs'!C:C)</f>
        <v>Long</v>
      </c>
      <c r="P176" t="s">
        <v>4923</v>
      </c>
    </row>
    <row r="177" spans="1:16" hidden="1" x14ac:dyDescent="0.25">
      <c r="A177" t="s">
        <v>164</v>
      </c>
      <c r="B177" t="s">
        <v>7</v>
      </c>
      <c r="C177" t="s">
        <v>8</v>
      </c>
      <c r="D177">
        <v>9011</v>
      </c>
      <c r="E177" t="s">
        <v>178</v>
      </c>
      <c r="F177">
        <v>1</v>
      </c>
      <c r="G177" t="str">
        <f>_xlfn.XLOOKUP(E177,'Base SKUs'!E:E,'Base SKUs'!D:D)</f>
        <v>Norx</v>
      </c>
      <c r="H177" s="10">
        <f>_xlfn.XLOOKUP(E177,'Base SKUs'!E:E,'Base SKUs'!S:S)</f>
        <v>0</v>
      </c>
      <c r="I177" s="9">
        <f t="shared" si="2"/>
        <v>1</v>
      </c>
      <c r="J177" t="str">
        <f>_xlfn.XLOOKUP(E177,'Base SKUs'!E:E,'Base SKUs'!G:G)</f>
        <v>Ipe</v>
      </c>
      <c r="K177" t="str">
        <f>_xlfn.XLOOKUP(E177,'Base SKUs'!E:E,'Base SKUs'!H:H)</f>
        <v>Profile</v>
      </c>
      <c r="L177" t="str">
        <f>_xlfn.XLOOKUP(E177,'Base SKUs'!E:E,'Base SKUs'!I:I)</f>
        <v>-</v>
      </c>
      <c r="M177" t="str">
        <f>_xlfn.XLOOKUP(E177,'Base SKUs'!E:E,'Base SKUs'!J:J)</f>
        <v>1x8</v>
      </c>
      <c r="N177">
        <f>_xlfn.XLOOKUP(E177,'Base SKUs'!E:E,'Base SKUs'!K:K)</f>
        <v>16</v>
      </c>
      <c r="O177" t="str">
        <f>_xlfn.XLOOKUP(E177,'Base SKUs'!E:E,'Base SKUs'!C:C)</f>
        <v>Long</v>
      </c>
      <c r="P177" t="s">
        <v>4923</v>
      </c>
    </row>
    <row r="178" spans="1:16" hidden="1" x14ac:dyDescent="0.25">
      <c r="A178" t="s">
        <v>164</v>
      </c>
      <c r="B178" t="s">
        <v>7</v>
      </c>
      <c r="C178" t="s">
        <v>8</v>
      </c>
      <c r="D178">
        <v>9011</v>
      </c>
      <c r="E178" t="s">
        <v>114</v>
      </c>
      <c r="F178">
        <v>327</v>
      </c>
      <c r="G178" t="str">
        <f>_xlfn.XLOOKUP(E178,'Base SKUs'!E:E,'Base SKUs'!D:D)</f>
        <v>Thermowood</v>
      </c>
      <c r="H178" s="10">
        <f>_xlfn.XLOOKUP(E178,'Base SKUs'!E:E,'Base SKUs'!S:S)</f>
        <v>1.2585600000000001E-2</v>
      </c>
      <c r="I178" s="9">
        <f t="shared" si="2"/>
        <v>4.1150000000000002</v>
      </c>
      <c r="J178" t="str">
        <f>_xlfn.XLOOKUP(E178,'Base SKUs'!E:E,'Base SKUs'!G:G)</f>
        <v>Maximo Thermo Clear Radiata</v>
      </c>
      <c r="K178" t="str">
        <f>_xlfn.XLOOKUP(E178,'Base SKUs'!E:E,'Base SKUs'!H:H)</f>
        <v>Nickel Gap</v>
      </c>
      <c r="L178" t="str">
        <f>_xlfn.XLOOKUP(E178,'Base SKUs'!E:E,'Base SKUs'!I:I)</f>
        <v>Pre Finished Black</v>
      </c>
      <c r="M178" t="str">
        <f>_xlfn.XLOOKUP(E178,'Base SKUs'!E:E,'Base SKUs'!J:J)</f>
        <v>1x6</v>
      </c>
      <c r="N178">
        <f>_xlfn.XLOOKUP(E178,'Base SKUs'!E:E,'Base SKUs'!K:K)</f>
        <v>16</v>
      </c>
      <c r="O178" t="str">
        <f>_xlfn.XLOOKUP(E178,'Base SKUs'!E:E,'Base SKUs'!C:C)</f>
        <v>Long</v>
      </c>
      <c r="P178" t="s">
        <v>4923</v>
      </c>
    </row>
    <row r="179" spans="1:16" hidden="1" x14ac:dyDescent="0.25">
      <c r="A179" t="s">
        <v>164</v>
      </c>
      <c r="B179" t="s">
        <v>7</v>
      </c>
      <c r="C179" t="s">
        <v>8</v>
      </c>
      <c r="D179">
        <v>9011</v>
      </c>
      <c r="E179" t="s">
        <v>89</v>
      </c>
      <c r="F179">
        <v>1</v>
      </c>
      <c r="G179" t="str">
        <f>_xlfn.XLOOKUP(E179,'Base SKUs'!E:E,'Base SKUs'!D:D)</f>
        <v>Thermowood</v>
      </c>
      <c r="H179" s="10">
        <f>_xlfn.XLOOKUP(E179,'Base SKUs'!E:E,'Base SKUs'!S:S)</f>
        <v>7.980000000000001E-3</v>
      </c>
      <c r="I179" s="9">
        <f t="shared" si="2"/>
        <v>8.0000000000000002E-3</v>
      </c>
      <c r="J179" t="str">
        <f>_xlfn.XLOOKUP(E179,'Base SKUs'!E:E,'Base SKUs'!G:G)</f>
        <v>Maximo Thermo Ayous Dark</v>
      </c>
      <c r="K179" t="str">
        <f>_xlfn.XLOOKUP(E179,'Base SKUs'!E:E,'Base SKUs'!H:H)</f>
        <v>VJoint - Square Back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10</v>
      </c>
      <c r="O179" t="str">
        <f>_xlfn.XLOOKUP(E179,'Base SKUs'!E:E,'Base SKUs'!C:C)</f>
        <v>Long</v>
      </c>
      <c r="P179" t="s">
        <v>4923</v>
      </c>
    </row>
    <row r="180" spans="1:16" hidden="1" x14ac:dyDescent="0.25">
      <c r="A180" t="s">
        <v>164</v>
      </c>
      <c r="B180" t="s">
        <v>7</v>
      </c>
      <c r="C180" t="s">
        <v>8</v>
      </c>
      <c r="D180">
        <v>9011</v>
      </c>
      <c r="E180" t="s">
        <v>106</v>
      </c>
      <c r="F180">
        <v>9</v>
      </c>
      <c r="G180" t="str">
        <f>_xlfn.XLOOKUP(E180,'Base SKUs'!E:E,'Base SKUs'!D:D)</f>
        <v>Thermowood</v>
      </c>
      <c r="H180" s="10">
        <f>_xlfn.XLOOKUP(E180,'Base SKUs'!E:E,'Base SKUs'!S:S)</f>
        <v>1.0374000000000001E-2</v>
      </c>
      <c r="I180" s="9">
        <f t="shared" si="2"/>
        <v>9.2999999999999999E-2</v>
      </c>
      <c r="J180" t="str">
        <f>_xlfn.XLOOKUP(E180,'Base SKUs'!E:E,'Base SKUs'!G:G)</f>
        <v>Maximo Thermo Ayous Dark</v>
      </c>
      <c r="K180" t="str">
        <f>_xlfn.XLOOKUP(E180,'Base SKUs'!E:E,'Base SKUs'!H:H)</f>
        <v>VJoint - Square Back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13</v>
      </c>
      <c r="O180" t="str">
        <f>_xlfn.XLOOKUP(E180,'Base SKUs'!E:E,'Base SKUs'!C:C)</f>
        <v>Long</v>
      </c>
      <c r="P180" t="s">
        <v>4923</v>
      </c>
    </row>
    <row r="181" spans="1:16" hidden="1" x14ac:dyDescent="0.25">
      <c r="A181" t="s">
        <v>164</v>
      </c>
      <c r="B181" t="s">
        <v>7</v>
      </c>
      <c r="C181" t="s">
        <v>8</v>
      </c>
      <c r="D181">
        <v>9011</v>
      </c>
      <c r="E181" t="s">
        <v>179</v>
      </c>
      <c r="F181">
        <v>61</v>
      </c>
      <c r="G181" t="str">
        <f>_xlfn.XLOOKUP(E181,'Base SKUs'!E:E,'Base SKUs'!D:D)</f>
        <v>Thermowood</v>
      </c>
      <c r="H181" s="10">
        <f>_xlfn.XLOOKUP(E181,'Base SKUs'!E:E,'Base SKUs'!S:S)</f>
        <v>3.6707999999999997E-3</v>
      </c>
      <c r="I181" s="9">
        <f t="shared" si="2"/>
        <v>0.224</v>
      </c>
      <c r="J181" t="str">
        <f>_xlfn.XLOOKUP(E181,'Base SKUs'!E:E,'Base SKUs'!G:G)</f>
        <v>Maximo Thermo Ayous</v>
      </c>
      <c r="K181" t="str">
        <f>_xlfn.XLOOKUP(E181,'Base SKUs'!E:E,'Base SKUs'!H:H)</f>
        <v>VJoint - Square Back</v>
      </c>
      <c r="L181" t="str">
        <f>_xlfn.XLOOKUP(E181,'Base SKUs'!E:E,'Base SKUs'!I:I)</f>
        <v>-</v>
      </c>
      <c r="M181" t="str">
        <f>_xlfn.XLOOKUP(E181,'Base SKUs'!E:E,'Base SKUs'!J:J)</f>
        <v>1x4</v>
      </c>
      <c r="N181">
        <f>_xlfn.XLOOKUP(E181,'Base SKUs'!E:E,'Base SKUs'!K:K)</f>
        <v>7</v>
      </c>
      <c r="O181" t="str">
        <f>_xlfn.XLOOKUP(E181,'Base SKUs'!E:E,'Base SKUs'!C:C)</f>
        <v>Short</v>
      </c>
      <c r="P181" t="s">
        <v>4923</v>
      </c>
    </row>
    <row r="182" spans="1:16" hidden="1" x14ac:dyDescent="0.25">
      <c r="A182" t="s">
        <v>164</v>
      </c>
      <c r="B182" t="s">
        <v>7</v>
      </c>
      <c r="C182" t="s">
        <v>8</v>
      </c>
      <c r="D182">
        <v>9011</v>
      </c>
      <c r="E182" t="s">
        <v>111</v>
      </c>
      <c r="F182">
        <v>3</v>
      </c>
      <c r="G182" t="str">
        <f>_xlfn.XLOOKUP(E182,'Base SKUs'!E:E,'Base SKUs'!D:D)</f>
        <v>Thermowood</v>
      </c>
      <c r="H182" s="10">
        <f>_xlfn.XLOOKUP(E182,'Base SKUs'!E:E,'Base SKUs'!S:S)</f>
        <v>9.5806259999999983E-3</v>
      </c>
      <c r="I182" s="9">
        <f t="shared" si="2"/>
        <v>2.9000000000000001E-2</v>
      </c>
      <c r="J182" t="str">
        <f>_xlfn.XLOOKUP(E182,'Base SKUs'!E:E,'Base SKUs'!G:G)</f>
        <v>Wawa</v>
      </c>
      <c r="K182" t="str">
        <f>_xlfn.XLOOKUP(E182,'Base SKUs'!E:E,'Base SKUs'!H:H)</f>
        <v>S4S Tongue &amp; Grooved</v>
      </c>
      <c r="L182" t="str">
        <f>_xlfn.XLOOKUP(E182,'Base SKUs'!E:E,'Base SKUs'!I:I)</f>
        <v>-</v>
      </c>
      <c r="M182" t="str">
        <f>_xlfn.XLOOKUP(E182,'Base SKUs'!E:E,'Base SKUs'!J:J)</f>
        <v>1x6</v>
      </c>
      <c r="N182">
        <f>_xlfn.XLOOKUP(E182,'Base SKUs'!E:E,'Base SKUs'!K:K)</f>
        <v>12</v>
      </c>
      <c r="O182" t="str">
        <f>_xlfn.XLOOKUP(E182,'Base SKUs'!E:E,'Base SKUs'!C:C)</f>
        <v>Long</v>
      </c>
      <c r="P182" t="s">
        <v>4923</v>
      </c>
    </row>
    <row r="183" spans="1:16" hidden="1" x14ac:dyDescent="0.25">
      <c r="A183" t="s">
        <v>164</v>
      </c>
      <c r="B183" t="s">
        <v>7</v>
      </c>
      <c r="C183" t="s">
        <v>8</v>
      </c>
      <c r="D183">
        <v>9011</v>
      </c>
      <c r="E183" t="s">
        <v>180</v>
      </c>
      <c r="F183">
        <v>10</v>
      </c>
      <c r="G183" t="str">
        <f>_xlfn.XLOOKUP(E183,'Base SKUs'!E:E,'Base SKUs'!D:D)</f>
        <v>Thermowood</v>
      </c>
      <c r="H183" s="10">
        <f>_xlfn.XLOOKUP(E183,'Base SKUs'!E:E,'Base SKUs'!S:S)</f>
        <v>5.3820000000000005E-3</v>
      </c>
      <c r="I183" s="9">
        <f t="shared" si="2"/>
        <v>5.3999999999999999E-2</v>
      </c>
      <c r="J183" t="str">
        <f>_xlfn.XLOOKUP(E183,'Base SKUs'!E:E,'Base SKUs'!G:G)</f>
        <v>Maximo Thermo Scandinavian Pine</v>
      </c>
      <c r="K183" t="str">
        <f>_xlfn.XLOOKUP(E183,'Base SKUs'!E:E,'Base SKUs'!H:H)</f>
        <v>VJoint - Square Back</v>
      </c>
      <c r="L183" t="str">
        <f>_xlfn.XLOOKUP(E183,'Base SKUs'!E:E,'Base SKUs'!I:I)</f>
        <v>-</v>
      </c>
      <c r="M183" t="str">
        <f>_xlfn.XLOOKUP(E183,'Base SKUs'!E:E,'Base SKUs'!J:J)</f>
        <v>5/8x4</v>
      </c>
      <c r="N183">
        <f>_xlfn.XLOOKUP(E183,'Base SKUs'!E:E,'Base SKUs'!K:K)</f>
        <v>13</v>
      </c>
      <c r="O183" t="str">
        <f>_xlfn.XLOOKUP(E183,'Base SKUs'!E:E,'Base SKUs'!C:C)</f>
        <v>Long</v>
      </c>
      <c r="P183" t="s">
        <v>4923</v>
      </c>
    </row>
    <row r="184" spans="1:16" hidden="1" x14ac:dyDescent="0.25">
      <c r="A184" t="s">
        <v>181</v>
      </c>
      <c r="B184" t="s">
        <v>7</v>
      </c>
      <c r="C184" t="s">
        <v>182</v>
      </c>
      <c r="D184">
        <v>9007</v>
      </c>
      <c r="E184" t="s">
        <v>183</v>
      </c>
      <c r="F184">
        <v>1</v>
      </c>
      <c r="G184" t="str">
        <f>_xlfn.XLOOKUP(E184,'Base SKUs'!E:E,'Base SKUs'!D:D)</f>
        <v>Hardwoods</v>
      </c>
      <c r="H184" s="10">
        <f>_xlfn.XLOOKUP(E184,'Base SKUs'!E:E,'Base SKUs'!S:S)</f>
        <v>3.0971550959999997E-2</v>
      </c>
      <c r="I184" s="9">
        <f t="shared" si="2"/>
        <v>3.1E-2</v>
      </c>
      <c r="J184" t="str">
        <f>_xlfn.XLOOKUP(E184,'Base SKUs'!E:E,'Base SKUs'!G:G)</f>
        <v>Ipe</v>
      </c>
      <c r="K184" t="str">
        <f>_xlfn.XLOOKUP(E184,'Base SKUs'!E:E,'Base SKUs'!H:H)</f>
        <v>S4S E4E</v>
      </c>
      <c r="L184" t="str">
        <f>_xlfn.XLOOKUP(E184,'Base SKUs'!E:E,'Base SKUs'!I:I)</f>
        <v>-</v>
      </c>
      <c r="M184" t="str">
        <f>_xlfn.XLOOKUP(E184,'Base SKUs'!E:E,'Base SKUs'!J:J)</f>
        <v>5/4x12</v>
      </c>
      <c r="N184">
        <f>_xlfn.XLOOKUP(E184,'Base SKUs'!E:E,'Base SKUs'!K:K)</f>
        <v>14</v>
      </c>
      <c r="O184" t="str">
        <f>_xlfn.XLOOKUP(E184,'Base SKUs'!E:E,'Base SKUs'!C:C)</f>
        <v>Long</v>
      </c>
      <c r="P184" t="s">
        <v>4925</v>
      </c>
    </row>
    <row r="185" spans="1:16" hidden="1" x14ac:dyDescent="0.25">
      <c r="A185" t="s">
        <v>184</v>
      </c>
      <c r="B185" t="s">
        <v>7</v>
      </c>
      <c r="C185" t="s">
        <v>185</v>
      </c>
      <c r="D185">
        <v>9007</v>
      </c>
      <c r="E185" t="s">
        <v>122</v>
      </c>
      <c r="F185">
        <v>7</v>
      </c>
      <c r="G185" t="str">
        <f>_xlfn.XLOOKUP(E185,'Base SKUs'!E:E,'Base SKUs'!D:D)</f>
        <v>Thermowood</v>
      </c>
      <c r="H185" s="10">
        <f>_xlfn.XLOOKUP(E185,'Base SKUs'!E:E,'Base SKUs'!S:S)</f>
        <v>5.5859999999999998E-3</v>
      </c>
      <c r="I185" s="9">
        <f t="shared" si="2"/>
        <v>3.9E-2</v>
      </c>
      <c r="J185" t="str">
        <f>_xlfn.XLOOKUP(E185,'Base SKUs'!E:E,'Base SKUs'!G:G)</f>
        <v>Maximo Thermo Ayous</v>
      </c>
      <c r="K185" t="str">
        <f>_xlfn.XLOOKUP(E185,'Base SKUs'!E:E,'Base SKUs'!H:H)</f>
        <v>VJoint - Nickel Gap</v>
      </c>
      <c r="L185" t="str">
        <f>_xlfn.XLOOKUP(E185,'Base SKUs'!E:E,'Base SKUs'!I:I)</f>
        <v>-</v>
      </c>
      <c r="M185" t="str">
        <f>_xlfn.XLOOKUP(E185,'Base SKUs'!E:E,'Base SKUs'!J:J)</f>
        <v>1x6</v>
      </c>
      <c r="N185">
        <f>_xlfn.XLOOKUP(E185,'Base SKUs'!E:E,'Base SKUs'!K:K)</f>
        <v>7</v>
      </c>
      <c r="O185" t="str">
        <f>_xlfn.XLOOKUP(E185,'Base SKUs'!E:E,'Base SKUs'!C:C)</f>
        <v>Short</v>
      </c>
      <c r="P185" t="s">
        <v>4923</v>
      </c>
    </row>
    <row r="186" spans="1:16" hidden="1" x14ac:dyDescent="0.25">
      <c r="A186" t="s">
        <v>184</v>
      </c>
      <c r="B186" t="s">
        <v>7</v>
      </c>
      <c r="C186" t="s">
        <v>185</v>
      </c>
      <c r="D186">
        <v>9007</v>
      </c>
      <c r="E186" t="s">
        <v>23</v>
      </c>
      <c r="F186">
        <v>44</v>
      </c>
      <c r="G186" t="str">
        <f>_xlfn.XLOOKUP(E186,'Base SKUs'!E:E,'Base SKUs'!D:D)</f>
        <v>Thermowood</v>
      </c>
      <c r="H186" s="10">
        <f>_xlfn.XLOOKUP(E186,'Base SKUs'!E:E,'Base SKUs'!S:S)</f>
        <v>6.3839999999999999E-3</v>
      </c>
      <c r="I186" s="9">
        <f t="shared" si="2"/>
        <v>0.28100000000000003</v>
      </c>
      <c r="J186" t="str">
        <f>_xlfn.XLOOKUP(E186,'Base SKUs'!E:E,'Base SKUs'!G:G)</f>
        <v>Maximo Thermo Ayous</v>
      </c>
      <c r="K186" t="str">
        <f>_xlfn.XLOOKUP(E186,'Base SKUs'!E:E,'Base SKUs'!H:H)</f>
        <v>VJoint - Nickel Gap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8</v>
      </c>
      <c r="O186" t="str">
        <f>_xlfn.XLOOKUP(E186,'Base SKUs'!E:E,'Base SKUs'!C:C)</f>
        <v>Long</v>
      </c>
      <c r="P186" t="s">
        <v>4923</v>
      </c>
    </row>
    <row r="187" spans="1:16" hidden="1" x14ac:dyDescent="0.25">
      <c r="A187" t="s">
        <v>184</v>
      </c>
      <c r="B187" t="s">
        <v>7</v>
      </c>
      <c r="C187" t="s">
        <v>185</v>
      </c>
      <c r="D187">
        <v>9007</v>
      </c>
      <c r="E187" t="s">
        <v>186</v>
      </c>
      <c r="F187">
        <v>1</v>
      </c>
      <c r="G187" t="str">
        <f>_xlfn.XLOOKUP(E187,'Base SKUs'!E:E,'Base SKUs'!D:D)</f>
        <v>Thermowood</v>
      </c>
      <c r="H187" s="10">
        <f>_xlfn.XLOOKUP(E187,'Base SKUs'!E:E,'Base SKUs'!S:S)</f>
        <v>7.182E-3</v>
      </c>
      <c r="I187" s="9">
        <f t="shared" si="2"/>
        <v>7.0000000000000001E-3</v>
      </c>
      <c r="J187" t="str">
        <f>_xlfn.XLOOKUP(E187,'Base SKUs'!E:E,'Base SKUs'!G:G)</f>
        <v>Maximo Thermo Ayous</v>
      </c>
      <c r="K187" t="str">
        <f>_xlfn.XLOOKUP(E187,'Base SKUs'!E:E,'Base SKUs'!H:H)</f>
        <v>VJoint - Nickel Gap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9</v>
      </c>
      <c r="O187" t="str">
        <f>_xlfn.XLOOKUP(E187,'Base SKUs'!E:E,'Base SKUs'!C:C)</f>
        <v>Long</v>
      </c>
      <c r="P187" t="s">
        <v>4923</v>
      </c>
    </row>
    <row r="188" spans="1:16" hidden="1" x14ac:dyDescent="0.25">
      <c r="A188" t="s">
        <v>184</v>
      </c>
      <c r="B188" t="s">
        <v>7</v>
      </c>
      <c r="C188" t="s">
        <v>185</v>
      </c>
      <c r="D188">
        <v>9007</v>
      </c>
      <c r="E188" t="s">
        <v>150</v>
      </c>
      <c r="F188">
        <v>1</v>
      </c>
      <c r="G188" t="str">
        <f>_xlfn.XLOOKUP(E188,'Base SKUs'!E:E,'Base SKUs'!D:D)</f>
        <v>Thermowood</v>
      </c>
      <c r="H188" s="10">
        <f>_xlfn.XLOOKUP(E188,'Base SKUs'!E:E,'Base SKUs'!S:S)</f>
        <v>9.5760000000000012E-3</v>
      </c>
      <c r="I188" s="9">
        <f t="shared" si="2"/>
        <v>0.01</v>
      </c>
      <c r="J188" t="str">
        <f>_xlfn.XLOOKUP(E188,'Base SKUs'!E:E,'Base SKUs'!G:G)</f>
        <v>Maximo Thermo Ayous</v>
      </c>
      <c r="K188" t="str">
        <f>_xlfn.XLOOKUP(E188,'Base SKUs'!E:E,'Base SKUs'!H:H)</f>
        <v>VJoint - Nickel Gap</v>
      </c>
      <c r="L188" t="str">
        <f>_xlfn.XLOOKUP(E188,'Base SKUs'!E:E,'Base SKUs'!I:I)</f>
        <v>-</v>
      </c>
      <c r="M188" t="str">
        <f>_xlfn.XLOOKUP(E188,'Base SKUs'!E:E,'Base SKUs'!J:J)</f>
        <v>1x6</v>
      </c>
      <c r="N188">
        <f>_xlfn.XLOOKUP(E188,'Base SKUs'!E:E,'Base SKUs'!K:K)</f>
        <v>12</v>
      </c>
      <c r="O188" t="str">
        <f>_xlfn.XLOOKUP(E188,'Base SKUs'!E:E,'Base SKUs'!C:C)</f>
        <v>Long</v>
      </c>
      <c r="P188" t="s">
        <v>4923</v>
      </c>
    </row>
    <row r="189" spans="1:16" hidden="1" x14ac:dyDescent="0.25">
      <c r="A189" t="s">
        <v>184</v>
      </c>
      <c r="B189" t="s">
        <v>7</v>
      </c>
      <c r="C189" t="s">
        <v>185</v>
      </c>
      <c r="D189">
        <v>9007</v>
      </c>
      <c r="E189" t="s">
        <v>163</v>
      </c>
      <c r="F189">
        <v>42</v>
      </c>
      <c r="G189" t="str">
        <f>_xlfn.XLOOKUP(E189,'Base SKUs'!E:E,'Base SKUs'!D:D)</f>
        <v>Thermowood</v>
      </c>
      <c r="H189" s="10">
        <f>_xlfn.XLOOKUP(E189,'Base SKUs'!E:E,'Base SKUs'!S:S)</f>
        <v>1.0374000000000001E-2</v>
      </c>
      <c r="I189" s="9">
        <f t="shared" si="2"/>
        <v>0.436</v>
      </c>
      <c r="J189" t="str">
        <f>_xlfn.XLOOKUP(E189,'Base SKUs'!E:E,'Base SKUs'!G:G)</f>
        <v>Maximo Thermo Ayous</v>
      </c>
      <c r="K189" t="str">
        <f>_xlfn.XLOOKUP(E189,'Base SKUs'!E:E,'Base SKUs'!H:H)</f>
        <v>VJoint - Nickel Gap</v>
      </c>
      <c r="L189" t="str">
        <f>_xlfn.XLOOKUP(E189,'Base SKUs'!E:E,'Base SKUs'!I:I)</f>
        <v>-</v>
      </c>
      <c r="M189" t="str">
        <f>_xlfn.XLOOKUP(E189,'Base SKUs'!E:E,'Base SKUs'!J:J)</f>
        <v>1x6</v>
      </c>
      <c r="N189">
        <f>_xlfn.XLOOKUP(E189,'Base SKUs'!E:E,'Base SKUs'!K:K)</f>
        <v>13</v>
      </c>
      <c r="O189" t="str">
        <f>_xlfn.XLOOKUP(E189,'Base SKUs'!E:E,'Base SKUs'!C:C)</f>
        <v>Long</v>
      </c>
      <c r="P189" t="s">
        <v>4923</v>
      </c>
    </row>
    <row r="190" spans="1:16" hidden="1" x14ac:dyDescent="0.25">
      <c r="A190" t="s">
        <v>184</v>
      </c>
      <c r="B190" t="s">
        <v>7</v>
      </c>
      <c r="C190" t="s">
        <v>185</v>
      </c>
      <c r="D190">
        <v>9007</v>
      </c>
      <c r="E190" t="s">
        <v>121</v>
      </c>
      <c r="F190">
        <v>1</v>
      </c>
      <c r="G190" t="str">
        <f>_xlfn.XLOOKUP(E190,'Base SKUs'!E:E,'Base SKUs'!D:D)</f>
        <v>Thermowood</v>
      </c>
      <c r="H190" s="10">
        <f>_xlfn.XLOOKUP(E190,'Base SKUs'!E:E,'Base SKUs'!S:S)</f>
        <v>4.7880000000000006E-3</v>
      </c>
      <c r="I190" s="9">
        <f t="shared" si="2"/>
        <v>5.0000000000000001E-3</v>
      </c>
      <c r="J190" t="str">
        <f>_xlfn.XLOOKUP(E190,'Base SKUs'!E:E,'Base SKUs'!G:G)</f>
        <v>Maximo Thermo Ayous</v>
      </c>
      <c r="K190" t="str">
        <f>_xlfn.XLOOKUP(E190,'Base SKUs'!E:E,'Base SKUs'!H:H)</f>
        <v>VJoint - Nickel Gap</v>
      </c>
      <c r="L190" t="str">
        <f>_xlfn.XLOOKUP(E190,'Base SKUs'!E:E,'Base SKUs'!I:I)</f>
        <v>-</v>
      </c>
      <c r="M190" t="str">
        <f>_xlfn.XLOOKUP(E190,'Base SKUs'!E:E,'Base SKUs'!J:J)</f>
        <v>1x6</v>
      </c>
      <c r="N190">
        <f>_xlfn.XLOOKUP(E190,'Base SKUs'!E:E,'Base SKUs'!K:K)</f>
        <v>6</v>
      </c>
      <c r="O190" t="str">
        <f>_xlfn.XLOOKUP(E190,'Base SKUs'!E:E,'Base SKUs'!C:C)</f>
        <v>Short</v>
      </c>
      <c r="P190" t="s">
        <v>4923</v>
      </c>
    </row>
    <row r="191" spans="1:16" hidden="1" x14ac:dyDescent="0.25">
      <c r="A191" t="s">
        <v>184</v>
      </c>
      <c r="B191" t="s">
        <v>7</v>
      </c>
      <c r="C191" t="s">
        <v>185</v>
      </c>
      <c r="D191">
        <v>9007</v>
      </c>
      <c r="E191" t="s">
        <v>67</v>
      </c>
      <c r="F191">
        <v>19</v>
      </c>
      <c r="G191" t="str">
        <f>_xlfn.XLOOKUP(E191,'Base SKUs'!E:E,'Base SKUs'!D:D)</f>
        <v>Thermowood</v>
      </c>
      <c r="H191" s="10">
        <f>_xlfn.XLOOKUP(E191,'Base SKUs'!E:E,'Base SKUs'!S:S)</f>
        <v>7.980000000000001E-3</v>
      </c>
      <c r="I191" s="9">
        <f t="shared" si="2"/>
        <v>0.152</v>
      </c>
      <c r="J191" t="str">
        <f>_xlfn.XLOOKUP(E191,'Base SKUs'!E:E,'Base SKUs'!G:G)</f>
        <v>Maximo Thermo Ayous</v>
      </c>
      <c r="K191" t="str">
        <f>_xlfn.XLOOKUP(E191,'Base SKUs'!E:E,'Base SKUs'!H:H)</f>
        <v>VJoint - Nickel Gap</v>
      </c>
      <c r="L191" t="str">
        <f>_xlfn.XLOOKUP(E191,'Base SKUs'!E:E,'Base SKUs'!I:I)</f>
        <v>-</v>
      </c>
      <c r="M191" t="str">
        <f>_xlfn.XLOOKUP(E191,'Base SKUs'!E:E,'Base SKUs'!J:J)</f>
        <v>1x6</v>
      </c>
      <c r="N191">
        <f>_xlfn.XLOOKUP(E191,'Base SKUs'!E:E,'Base SKUs'!K:K)</f>
        <v>10</v>
      </c>
      <c r="O191" t="str">
        <f>_xlfn.XLOOKUP(E191,'Base SKUs'!E:E,'Base SKUs'!C:C)</f>
        <v>Long</v>
      </c>
      <c r="P191" t="s">
        <v>4923</v>
      </c>
    </row>
    <row r="192" spans="1:16" hidden="1" x14ac:dyDescent="0.25">
      <c r="A192" t="s">
        <v>187</v>
      </c>
      <c r="B192" t="s">
        <v>7</v>
      </c>
      <c r="C192" t="s">
        <v>8</v>
      </c>
      <c r="D192">
        <v>9008</v>
      </c>
      <c r="E192" t="s">
        <v>188</v>
      </c>
      <c r="F192">
        <v>1</v>
      </c>
      <c r="G192" t="str">
        <f>_xlfn.XLOOKUP(E192,'Base SKUs'!E:E,'Base SKUs'!D:D)</f>
        <v>Thermowood</v>
      </c>
      <c r="H192" s="10">
        <f>_xlfn.XLOOKUP(E192,'Base SKUs'!E:E,'Base SKUs'!S:S)</f>
        <v>7.980000000000001E-3</v>
      </c>
      <c r="I192" s="9">
        <f t="shared" si="2"/>
        <v>8.0000000000000002E-3</v>
      </c>
      <c r="J192" t="str">
        <f>_xlfn.XLOOKUP(E192,'Base SKUs'!E:E,'Base SKUs'!G:G)</f>
        <v>Maximo Thermo Scandinavian Pine</v>
      </c>
      <c r="K192" t="str">
        <f>_xlfn.XLOOKUP(E192,'Base SKUs'!E:E,'Base SKUs'!H:H)</f>
        <v>VJoint - Nickel Gap</v>
      </c>
      <c r="L192" t="str">
        <f>_xlfn.XLOOKUP(E192,'Base SKUs'!E:E,'Base SKUs'!I:I)</f>
        <v>-</v>
      </c>
      <c r="M192" t="str">
        <f>_xlfn.XLOOKUP(E192,'Base SKUs'!E:E,'Base SKUs'!J:J)</f>
        <v>1x6</v>
      </c>
      <c r="N192">
        <f>_xlfn.XLOOKUP(E192,'Base SKUs'!E:E,'Base SKUs'!K:K)</f>
        <v>10</v>
      </c>
      <c r="O192" t="str">
        <f>_xlfn.XLOOKUP(E192,'Base SKUs'!E:E,'Base SKUs'!C:C)</f>
        <v>Long</v>
      </c>
      <c r="P192" t="s">
        <v>4923</v>
      </c>
    </row>
    <row r="193" spans="1:16" hidden="1" x14ac:dyDescent="0.25">
      <c r="A193" t="s">
        <v>187</v>
      </c>
      <c r="B193" t="s">
        <v>7</v>
      </c>
      <c r="C193" t="s">
        <v>8</v>
      </c>
      <c r="D193">
        <v>9008</v>
      </c>
      <c r="E193" t="s">
        <v>189</v>
      </c>
      <c r="F193">
        <v>2</v>
      </c>
      <c r="G193" t="str">
        <f>_xlfn.XLOOKUP(E193,'Base SKUs'!E:E,'Base SKUs'!D:D)</f>
        <v>Thermowood</v>
      </c>
      <c r="H193" s="10">
        <f>_xlfn.XLOOKUP(E193,'Base SKUs'!E:E,'Base SKUs'!S:S)</f>
        <v>8.7779999999999993E-3</v>
      </c>
      <c r="I193" s="9">
        <f t="shared" si="2"/>
        <v>1.7999999999999999E-2</v>
      </c>
      <c r="J193" t="str">
        <f>_xlfn.XLOOKUP(E193,'Base SKUs'!E:E,'Base SKUs'!G:G)</f>
        <v>Maximo Thermo Scandinavian Pine</v>
      </c>
      <c r="K193" t="str">
        <f>_xlfn.XLOOKUP(E193,'Base SKUs'!E:E,'Base SKUs'!H:H)</f>
        <v>VJoint - Nickel Gap</v>
      </c>
      <c r="L193" t="str">
        <f>_xlfn.XLOOKUP(E193,'Base SKUs'!E:E,'Base SKUs'!I:I)</f>
        <v>-</v>
      </c>
      <c r="M193" t="str">
        <f>_xlfn.XLOOKUP(E193,'Base SKUs'!E:E,'Base SKUs'!J:J)</f>
        <v>1x6</v>
      </c>
      <c r="N193">
        <f>_xlfn.XLOOKUP(E193,'Base SKUs'!E:E,'Base SKUs'!K:K)</f>
        <v>11</v>
      </c>
      <c r="O193" t="str">
        <f>_xlfn.XLOOKUP(E193,'Base SKUs'!E:E,'Base SKUs'!C:C)</f>
        <v>Long</v>
      </c>
      <c r="P193" t="s">
        <v>4923</v>
      </c>
    </row>
    <row r="194" spans="1:16" hidden="1" x14ac:dyDescent="0.25">
      <c r="A194" t="s">
        <v>187</v>
      </c>
      <c r="B194" t="s">
        <v>7</v>
      </c>
      <c r="C194" t="s">
        <v>8</v>
      </c>
      <c r="D194">
        <v>9008</v>
      </c>
      <c r="E194" t="s">
        <v>190</v>
      </c>
      <c r="F194">
        <v>22</v>
      </c>
      <c r="G194" t="str">
        <f>_xlfn.XLOOKUP(E194,'Base SKUs'!E:E,'Base SKUs'!D:D)</f>
        <v>Thermowood</v>
      </c>
      <c r="H194" s="10">
        <f>_xlfn.XLOOKUP(E194,'Base SKUs'!E:E,'Base SKUs'!S:S)</f>
        <v>9.5760000000000012E-3</v>
      </c>
      <c r="I194" s="9">
        <f t="shared" ref="I194:I257" si="3">IF(OR(G194="Norx",K194="Tiles"),ROUND(F194,3),ROUND(F194*H194,3))</f>
        <v>0.21099999999999999</v>
      </c>
      <c r="J194" t="str">
        <f>_xlfn.XLOOKUP(E194,'Base SKUs'!E:E,'Base SKUs'!G:G)</f>
        <v>Maximo Thermo Scandinavian Pine</v>
      </c>
      <c r="K194" t="str">
        <f>_xlfn.XLOOKUP(E194,'Base SKUs'!E:E,'Base SKUs'!H:H)</f>
        <v>VJoint - Nickel Gap</v>
      </c>
      <c r="L194" t="str">
        <f>_xlfn.XLOOKUP(E194,'Base SKUs'!E:E,'Base SKUs'!I:I)</f>
        <v>-</v>
      </c>
      <c r="M194" t="str">
        <f>_xlfn.XLOOKUP(E194,'Base SKUs'!E:E,'Base SKUs'!J:J)</f>
        <v>1x6</v>
      </c>
      <c r="N194">
        <f>_xlfn.XLOOKUP(E194,'Base SKUs'!E:E,'Base SKUs'!K:K)</f>
        <v>12</v>
      </c>
      <c r="O194" t="str">
        <f>_xlfn.XLOOKUP(E194,'Base SKUs'!E:E,'Base SKUs'!C:C)</f>
        <v>Long</v>
      </c>
      <c r="P194" t="s">
        <v>4923</v>
      </c>
    </row>
    <row r="195" spans="1:16" hidden="1" x14ac:dyDescent="0.25">
      <c r="A195" t="s">
        <v>187</v>
      </c>
      <c r="B195" t="s">
        <v>7</v>
      </c>
      <c r="C195" t="s">
        <v>8</v>
      </c>
      <c r="D195">
        <v>9008</v>
      </c>
      <c r="E195" t="s">
        <v>191</v>
      </c>
      <c r="F195">
        <v>21</v>
      </c>
      <c r="G195" t="str">
        <f>_xlfn.XLOOKUP(E195,'Base SKUs'!E:E,'Base SKUs'!D:D)</f>
        <v>Thermowood</v>
      </c>
      <c r="H195" s="10">
        <f>_xlfn.XLOOKUP(E195,'Base SKUs'!E:E,'Base SKUs'!S:S)</f>
        <v>1.0374000000000001E-2</v>
      </c>
      <c r="I195" s="9">
        <f t="shared" si="3"/>
        <v>0.218</v>
      </c>
      <c r="J195" t="str">
        <f>_xlfn.XLOOKUP(E195,'Base SKUs'!E:E,'Base SKUs'!G:G)</f>
        <v>Maximo Thermo Scandinavian Pine</v>
      </c>
      <c r="K195" t="str">
        <f>_xlfn.XLOOKUP(E195,'Base SKUs'!E:E,'Base SKUs'!H:H)</f>
        <v>VJoint - Nickel Gap</v>
      </c>
      <c r="L195" t="str">
        <f>_xlfn.XLOOKUP(E195,'Base SKUs'!E:E,'Base SKUs'!I:I)</f>
        <v>-</v>
      </c>
      <c r="M195" t="str">
        <f>_xlfn.XLOOKUP(E195,'Base SKUs'!E:E,'Base SKUs'!J:J)</f>
        <v>1x6</v>
      </c>
      <c r="N195">
        <f>_xlfn.XLOOKUP(E195,'Base SKUs'!E:E,'Base SKUs'!K:K)</f>
        <v>13</v>
      </c>
      <c r="O195" t="str">
        <f>_xlfn.XLOOKUP(E195,'Base SKUs'!E:E,'Base SKUs'!C:C)</f>
        <v>Long</v>
      </c>
      <c r="P195" t="s">
        <v>4923</v>
      </c>
    </row>
    <row r="196" spans="1:16" hidden="1" x14ac:dyDescent="0.25">
      <c r="A196" t="s">
        <v>187</v>
      </c>
      <c r="B196" t="s">
        <v>7</v>
      </c>
      <c r="C196" t="s">
        <v>8</v>
      </c>
      <c r="D196">
        <v>9008</v>
      </c>
      <c r="E196" t="s">
        <v>192</v>
      </c>
      <c r="F196">
        <v>6</v>
      </c>
      <c r="G196" t="str">
        <f>_xlfn.XLOOKUP(E196,'Base SKUs'!E:E,'Base SKUs'!D:D)</f>
        <v>Thermowood</v>
      </c>
      <c r="H196" s="10">
        <f>_xlfn.XLOOKUP(E196,'Base SKUs'!E:E,'Base SKUs'!S:S)</f>
        <v>1.1172E-2</v>
      </c>
      <c r="I196" s="9">
        <f t="shared" si="3"/>
        <v>6.7000000000000004E-2</v>
      </c>
      <c r="J196" t="str">
        <f>_xlfn.XLOOKUP(E196,'Base SKUs'!E:E,'Base SKUs'!G:G)</f>
        <v>Maximo Thermo Scandinavian Pine</v>
      </c>
      <c r="K196" t="str">
        <f>_xlfn.XLOOKUP(E196,'Base SKUs'!E:E,'Base SKUs'!H:H)</f>
        <v>VJoint - Nickel Gap</v>
      </c>
      <c r="L196" t="str">
        <f>_xlfn.XLOOKUP(E196,'Base SKUs'!E:E,'Base SKUs'!I:I)</f>
        <v>-</v>
      </c>
      <c r="M196" t="str">
        <f>_xlfn.XLOOKUP(E196,'Base SKUs'!E:E,'Base SKUs'!J:J)</f>
        <v>1x6</v>
      </c>
      <c r="N196">
        <f>_xlfn.XLOOKUP(E196,'Base SKUs'!E:E,'Base SKUs'!K:K)</f>
        <v>14</v>
      </c>
      <c r="O196" t="str">
        <f>_xlfn.XLOOKUP(E196,'Base SKUs'!E:E,'Base SKUs'!C:C)</f>
        <v>Long</v>
      </c>
      <c r="P196" t="s">
        <v>4923</v>
      </c>
    </row>
    <row r="197" spans="1:16" hidden="1" x14ac:dyDescent="0.25">
      <c r="A197" t="s">
        <v>187</v>
      </c>
      <c r="B197" t="s">
        <v>7</v>
      </c>
      <c r="C197" t="s">
        <v>8</v>
      </c>
      <c r="D197">
        <v>9008</v>
      </c>
      <c r="E197" t="s">
        <v>193</v>
      </c>
      <c r="F197">
        <v>61</v>
      </c>
      <c r="G197" t="str">
        <f>_xlfn.XLOOKUP(E197,'Base SKUs'!E:E,'Base SKUs'!D:D)</f>
        <v>Thermowood</v>
      </c>
      <c r="H197" s="10">
        <f>_xlfn.XLOOKUP(E197,'Base SKUs'!E:E,'Base SKUs'!S:S)</f>
        <v>1.1970000000000001E-2</v>
      </c>
      <c r="I197" s="9">
        <f t="shared" si="3"/>
        <v>0.73</v>
      </c>
      <c r="J197" t="str">
        <f>_xlfn.XLOOKUP(E197,'Base SKUs'!E:E,'Base SKUs'!G:G)</f>
        <v>Maximo Thermo Scandinavian Pine</v>
      </c>
      <c r="K197" t="str">
        <f>_xlfn.XLOOKUP(E197,'Base SKUs'!E:E,'Base SKUs'!H:H)</f>
        <v>VJoint - Nickel Gap</v>
      </c>
      <c r="L197" t="str">
        <f>_xlfn.XLOOKUP(E197,'Base SKUs'!E:E,'Base SKUs'!I:I)</f>
        <v>-</v>
      </c>
      <c r="M197" t="str">
        <f>_xlfn.XLOOKUP(E197,'Base SKUs'!E:E,'Base SKUs'!J:J)</f>
        <v>1x6</v>
      </c>
      <c r="N197">
        <f>_xlfn.XLOOKUP(E197,'Base SKUs'!E:E,'Base SKUs'!K:K)</f>
        <v>15</v>
      </c>
      <c r="O197" t="str">
        <f>_xlfn.XLOOKUP(E197,'Base SKUs'!E:E,'Base SKUs'!C:C)</f>
        <v>Long</v>
      </c>
      <c r="P197" t="s">
        <v>4923</v>
      </c>
    </row>
    <row r="198" spans="1:16" hidden="1" x14ac:dyDescent="0.25">
      <c r="A198" t="s">
        <v>187</v>
      </c>
      <c r="B198" t="s">
        <v>7</v>
      </c>
      <c r="C198" t="s">
        <v>8</v>
      </c>
      <c r="D198">
        <v>9008</v>
      </c>
      <c r="E198" t="s">
        <v>194</v>
      </c>
      <c r="F198">
        <v>3</v>
      </c>
      <c r="G198" t="str">
        <f>_xlfn.XLOOKUP(E198,'Base SKUs'!E:E,'Base SKUs'!D:D)</f>
        <v>Thermowood</v>
      </c>
      <c r="H198" s="10">
        <f>_xlfn.XLOOKUP(E198,'Base SKUs'!E:E,'Base SKUs'!S:S)</f>
        <v>3.9900000000000005E-3</v>
      </c>
      <c r="I198" s="9">
        <f t="shared" si="3"/>
        <v>1.2E-2</v>
      </c>
      <c r="J198" t="str">
        <f>_xlfn.XLOOKUP(E198,'Base SKUs'!E:E,'Base SKUs'!G:G)</f>
        <v>Maximo Thermo Scandinavian Pine</v>
      </c>
      <c r="K198" t="str">
        <f>_xlfn.XLOOKUP(E198,'Base SKUs'!E:E,'Base SKUs'!H:H)</f>
        <v>VJoint - Nickel Gap</v>
      </c>
      <c r="L198" t="str">
        <f>_xlfn.XLOOKUP(E198,'Base SKUs'!E:E,'Base SKUs'!I:I)</f>
        <v>-</v>
      </c>
      <c r="M198" t="str">
        <f>_xlfn.XLOOKUP(E198,'Base SKUs'!E:E,'Base SKUs'!J:J)</f>
        <v>1x6</v>
      </c>
      <c r="N198">
        <f>_xlfn.XLOOKUP(E198,'Base SKUs'!E:E,'Base SKUs'!K:K)</f>
        <v>5</v>
      </c>
      <c r="O198" t="str">
        <f>_xlfn.XLOOKUP(E198,'Base SKUs'!E:E,'Base SKUs'!C:C)</f>
        <v>Short</v>
      </c>
      <c r="P198" t="s">
        <v>4923</v>
      </c>
    </row>
    <row r="199" spans="1:16" hidden="1" x14ac:dyDescent="0.25">
      <c r="A199" t="s">
        <v>187</v>
      </c>
      <c r="B199" t="s">
        <v>7</v>
      </c>
      <c r="C199" t="s">
        <v>8</v>
      </c>
      <c r="D199">
        <v>9008</v>
      </c>
      <c r="E199" t="s">
        <v>195</v>
      </c>
      <c r="F199">
        <v>1</v>
      </c>
      <c r="G199" t="str">
        <f>_xlfn.XLOOKUP(E199,'Base SKUs'!E:E,'Base SKUs'!D:D)</f>
        <v>Thermowood</v>
      </c>
      <c r="H199" s="10">
        <f>_xlfn.XLOOKUP(E199,'Base SKUs'!E:E,'Base SKUs'!S:S)</f>
        <v>6.3839999999999999E-3</v>
      </c>
      <c r="I199" s="9">
        <f t="shared" si="3"/>
        <v>6.0000000000000001E-3</v>
      </c>
      <c r="J199" t="str">
        <f>_xlfn.XLOOKUP(E199,'Base SKUs'!E:E,'Base SKUs'!G:G)</f>
        <v>Maximo Thermo Scandinavian Pine</v>
      </c>
      <c r="K199" t="str">
        <f>_xlfn.XLOOKUP(E199,'Base SKUs'!E:E,'Base SKUs'!H:H)</f>
        <v>VJoint - Nickel Gap</v>
      </c>
      <c r="L199" t="str">
        <f>_xlfn.XLOOKUP(E199,'Base SKUs'!E:E,'Base SKUs'!I:I)</f>
        <v>-</v>
      </c>
      <c r="M199" t="str">
        <f>_xlfn.XLOOKUP(E199,'Base SKUs'!E:E,'Base SKUs'!J:J)</f>
        <v>1x6</v>
      </c>
      <c r="N199">
        <f>_xlfn.XLOOKUP(E199,'Base SKUs'!E:E,'Base SKUs'!K:K)</f>
        <v>8</v>
      </c>
      <c r="O199" t="str">
        <f>_xlfn.XLOOKUP(E199,'Base SKUs'!E:E,'Base SKUs'!C:C)</f>
        <v>Long</v>
      </c>
      <c r="P199" t="s">
        <v>4923</v>
      </c>
    </row>
    <row r="200" spans="1:16" hidden="1" x14ac:dyDescent="0.25">
      <c r="A200" t="s">
        <v>187</v>
      </c>
      <c r="B200" t="s">
        <v>7</v>
      </c>
      <c r="C200" t="s">
        <v>8</v>
      </c>
      <c r="D200">
        <v>9008</v>
      </c>
      <c r="E200" t="s">
        <v>196</v>
      </c>
      <c r="F200">
        <v>4</v>
      </c>
      <c r="G200" t="str">
        <f>_xlfn.XLOOKUP(E200,'Base SKUs'!E:E,'Base SKUs'!D:D)</f>
        <v>Thermowood</v>
      </c>
      <c r="H200" s="10">
        <f>_xlfn.XLOOKUP(E200,'Base SKUs'!E:E,'Base SKUs'!S:S)</f>
        <v>7.182E-3</v>
      </c>
      <c r="I200" s="9">
        <f t="shared" si="3"/>
        <v>2.9000000000000001E-2</v>
      </c>
      <c r="J200" t="str">
        <f>_xlfn.XLOOKUP(E200,'Base SKUs'!E:E,'Base SKUs'!G:G)</f>
        <v>Maximo Thermo Scandinavian Pine</v>
      </c>
      <c r="K200" t="str">
        <f>_xlfn.XLOOKUP(E200,'Base SKUs'!E:E,'Base SKUs'!H:H)</f>
        <v>VJoint - Nickel Gap</v>
      </c>
      <c r="L200" t="str">
        <f>_xlfn.XLOOKUP(E200,'Base SKUs'!E:E,'Base SKUs'!I:I)</f>
        <v>-</v>
      </c>
      <c r="M200" t="str">
        <f>_xlfn.XLOOKUP(E200,'Base SKUs'!E:E,'Base SKUs'!J:J)</f>
        <v>1x6</v>
      </c>
      <c r="N200">
        <f>_xlfn.XLOOKUP(E200,'Base SKUs'!E:E,'Base SKUs'!K:K)</f>
        <v>9</v>
      </c>
      <c r="O200" t="str">
        <f>_xlfn.XLOOKUP(E200,'Base SKUs'!E:E,'Base SKUs'!C:C)</f>
        <v>Long</v>
      </c>
      <c r="P200" t="s">
        <v>4923</v>
      </c>
    </row>
    <row r="201" spans="1:16" hidden="1" x14ac:dyDescent="0.25">
      <c r="A201" t="s">
        <v>187</v>
      </c>
      <c r="B201" t="s">
        <v>7</v>
      </c>
      <c r="C201" t="s">
        <v>8</v>
      </c>
      <c r="D201">
        <v>9008</v>
      </c>
      <c r="E201" t="s">
        <v>197</v>
      </c>
      <c r="F201">
        <v>1</v>
      </c>
      <c r="G201" t="str">
        <f>_xlfn.XLOOKUP(E201,'Base SKUs'!E:E,'Base SKUs'!D:D)</f>
        <v>Thermowood</v>
      </c>
      <c r="H201" s="10">
        <f>_xlfn.XLOOKUP(E201,'Base SKUs'!E:E,'Base SKUs'!S:S)</f>
        <v>3.9900000000000005E-3</v>
      </c>
      <c r="I201" s="9">
        <f t="shared" si="3"/>
        <v>4.0000000000000001E-3</v>
      </c>
      <c r="J201" t="str">
        <f>_xlfn.XLOOKUP(E201,'Base SKUs'!E:E,'Base SKUs'!G:G)</f>
        <v>Maximo Thermo Scandinavian Pine</v>
      </c>
      <c r="K201" t="str">
        <f>_xlfn.XLOOKUP(E201,'Base SKUs'!E:E,'Base SKUs'!H:H)</f>
        <v>VJoint - Square Back</v>
      </c>
      <c r="L201" t="str">
        <f>_xlfn.XLOOKUP(E201,'Base SKUs'!E:E,'Base SKUs'!I:I)</f>
        <v>-</v>
      </c>
      <c r="M201" t="str">
        <f>_xlfn.XLOOKUP(E201,'Base SKUs'!E:E,'Base SKUs'!J:J)</f>
        <v>1x6</v>
      </c>
      <c r="N201">
        <f>_xlfn.XLOOKUP(E201,'Base SKUs'!E:E,'Base SKUs'!K:K)</f>
        <v>5</v>
      </c>
      <c r="O201" t="str">
        <f>_xlfn.XLOOKUP(E201,'Base SKUs'!E:E,'Base SKUs'!C:C)</f>
        <v>Short</v>
      </c>
      <c r="P201" t="s">
        <v>4923</v>
      </c>
    </row>
    <row r="202" spans="1:16" hidden="1" x14ac:dyDescent="0.25">
      <c r="A202" t="s">
        <v>187</v>
      </c>
      <c r="B202" t="s">
        <v>7</v>
      </c>
      <c r="C202" t="s">
        <v>8</v>
      </c>
      <c r="D202">
        <v>9008</v>
      </c>
      <c r="E202" t="s">
        <v>198</v>
      </c>
      <c r="F202">
        <v>2</v>
      </c>
      <c r="G202" t="str">
        <f>_xlfn.XLOOKUP(E202,'Base SKUs'!E:E,'Base SKUs'!D:D)</f>
        <v>Thermowood</v>
      </c>
      <c r="H202" s="10">
        <f>_xlfn.XLOOKUP(E202,'Base SKUs'!E:E,'Base SKUs'!S:S)</f>
        <v>4.7880000000000006E-3</v>
      </c>
      <c r="I202" s="9">
        <f t="shared" si="3"/>
        <v>0.01</v>
      </c>
      <c r="J202" t="str">
        <f>_xlfn.XLOOKUP(E202,'Base SKUs'!E:E,'Base SKUs'!G:G)</f>
        <v>Maximo Thermo Scandinavian Pine</v>
      </c>
      <c r="K202" t="str">
        <f>_xlfn.XLOOKUP(E202,'Base SKUs'!E:E,'Base SKUs'!H:H)</f>
        <v>VJoint - Square Back</v>
      </c>
      <c r="L202" t="str">
        <f>_xlfn.XLOOKUP(E202,'Base SKUs'!E:E,'Base SKUs'!I:I)</f>
        <v>-</v>
      </c>
      <c r="M202" t="str">
        <f>_xlfn.XLOOKUP(E202,'Base SKUs'!E:E,'Base SKUs'!J:J)</f>
        <v>1x6</v>
      </c>
      <c r="N202">
        <f>_xlfn.XLOOKUP(E202,'Base SKUs'!E:E,'Base SKUs'!K:K)</f>
        <v>6</v>
      </c>
      <c r="O202" t="str">
        <f>_xlfn.XLOOKUP(E202,'Base SKUs'!E:E,'Base SKUs'!C:C)</f>
        <v>Short</v>
      </c>
      <c r="P202" t="s">
        <v>4923</v>
      </c>
    </row>
    <row r="203" spans="1:16" hidden="1" x14ac:dyDescent="0.25">
      <c r="A203" t="s">
        <v>187</v>
      </c>
      <c r="B203" t="s">
        <v>7</v>
      </c>
      <c r="C203" t="s">
        <v>8</v>
      </c>
      <c r="D203">
        <v>9008</v>
      </c>
      <c r="E203" t="s">
        <v>199</v>
      </c>
      <c r="F203">
        <v>8</v>
      </c>
      <c r="G203" t="str">
        <f>_xlfn.XLOOKUP(E203,'Base SKUs'!E:E,'Base SKUs'!D:D)</f>
        <v>Thermowood</v>
      </c>
      <c r="H203" s="10">
        <f>_xlfn.XLOOKUP(E203,'Base SKUs'!E:E,'Base SKUs'!S:S)</f>
        <v>5.5859999999999998E-3</v>
      </c>
      <c r="I203" s="9">
        <f t="shared" si="3"/>
        <v>4.4999999999999998E-2</v>
      </c>
      <c r="J203" t="str">
        <f>_xlfn.XLOOKUP(E203,'Base SKUs'!E:E,'Base SKUs'!G:G)</f>
        <v>Maximo Thermo Scandinavian Pine</v>
      </c>
      <c r="K203" t="str">
        <f>_xlfn.XLOOKUP(E203,'Base SKUs'!E:E,'Base SKUs'!H:H)</f>
        <v>VJoint - Square Back</v>
      </c>
      <c r="L203" t="str">
        <f>_xlfn.XLOOKUP(E203,'Base SKUs'!E:E,'Base SKUs'!I:I)</f>
        <v>-</v>
      </c>
      <c r="M203" t="str">
        <f>_xlfn.XLOOKUP(E203,'Base SKUs'!E:E,'Base SKUs'!J:J)</f>
        <v>1x6</v>
      </c>
      <c r="N203">
        <f>_xlfn.XLOOKUP(E203,'Base SKUs'!E:E,'Base SKUs'!K:K)</f>
        <v>7</v>
      </c>
      <c r="O203" t="str">
        <f>_xlfn.XLOOKUP(E203,'Base SKUs'!E:E,'Base SKUs'!C:C)</f>
        <v>Short</v>
      </c>
      <c r="P203" t="s">
        <v>4923</v>
      </c>
    </row>
    <row r="204" spans="1:16" hidden="1" x14ac:dyDescent="0.25">
      <c r="A204" t="s">
        <v>187</v>
      </c>
      <c r="B204" t="s">
        <v>7</v>
      </c>
      <c r="C204" t="s">
        <v>8</v>
      </c>
      <c r="D204">
        <v>9008</v>
      </c>
      <c r="E204" t="s">
        <v>200</v>
      </c>
      <c r="F204">
        <v>6</v>
      </c>
      <c r="G204" t="str">
        <f>_xlfn.XLOOKUP(E204,'Base SKUs'!E:E,'Base SKUs'!D:D)</f>
        <v>Thermowood</v>
      </c>
      <c r="H204" s="10">
        <f>_xlfn.XLOOKUP(E204,'Base SKUs'!E:E,'Base SKUs'!S:S)</f>
        <v>6.3839999999999999E-3</v>
      </c>
      <c r="I204" s="9">
        <f t="shared" si="3"/>
        <v>3.7999999999999999E-2</v>
      </c>
      <c r="J204" t="str">
        <f>_xlfn.XLOOKUP(E204,'Base SKUs'!E:E,'Base SKUs'!G:G)</f>
        <v>Maximo Thermo Scandinavian Pine</v>
      </c>
      <c r="K204" t="str">
        <f>_xlfn.XLOOKUP(E204,'Base SKUs'!E:E,'Base SKUs'!H:H)</f>
        <v>VJoint - Square Back</v>
      </c>
      <c r="L204" t="str">
        <f>_xlfn.XLOOKUP(E204,'Base SKUs'!E:E,'Base SKUs'!I:I)</f>
        <v>-</v>
      </c>
      <c r="M204" t="str">
        <f>_xlfn.XLOOKUP(E204,'Base SKUs'!E:E,'Base SKUs'!J:J)</f>
        <v>1x6</v>
      </c>
      <c r="N204">
        <f>_xlfn.XLOOKUP(E204,'Base SKUs'!E:E,'Base SKUs'!K:K)</f>
        <v>8</v>
      </c>
      <c r="O204" t="str">
        <f>_xlfn.XLOOKUP(E204,'Base SKUs'!E:E,'Base SKUs'!C:C)</f>
        <v>Long</v>
      </c>
      <c r="P204" t="s">
        <v>4923</v>
      </c>
    </row>
    <row r="205" spans="1:16" hidden="1" x14ac:dyDescent="0.25">
      <c r="A205" t="s">
        <v>187</v>
      </c>
      <c r="B205" t="s">
        <v>7</v>
      </c>
      <c r="C205" t="s">
        <v>8</v>
      </c>
      <c r="D205">
        <v>9008</v>
      </c>
      <c r="E205" t="s">
        <v>100</v>
      </c>
      <c r="F205">
        <v>3</v>
      </c>
      <c r="G205" t="str">
        <f>_xlfn.XLOOKUP(E205,'Base SKUs'!E:E,'Base SKUs'!D:D)</f>
        <v>Thermowood</v>
      </c>
      <c r="H205" s="10">
        <f>_xlfn.XLOOKUP(E205,'Base SKUs'!E:E,'Base SKUs'!S:S)</f>
        <v>7.182E-3</v>
      </c>
      <c r="I205" s="9">
        <f t="shared" si="3"/>
        <v>2.1999999999999999E-2</v>
      </c>
      <c r="J205" t="str">
        <f>_xlfn.XLOOKUP(E205,'Base SKUs'!E:E,'Base SKUs'!G:G)</f>
        <v>Maximo Thermo Scandinavian Pine</v>
      </c>
      <c r="K205" t="str">
        <f>_xlfn.XLOOKUP(E205,'Base SKUs'!E:E,'Base SKUs'!H:H)</f>
        <v>VJoint - Square Back</v>
      </c>
      <c r="L205" t="str">
        <f>_xlfn.XLOOKUP(E205,'Base SKUs'!E:E,'Base SKUs'!I:I)</f>
        <v>-</v>
      </c>
      <c r="M205" t="str">
        <f>_xlfn.XLOOKUP(E205,'Base SKUs'!E:E,'Base SKUs'!J:J)</f>
        <v>1x6</v>
      </c>
      <c r="N205">
        <f>_xlfn.XLOOKUP(E205,'Base SKUs'!E:E,'Base SKUs'!K:K)</f>
        <v>9</v>
      </c>
      <c r="O205" t="str">
        <f>_xlfn.XLOOKUP(E205,'Base SKUs'!E:E,'Base SKUs'!C:C)</f>
        <v>Long</v>
      </c>
      <c r="P205" t="s">
        <v>4923</v>
      </c>
    </row>
    <row r="206" spans="1:16" hidden="1" x14ac:dyDescent="0.25">
      <c r="A206" t="s">
        <v>187</v>
      </c>
      <c r="B206" t="s">
        <v>7</v>
      </c>
      <c r="C206" t="s">
        <v>8</v>
      </c>
      <c r="D206">
        <v>9008</v>
      </c>
      <c r="E206" t="s">
        <v>201</v>
      </c>
      <c r="F206">
        <v>10</v>
      </c>
      <c r="G206" t="str">
        <f>_xlfn.XLOOKUP(E206,'Base SKUs'!E:E,'Base SKUs'!D:D)</f>
        <v>Thermowood</v>
      </c>
      <c r="H206" s="10">
        <f>_xlfn.XLOOKUP(E206,'Base SKUs'!E:E,'Base SKUs'!S:S)</f>
        <v>1.3565999999999998E-2</v>
      </c>
      <c r="I206" s="9">
        <f t="shared" si="3"/>
        <v>0.13600000000000001</v>
      </c>
      <c r="J206" t="str">
        <f>_xlfn.XLOOKUP(E206,'Base SKUs'!E:E,'Base SKUs'!G:G)</f>
        <v>Maximo Thermo Scandinavian Pine</v>
      </c>
      <c r="K206" t="str">
        <f>_xlfn.XLOOKUP(E206,'Base SKUs'!E:E,'Base SKUs'!H:H)</f>
        <v>VJoint - Nickel Gap</v>
      </c>
      <c r="L206" t="str">
        <f>_xlfn.XLOOKUP(E206,'Base SKUs'!E:E,'Base SKUs'!I:I)</f>
        <v>-</v>
      </c>
      <c r="M206" t="str">
        <f>_xlfn.XLOOKUP(E206,'Base SKUs'!E:E,'Base SKUs'!J:J)</f>
        <v>1x6</v>
      </c>
      <c r="N206">
        <f>_xlfn.XLOOKUP(E206,'Base SKUs'!E:E,'Base SKUs'!K:K)</f>
        <v>17</v>
      </c>
      <c r="O206" t="str">
        <f>_xlfn.XLOOKUP(E206,'Base SKUs'!E:E,'Base SKUs'!C:C)</f>
        <v>Long</v>
      </c>
      <c r="P206" t="s">
        <v>4923</v>
      </c>
    </row>
    <row r="207" spans="1:16" hidden="1" x14ac:dyDescent="0.25">
      <c r="A207" t="s">
        <v>202</v>
      </c>
      <c r="B207" t="s">
        <v>7</v>
      </c>
      <c r="C207" t="s">
        <v>203</v>
      </c>
      <c r="D207">
        <v>9007</v>
      </c>
      <c r="E207" t="s">
        <v>204</v>
      </c>
      <c r="F207">
        <v>12</v>
      </c>
      <c r="G207" t="str">
        <f>_xlfn.XLOOKUP(E207,'Base SKUs'!E:E,'Base SKUs'!D:D)</f>
        <v>Thermowood</v>
      </c>
      <c r="H207" s="10">
        <f>_xlfn.XLOOKUP(E207,'Base SKUs'!E:E,'Base SKUs'!S:S)</f>
        <v>3.9900000000000005E-3</v>
      </c>
      <c r="I207" s="9">
        <f t="shared" si="3"/>
        <v>4.8000000000000001E-2</v>
      </c>
      <c r="J207" t="str">
        <f>_xlfn.XLOOKUP(E207,'Base SKUs'!E:E,'Base SKUs'!G:G)</f>
        <v>Maximo Thermo Ayous</v>
      </c>
      <c r="K207" t="str">
        <f>_xlfn.XLOOKUP(E207,'Base SKUs'!E:E,'Base SKUs'!H:H)</f>
        <v>VJoint - Nickel Gap</v>
      </c>
      <c r="L207" t="str">
        <f>_xlfn.XLOOKUP(E207,'Base SKUs'!E:E,'Base SKUs'!I:I)</f>
        <v>-</v>
      </c>
      <c r="M207" t="str">
        <f>_xlfn.XLOOKUP(E207,'Base SKUs'!E:E,'Base SKUs'!J:J)</f>
        <v>1x6</v>
      </c>
      <c r="N207">
        <f>_xlfn.XLOOKUP(E207,'Base SKUs'!E:E,'Base SKUs'!K:K)</f>
        <v>5</v>
      </c>
      <c r="O207" t="str">
        <f>_xlfn.XLOOKUP(E207,'Base SKUs'!E:E,'Base SKUs'!C:C)</f>
        <v>Short</v>
      </c>
      <c r="P207" t="s">
        <v>4923</v>
      </c>
    </row>
    <row r="208" spans="1:16" hidden="1" x14ac:dyDescent="0.25">
      <c r="A208" t="s">
        <v>202</v>
      </c>
      <c r="B208" t="s">
        <v>7</v>
      </c>
      <c r="C208" t="s">
        <v>203</v>
      </c>
      <c r="D208">
        <v>9007</v>
      </c>
      <c r="E208" t="s">
        <v>121</v>
      </c>
      <c r="F208">
        <v>7</v>
      </c>
      <c r="G208" t="str">
        <f>_xlfn.XLOOKUP(E208,'Base SKUs'!E:E,'Base SKUs'!D:D)</f>
        <v>Thermowood</v>
      </c>
      <c r="H208" s="10">
        <f>_xlfn.XLOOKUP(E208,'Base SKUs'!E:E,'Base SKUs'!S:S)</f>
        <v>4.7880000000000006E-3</v>
      </c>
      <c r="I208" s="9">
        <f t="shared" si="3"/>
        <v>3.4000000000000002E-2</v>
      </c>
      <c r="J208" t="str">
        <f>_xlfn.XLOOKUP(E208,'Base SKUs'!E:E,'Base SKUs'!G:G)</f>
        <v>Maximo Thermo Ayous</v>
      </c>
      <c r="K208" t="str">
        <f>_xlfn.XLOOKUP(E208,'Base SKUs'!E:E,'Base SKUs'!H:H)</f>
        <v>VJoint - Nickel Gap</v>
      </c>
      <c r="L208" t="str">
        <f>_xlfn.XLOOKUP(E208,'Base SKUs'!E:E,'Base SKUs'!I:I)</f>
        <v>-</v>
      </c>
      <c r="M208" t="str">
        <f>_xlfn.XLOOKUP(E208,'Base SKUs'!E:E,'Base SKUs'!J:J)</f>
        <v>1x6</v>
      </c>
      <c r="N208">
        <f>_xlfn.XLOOKUP(E208,'Base SKUs'!E:E,'Base SKUs'!K:K)</f>
        <v>6</v>
      </c>
      <c r="O208" t="str">
        <f>_xlfn.XLOOKUP(E208,'Base SKUs'!E:E,'Base SKUs'!C:C)</f>
        <v>Short</v>
      </c>
      <c r="P208" t="s">
        <v>4923</v>
      </c>
    </row>
    <row r="209" spans="1:16" hidden="1" x14ac:dyDescent="0.25">
      <c r="A209" t="s">
        <v>202</v>
      </c>
      <c r="B209" t="s">
        <v>7</v>
      </c>
      <c r="C209" t="s">
        <v>203</v>
      </c>
      <c r="D209">
        <v>9007</v>
      </c>
      <c r="E209" t="s">
        <v>122</v>
      </c>
      <c r="F209">
        <v>13</v>
      </c>
      <c r="G209" t="str">
        <f>_xlfn.XLOOKUP(E209,'Base SKUs'!E:E,'Base SKUs'!D:D)</f>
        <v>Thermowood</v>
      </c>
      <c r="H209" s="10">
        <f>_xlfn.XLOOKUP(E209,'Base SKUs'!E:E,'Base SKUs'!S:S)</f>
        <v>5.5859999999999998E-3</v>
      </c>
      <c r="I209" s="9">
        <f t="shared" si="3"/>
        <v>7.2999999999999995E-2</v>
      </c>
      <c r="J209" t="str">
        <f>_xlfn.XLOOKUP(E209,'Base SKUs'!E:E,'Base SKUs'!G:G)</f>
        <v>Maximo Thermo Ayous</v>
      </c>
      <c r="K209" t="str">
        <f>_xlfn.XLOOKUP(E209,'Base SKUs'!E:E,'Base SKUs'!H:H)</f>
        <v>VJoint - Nickel Gap</v>
      </c>
      <c r="L209" t="str">
        <f>_xlfn.XLOOKUP(E209,'Base SKUs'!E:E,'Base SKUs'!I:I)</f>
        <v>-</v>
      </c>
      <c r="M209" t="str">
        <f>_xlfn.XLOOKUP(E209,'Base SKUs'!E:E,'Base SKUs'!J:J)</f>
        <v>1x6</v>
      </c>
      <c r="N209">
        <f>_xlfn.XLOOKUP(E209,'Base SKUs'!E:E,'Base SKUs'!K:K)</f>
        <v>7</v>
      </c>
      <c r="O209" t="str">
        <f>_xlfn.XLOOKUP(E209,'Base SKUs'!E:E,'Base SKUs'!C:C)</f>
        <v>Short</v>
      </c>
      <c r="P209" t="s">
        <v>4923</v>
      </c>
    </row>
    <row r="210" spans="1:16" hidden="1" x14ac:dyDescent="0.25">
      <c r="A210" t="s">
        <v>202</v>
      </c>
      <c r="B210" t="s">
        <v>7</v>
      </c>
      <c r="C210" t="s">
        <v>203</v>
      </c>
      <c r="D210">
        <v>9007</v>
      </c>
      <c r="E210" t="s">
        <v>23</v>
      </c>
      <c r="F210">
        <v>26</v>
      </c>
      <c r="G210" t="str">
        <f>_xlfn.XLOOKUP(E210,'Base SKUs'!E:E,'Base SKUs'!D:D)</f>
        <v>Thermowood</v>
      </c>
      <c r="H210" s="10">
        <f>_xlfn.XLOOKUP(E210,'Base SKUs'!E:E,'Base SKUs'!S:S)</f>
        <v>6.3839999999999999E-3</v>
      </c>
      <c r="I210" s="9">
        <f t="shared" si="3"/>
        <v>0.16600000000000001</v>
      </c>
      <c r="J210" t="str">
        <f>_xlfn.XLOOKUP(E210,'Base SKUs'!E:E,'Base SKUs'!G:G)</f>
        <v>Maximo Thermo Ayous</v>
      </c>
      <c r="K210" t="str">
        <f>_xlfn.XLOOKUP(E210,'Base SKUs'!E:E,'Base SKUs'!H:H)</f>
        <v>VJoint - Nickel Gap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8</v>
      </c>
      <c r="O210" t="str">
        <f>_xlfn.XLOOKUP(E210,'Base SKUs'!E:E,'Base SKUs'!C:C)</f>
        <v>Long</v>
      </c>
      <c r="P210" t="s">
        <v>4923</v>
      </c>
    </row>
    <row r="211" spans="1:16" hidden="1" x14ac:dyDescent="0.25">
      <c r="A211" t="s">
        <v>202</v>
      </c>
      <c r="B211" t="s">
        <v>7</v>
      </c>
      <c r="C211" t="s">
        <v>203</v>
      </c>
      <c r="D211">
        <v>9007</v>
      </c>
      <c r="E211" t="s">
        <v>186</v>
      </c>
      <c r="F211">
        <v>6</v>
      </c>
      <c r="G211" t="str">
        <f>_xlfn.XLOOKUP(E211,'Base SKUs'!E:E,'Base SKUs'!D:D)</f>
        <v>Thermowood</v>
      </c>
      <c r="H211" s="10">
        <f>_xlfn.XLOOKUP(E211,'Base SKUs'!E:E,'Base SKUs'!S:S)</f>
        <v>7.182E-3</v>
      </c>
      <c r="I211" s="9">
        <f t="shared" si="3"/>
        <v>4.2999999999999997E-2</v>
      </c>
      <c r="J211" t="str">
        <f>_xlfn.XLOOKUP(E211,'Base SKUs'!E:E,'Base SKUs'!G:G)</f>
        <v>Maximo Thermo Ayous</v>
      </c>
      <c r="K211" t="str">
        <f>_xlfn.XLOOKUP(E211,'Base SKUs'!E:E,'Base SKUs'!H:H)</f>
        <v>VJoint - Nickel Gap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9</v>
      </c>
      <c r="O211" t="str">
        <f>_xlfn.XLOOKUP(E211,'Base SKUs'!E:E,'Base SKUs'!C:C)</f>
        <v>Long</v>
      </c>
      <c r="P211" t="s">
        <v>4923</v>
      </c>
    </row>
    <row r="212" spans="1:16" hidden="1" x14ac:dyDescent="0.25">
      <c r="A212" t="s">
        <v>202</v>
      </c>
      <c r="B212" t="s">
        <v>7</v>
      </c>
      <c r="C212" t="s">
        <v>203</v>
      </c>
      <c r="D212">
        <v>9007</v>
      </c>
      <c r="E212" t="s">
        <v>67</v>
      </c>
      <c r="F212">
        <v>42</v>
      </c>
      <c r="G212" t="str">
        <f>_xlfn.XLOOKUP(E212,'Base SKUs'!E:E,'Base SKUs'!D:D)</f>
        <v>Thermowood</v>
      </c>
      <c r="H212" s="10">
        <f>_xlfn.XLOOKUP(E212,'Base SKUs'!E:E,'Base SKUs'!S:S)</f>
        <v>7.980000000000001E-3</v>
      </c>
      <c r="I212" s="9">
        <f t="shared" si="3"/>
        <v>0.33500000000000002</v>
      </c>
      <c r="J212" t="str">
        <f>_xlfn.XLOOKUP(E212,'Base SKUs'!E:E,'Base SKUs'!G:G)</f>
        <v>Maximo Thermo Ayous</v>
      </c>
      <c r="K212" t="str">
        <f>_xlfn.XLOOKUP(E212,'Base SKUs'!E:E,'Base SKUs'!H:H)</f>
        <v>VJoint - Nickel Gap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10</v>
      </c>
      <c r="O212" t="str">
        <f>_xlfn.XLOOKUP(E212,'Base SKUs'!E:E,'Base SKUs'!C:C)</f>
        <v>Long</v>
      </c>
      <c r="P212" t="s">
        <v>4923</v>
      </c>
    </row>
    <row r="213" spans="1:16" hidden="1" x14ac:dyDescent="0.25">
      <c r="A213" t="s">
        <v>202</v>
      </c>
      <c r="B213" t="s">
        <v>7</v>
      </c>
      <c r="C213" t="s">
        <v>203</v>
      </c>
      <c r="D213">
        <v>9007</v>
      </c>
      <c r="E213" t="s">
        <v>68</v>
      </c>
      <c r="F213">
        <v>22</v>
      </c>
      <c r="G213" t="str">
        <f>_xlfn.XLOOKUP(E213,'Base SKUs'!E:E,'Base SKUs'!D:D)</f>
        <v>Thermowood</v>
      </c>
      <c r="H213" s="10">
        <f>_xlfn.XLOOKUP(E213,'Base SKUs'!E:E,'Base SKUs'!S:S)</f>
        <v>8.7779999999999993E-3</v>
      </c>
      <c r="I213" s="9">
        <f t="shared" si="3"/>
        <v>0.193</v>
      </c>
      <c r="J213" t="str">
        <f>_xlfn.XLOOKUP(E213,'Base SKUs'!E:E,'Base SKUs'!G:G)</f>
        <v>Maximo Thermo Ayous</v>
      </c>
      <c r="K213" t="str">
        <f>_xlfn.XLOOKUP(E213,'Base SKUs'!E:E,'Base SKUs'!H:H)</f>
        <v>VJoint - Nickel Gap</v>
      </c>
      <c r="L213" t="str">
        <f>_xlfn.XLOOKUP(E213,'Base SKUs'!E:E,'Base SKUs'!I:I)</f>
        <v>-</v>
      </c>
      <c r="M213" t="str">
        <f>_xlfn.XLOOKUP(E213,'Base SKUs'!E:E,'Base SKUs'!J:J)</f>
        <v>1x6</v>
      </c>
      <c r="N213">
        <f>_xlfn.XLOOKUP(E213,'Base SKUs'!E:E,'Base SKUs'!K:K)</f>
        <v>11</v>
      </c>
      <c r="O213" t="str">
        <f>_xlfn.XLOOKUP(E213,'Base SKUs'!E:E,'Base SKUs'!C:C)</f>
        <v>Long</v>
      </c>
      <c r="P213" t="s">
        <v>4923</v>
      </c>
    </row>
    <row r="214" spans="1:16" hidden="1" x14ac:dyDescent="0.25">
      <c r="A214" t="s">
        <v>202</v>
      </c>
      <c r="B214" t="s">
        <v>7</v>
      </c>
      <c r="C214" t="s">
        <v>203</v>
      </c>
      <c r="D214">
        <v>9007</v>
      </c>
      <c r="E214" t="s">
        <v>150</v>
      </c>
      <c r="F214">
        <v>11</v>
      </c>
      <c r="G214" t="str">
        <f>_xlfn.XLOOKUP(E214,'Base SKUs'!E:E,'Base SKUs'!D:D)</f>
        <v>Thermowood</v>
      </c>
      <c r="H214" s="10">
        <f>_xlfn.XLOOKUP(E214,'Base SKUs'!E:E,'Base SKUs'!S:S)</f>
        <v>9.5760000000000012E-3</v>
      </c>
      <c r="I214" s="9">
        <f t="shared" si="3"/>
        <v>0.105</v>
      </c>
      <c r="J214" t="str">
        <f>_xlfn.XLOOKUP(E214,'Base SKUs'!E:E,'Base SKUs'!G:G)</f>
        <v>Maximo Thermo Ayous</v>
      </c>
      <c r="K214" t="str">
        <f>_xlfn.XLOOKUP(E214,'Base SKUs'!E:E,'Base SKUs'!H:H)</f>
        <v>VJoint - Nickel Gap</v>
      </c>
      <c r="L214" t="str">
        <f>_xlfn.XLOOKUP(E214,'Base SKUs'!E:E,'Base SKUs'!I:I)</f>
        <v>-</v>
      </c>
      <c r="M214" t="str">
        <f>_xlfn.XLOOKUP(E214,'Base SKUs'!E:E,'Base SKUs'!J:J)</f>
        <v>1x6</v>
      </c>
      <c r="N214">
        <f>_xlfn.XLOOKUP(E214,'Base SKUs'!E:E,'Base SKUs'!K:K)</f>
        <v>12</v>
      </c>
      <c r="O214" t="str">
        <f>_xlfn.XLOOKUP(E214,'Base SKUs'!E:E,'Base SKUs'!C:C)</f>
        <v>Long</v>
      </c>
      <c r="P214" t="s">
        <v>4923</v>
      </c>
    </row>
    <row r="215" spans="1:16" hidden="1" x14ac:dyDescent="0.25">
      <c r="A215" t="s">
        <v>205</v>
      </c>
      <c r="B215" t="s">
        <v>7</v>
      </c>
      <c r="C215" t="s">
        <v>8</v>
      </c>
      <c r="D215">
        <v>9011</v>
      </c>
      <c r="E215" t="s">
        <v>206</v>
      </c>
      <c r="F215">
        <v>84</v>
      </c>
      <c r="G215" t="str">
        <f>_xlfn.XLOOKUP(E215,'Base SKUs'!E:E,'Base SKUs'!D:D)</f>
        <v>Hardwoods</v>
      </c>
      <c r="H215" s="10">
        <f>_xlfn.XLOOKUP(E215,'Base SKUs'!E:E,'Base SKUs'!S:S)</f>
        <v>1.9467832031999997E-2</v>
      </c>
      <c r="I215" s="9">
        <f t="shared" si="3"/>
        <v>1.635</v>
      </c>
      <c r="J215" t="str">
        <f>_xlfn.XLOOKUP(E215,'Base SKUs'!E:E,'Base SKUs'!G:G)</f>
        <v>Ipe</v>
      </c>
      <c r="K215" t="str">
        <f>_xlfn.XLOOKUP(E215,'Base SKUs'!E:E,'Base SKUs'!H:H)</f>
        <v>S4S E4E</v>
      </c>
      <c r="L215" t="str">
        <f>_xlfn.XLOOKUP(E215,'Base SKUs'!E:E,'Base SKUs'!I:I)</f>
        <v>-</v>
      </c>
      <c r="M215" t="str">
        <f>_xlfn.XLOOKUP(E215,'Base SKUs'!E:E,'Base SKUs'!J:J)</f>
        <v>2x6</v>
      </c>
      <c r="N215">
        <f>_xlfn.XLOOKUP(E215,'Base SKUs'!E:E,'Base SKUs'!K:K)</f>
        <v>12</v>
      </c>
      <c r="O215" t="str">
        <f>_xlfn.XLOOKUP(E215,'Base SKUs'!E:E,'Base SKUs'!C:C)</f>
        <v>Long</v>
      </c>
      <c r="P215" t="s">
        <v>4923</v>
      </c>
    </row>
    <row r="216" spans="1:16" hidden="1" x14ac:dyDescent="0.25">
      <c r="A216" t="s">
        <v>205</v>
      </c>
      <c r="B216" t="s">
        <v>7</v>
      </c>
      <c r="C216" t="s">
        <v>8</v>
      </c>
      <c r="D216">
        <v>9011</v>
      </c>
      <c r="E216" t="s">
        <v>206</v>
      </c>
      <c r="F216">
        <v>12</v>
      </c>
      <c r="G216" t="str">
        <f>_xlfn.XLOOKUP(E216,'Base SKUs'!E:E,'Base SKUs'!D:D)</f>
        <v>Hardwoods</v>
      </c>
      <c r="H216" s="10">
        <f>_xlfn.XLOOKUP(E216,'Base SKUs'!E:E,'Base SKUs'!S:S)</f>
        <v>1.9467832031999997E-2</v>
      </c>
      <c r="I216" s="9">
        <f t="shared" si="3"/>
        <v>0.23400000000000001</v>
      </c>
      <c r="J216" t="str">
        <f>_xlfn.XLOOKUP(E216,'Base SKUs'!E:E,'Base SKUs'!G:G)</f>
        <v>Ipe</v>
      </c>
      <c r="K216" t="str">
        <f>_xlfn.XLOOKUP(E216,'Base SKUs'!E:E,'Base SKUs'!H:H)</f>
        <v>S4S E4E</v>
      </c>
      <c r="L216" t="str">
        <f>_xlfn.XLOOKUP(E216,'Base SKUs'!E:E,'Base SKUs'!I:I)</f>
        <v>-</v>
      </c>
      <c r="M216" t="str">
        <f>_xlfn.XLOOKUP(E216,'Base SKUs'!E:E,'Base SKUs'!J:J)</f>
        <v>2x6</v>
      </c>
      <c r="N216">
        <f>_xlfn.XLOOKUP(E216,'Base SKUs'!E:E,'Base SKUs'!K:K)</f>
        <v>12</v>
      </c>
      <c r="O216" t="str">
        <f>_xlfn.XLOOKUP(E216,'Base SKUs'!E:E,'Base SKUs'!C:C)</f>
        <v>Long</v>
      </c>
      <c r="P216" t="s">
        <v>4923</v>
      </c>
    </row>
    <row r="217" spans="1:16" hidden="1" x14ac:dyDescent="0.25">
      <c r="A217" t="s">
        <v>207</v>
      </c>
      <c r="B217" t="s">
        <v>19</v>
      </c>
      <c r="C217" t="s">
        <v>20</v>
      </c>
      <c r="D217">
        <v>9007</v>
      </c>
      <c r="E217" t="s">
        <v>208</v>
      </c>
      <c r="F217">
        <v>17</v>
      </c>
      <c r="G217" t="str">
        <f>_xlfn.XLOOKUP(E217,'Base SKUs'!E:E,'Base SKUs'!D:D)</f>
        <v>Thermowood</v>
      </c>
      <c r="H217" s="10">
        <f>_xlfn.XLOOKUP(E217,'Base SKUs'!E:E,'Base SKUs'!S:S)</f>
        <v>4.7880000000000006E-3</v>
      </c>
      <c r="I217" s="9">
        <f t="shared" si="3"/>
        <v>8.1000000000000003E-2</v>
      </c>
      <c r="J217" t="str">
        <f>_xlfn.XLOOKUP(E217,'Base SKUs'!E:E,'Base SKUs'!G:G)</f>
        <v>Maximo Thermo Ayous</v>
      </c>
      <c r="K217" t="str">
        <f>_xlfn.XLOOKUP(E217,'Base SKUs'!E:E,'Base SKUs'!H:H)</f>
        <v>S4S E4E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6</v>
      </c>
      <c r="O217" t="str">
        <f>_xlfn.XLOOKUP(E217,'Base SKUs'!E:E,'Base SKUs'!C:C)</f>
        <v>Short</v>
      </c>
      <c r="P217" t="s">
        <v>4926</v>
      </c>
    </row>
    <row r="218" spans="1:16" hidden="1" x14ac:dyDescent="0.25">
      <c r="A218" t="s">
        <v>207</v>
      </c>
      <c r="B218" t="s">
        <v>19</v>
      </c>
      <c r="C218" t="s">
        <v>20</v>
      </c>
      <c r="D218">
        <v>9007</v>
      </c>
      <c r="E218" t="s">
        <v>209</v>
      </c>
      <c r="F218">
        <v>167</v>
      </c>
      <c r="G218" t="str">
        <f>_xlfn.XLOOKUP(E218,'Base SKUs'!E:E,'Base SKUs'!D:D)</f>
        <v>Thermowood</v>
      </c>
      <c r="H218" s="10">
        <f>_xlfn.XLOOKUP(E218,'Base SKUs'!E:E,'Base SKUs'!S:S)</f>
        <v>5.5859999999999998E-3</v>
      </c>
      <c r="I218" s="9">
        <f t="shared" si="3"/>
        <v>0.93300000000000005</v>
      </c>
      <c r="J218" t="str">
        <f>_xlfn.XLOOKUP(E218,'Base SKUs'!E:E,'Base SKUs'!G:G)</f>
        <v>Maximo Thermo Ayous</v>
      </c>
      <c r="K218" t="str">
        <f>_xlfn.XLOOKUP(E218,'Base SKUs'!E:E,'Base SKUs'!H:H)</f>
        <v>S4S E4E</v>
      </c>
      <c r="L218" t="str">
        <f>_xlfn.XLOOKUP(E218,'Base SKUs'!E:E,'Base SKUs'!I:I)</f>
        <v>-</v>
      </c>
      <c r="M218" t="str">
        <f>_xlfn.XLOOKUP(E218,'Base SKUs'!E:E,'Base SKUs'!J:J)</f>
        <v>1x6</v>
      </c>
      <c r="N218">
        <f>_xlfn.XLOOKUP(E218,'Base SKUs'!E:E,'Base SKUs'!K:K)</f>
        <v>7</v>
      </c>
      <c r="O218" t="str">
        <f>_xlfn.XLOOKUP(E218,'Base SKUs'!E:E,'Base SKUs'!C:C)</f>
        <v>Short</v>
      </c>
      <c r="P218" t="s">
        <v>4926</v>
      </c>
    </row>
    <row r="219" spans="1:16" hidden="1" x14ac:dyDescent="0.25">
      <c r="A219" t="s">
        <v>207</v>
      </c>
      <c r="B219" t="s">
        <v>19</v>
      </c>
      <c r="C219" t="s">
        <v>20</v>
      </c>
      <c r="D219">
        <v>9007</v>
      </c>
      <c r="E219" t="s">
        <v>210</v>
      </c>
      <c r="F219">
        <v>245</v>
      </c>
      <c r="G219" t="str">
        <f>_xlfn.XLOOKUP(E219,'Base SKUs'!E:E,'Base SKUs'!D:D)</f>
        <v>Thermowood</v>
      </c>
      <c r="H219" s="10">
        <f>_xlfn.XLOOKUP(E219,'Base SKUs'!E:E,'Base SKUs'!S:S)</f>
        <v>6.3839999999999999E-3</v>
      </c>
      <c r="I219" s="9">
        <f t="shared" si="3"/>
        <v>1.5640000000000001</v>
      </c>
      <c r="J219" t="str">
        <f>_xlfn.XLOOKUP(E219,'Base SKUs'!E:E,'Base SKUs'!G:G)</f>
        <v>Maximo Thermo Ayous</v>
      </c>
      <c r="K219" t="str">
        <f>_xlfn.XLOOKUP(E219,'Base SKUs'!E:E,'Base SKUs'!H:H)</f>
        <v>S4S E4E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8</v>
      </c>
      <c r="O219" t="str">
        <f>_xlfn.XLOOKUP(E219,'Base SKUs'!E:E,'Base SKUs'!C:C)</f>
        <v>Long</v>
      </c>
      <c r="P219" t="s">
        <v>4926</v>
      </c>
    </row>
    <row r="220" spans="1:16" hidden="1" x14ac:dyDescent="0.25">
      <c r="A220" t="s">
        <v>207</v>
      </c>
      <c r="B220" t="s">
        <v>19</v>
      </c>
      <c r="C220" t="s">
        <v>20</v>
      </c>
      <c r="D220">
        <v>9007</v>
      </c>
      <c r="E220" t="s">
        <v>212</v>
      </c>
      <c r="F220">
        <v>260</v>
      </c>
      <c r="G220" t="str">
        <f>_xlfn.XLOOKUP(E220,'Base SKUs'!E:E,'Base SKUs'!D:D)</f>
        <v>Thermowood</v>
      </c>
      <c r="H220" s="10">
        <f>_xlfn.XLOOKUP(E220,'Base SKUs'!E:E,'Base SKUs'!S:S)</f>
        <v>7.980000000000001E-3</v>
      </c>
      <c r="I220" s="9">
        <f t="shared" si="3"/>
        <v>2.0750000000000002</v>
      </c>
      <c r="J220" t="str">
        <f>_xlfn.XLOOKUP(E220,'Base SKUs'!E:E,'Base SKUs'!G:G)</f>
        <v>Maximo Thermo Ayous</v>
      </c>
      <c r="K220" t="str">
        <f>_xlfn.XLOOKUP(E220,'Base SKUs'!E:E,'Base SKUs'!H:H)</f>
        <v>S4S E4E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10</v>
      </c>
      <c r="O220" t="str">
        <f>_xlfn.XLOOKUP(E220,'Base SKUs'!E:E,'Base SKUs'!C:C)</f>
        <v>Long</v>
      </c>
      <c r="P220" t="s">
        <v>4926</v>
      </c>
    </row>
    <row r="221" spans="1:16" hidden="1" x14ac:dyDescent="0.25">
      <c r="A221" t="s">
        <v>207</v>
      </c>
      <c r="B221" t="s">
        <v>19</v>
      </c>
      <c r="C221" t="s">
        <v>20</v>
      </c>
      <c r="D221">
        <v>9007</v>
      </c>
      <c r="E221" t="s">
        <v>213</v>
      </c>
      <c r="F221">
        <v>75</v>
      </c>
      <c r="G221" t="str">
        <f>_xlfn.XLOOKUP(E221,'Base SKUs'!E:E,'Base SKUs'!D:D)</f>
        <v>Thermowood</v>
      </c>
      <c r="H221" s="10">
        <f>_xlfn.XLOOKUP(E221,'Base SKUs'!E:E,'Base SKUs'!S:S)</f>
        <v>1.0374000000000001E-2</v>
      </c>
      <c r="I221" s="9">
        <f t="shared" si="3"/>
        <v>0.77800000000000002</v>
      </c>
      <c r="J221" t="str">
        <f>_xlfn.XLOOKUP(E221,'Base SKUs'!E:E,'Base SKUs'!G:G)</f>
        <v>Maximo Thermo Ayous</v>
      </c>
      <c r="K221" t="str">
        <f>_xlfn.XLOOKUP(E221,'Base SKUs'!E:E,'Base SKUs'!H:H)</f>
        <v>S4S E4E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13</v>
      </c>
      <c r="O221" t="str">
        <f>_xlfn.XLOOKUP(E221,'Base SKUs'!E:E,'Base SKUs'!C:C)</f>
        <v>Long</v>
      </c>
      <c r="P221" t="s">
        <v>4926</v>
      </c>
    </row>
    <row r="222" spans="1:16" hidden="1" x14ac:dyDescent="0.25">
      <c r="A222" t="s">
        <v>207</v>
      </c>
      <c r="B222" t="s">
        <v>19</v>
      </c>
      <c r="C222" t="s">
        <v>20</v>
      </c>
      <c r="D222">
        <v>9007</v>
      </c>
      <c r="E222" t="s">
        <v>216</v>
      </c>
      <c r="F222">
        <v>174</v>
      </c>
      <c r="G222" t="str">
        <f>_xlfn.XLOOKUP(E222,'Base SKUs'!E:E,'Base SKUs'!D:D)</f>
        <v>Thermowood</v>
      </c>
      <c r="H222" s="10">
        <f>_xlfn.XLOOKUP(E222,'Base SKUs'!E:E,'Base SKUs'!S:S)</f>
        <v>1.2768E-2</v>
      </c>
      <c r="I222" s="9">
        <f t="shared" si="3"/>
        <v>2.222</v>
      </c>
      <c r="J222" t="str">
        <f>_xlfn.XLOOKUP(E222,'Base SKUs'!E:E,'Base SKUs'!G:G)</f>
        <v>Maximo Thermo Ayous</v>
      </c>
      <c r="K222" t="str">
        <f>_xlfn.XLOOKUP(E222,'Base SKUs'!E:E,'Base SKUs'!H:H)</f>
        <v>S4S E4E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16</v>
      </c>
      <c r="O222" t="str">
        <f>_xlfn.XLOOKUP(E222,'Base SKUs'!E:E,'Base SKUs'!C:C)</f>
        <v>Long</v>
      </c>
      <c r="P222" t="s">
        <v>4926</v>
      </c>
    </row>
    <row r="223" spans="1:16" hidden="1" x14ac:dyDescent="0.25">
      <c r="A223" t="s">
        <v>217</v>
      </c>
      <c r="B223" t="s">
        <v>19</v>
      </c>
      <c r="C223" t="s">
        <v>20</v>
      </c>
      <c r="D223">
        <v>9011</v>
      </c>
      <c r="E223" t="s">
        <v>120</v>
      </c>
      <c r="F223">
        <v>128</v>
      </c>
      <c r="G223" t="str">
        <f>_xlfn.XLOOKUP(E223,'Base SKUs'!E:E,'Base SKUs'!D:D)</f>
        <v>Thermowood</v>
      </c>
      <c r="H223" s="10">
        <f>_xlfn.XLOOKUP(E223,'Base SKUs'!E:E,'Base SKUs'!S:S)</f>
        <v>3.192E-3</v>
      </c>
      <c r="I223" s="9">
        <f t="shared" si="3"/>
        <v>0.40899999999999997</v>
      </c>
      <c r="J223" t="str">
        <f>_xlfn.XLOOKUP(E223,'Base SKUs'!E:E,'Base SKUs'!G:G)</f>
        <v>Maximo Thermo Ayous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4</v>
      </c>
      <c r="O223" t="str">
        <f>_xlfn.XLOOKUP(E223,'Base SKUs'!E:E,'Base SKUs'!C:C)</f>
        <v>Short</v>
      </c>
      <c r="P223" t="s">
        <v>4926</v>
      </c>
    </row>
    <row r="224" spans="1:16" hidden="1" x14ac:dyDescent="0.25">
      <c r="A224" t="s">
        <v>217</v>
      </c>
      <c r="B224" t="s">
        <v>19</v>
      </c>
      <c r="C224" t="s">
        <v>20</v>
      </c>
      <c r="D224">
        <v>9011</v>
      </c>
      <c r="E224" t="s">
        <v>121</v>
      </c>
      <c r="F224">
        <v>65</v>
      </c>
      <c r="G224" t="str">
        <f>_xlfn.XLOOKUP(E224,'Base SKUs'!E:E,'Base SKUs'!D:D)</f>
        <v>Thermowood</v>
      </c>
      <c r="H224" s="10">
        <f>_xlfn.XLOOKUP(E224,'Base SKUs'!E:E,'Base SKUs'!S:S)</f>
        <v>4.7880000000000006E-3</v>
      </c>
      <c r="I224" s="9">
        <f t="shared" si="3"/>
        <v>0.311</v>
      </c>
      <c r="J224" t="str">
        <f>_xlfn.XLOOKUP(E224,'Base SKUs'!E:E,'Base SKUs'!G:G)</f>
        <v>Maximo Thermo Ayous</v>
      </c>
      <c r="K224" t="str">
        <f>_xlfn.XLOOKUP(E224,'Base SKUs'!E:E,'Base SKUs'!H:H)</f>
        <v>VJoint - Nickel Gap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6</v>
      </c>
      <c r="O224" t="str">
        <f>_xlfn.XLOOKUP(E224,'Base SKUs'!E:E,'Base SKUs'!C:C)</f>
        <v>Short</v>
      </c>
      <c r="P224" t="s">
        <v>4926</v>
      </c>
    </row>
    <row r="225" spans="1:16" hidden="1" x14ac:dyDescent="0.25">
      <c r="A225" t="s">
        <v>217</v>
      </c>
      <c r="B225" t="s">
        <v>19</v>
      </c>
      <c r="C225" t="s">
        <v>20</v>
      </c>
      <c r="D225">
        <v>9011</v>
      </c>
      <c r="E225" t="s">
        <v>122</v>
      </c>
      <c r="F225">
        <v>25</v>
      </c>
      <c r="G225" t="str">
        <f>_xlfn.XLOOKUP(E225,'Base SKUs'!E:E,'Base SKUs'!D:D)</f>
        <v>Thermowood</v>
      </c>
      <c r="H225" s="10">
        <f>_xlfn.XLOOKUP(E225,'Base SKUs'!E:E,'Base SKUs'!S:S)</f>
        <v>5.5859999999999998E-3</v>
      </c>
      <c r="I225" s="9">
        <f t="shared" si="3"/>
        <v>0.14000000000000001</v>
      </c>
      <c r="J225" t="str">
        <f>_xlfn.XLOOKUP(E225,'Base SKUs'!E:E,'Base SKUs'!G:G)</f>
        <v>Maximo Thermo Ayous</v>
      </c>
      <c r="K225" t="str">
        <f>_xlfn.XLOOKUP(E225,'Base SKUs'!E:E,'Base SKUs'!H:H)</f>
        <v>VJoint - Nickel Gap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7</v>
      </c>
      <c r="O225" t="str">
        <f>_xlfn.XLOOKUP(E225,'Base SKUs'!E:E,'Base SKUs'!C:C)</f>
        <v>Short</v>
      </c>
      <c r="P225" t="s">
        <v>4926</v>
      </c>
    </row>
    <row r="226" spans="1:16" hidden="1" x14ac:dyDescent="0.25">
      <c r="A226" t="s">
        <v>217</v>
      </c>
      <c r="B226" t="s">
        <v>19</v>
      </c>
      <c r="C226" t="s">
        <v>20</v>
      </c>
      <c r="D226">
        <v>9011</v>
      </c>
      <c r="E226" t="s">
        <v>186</v>
      </c>
      <c r="F226">
        <v>29</v>
      </c>
      <c r="G226" t="str">
        <f>_xlfn.XLOOKUP(E226,'Base SKUs'!E:E,'Base SKUs'!D:D)</f>
        <v>Thermowood</v>
      </c>
      <c r="H226" s="10">
        <f>_xlfn.XLOOKUP(E226,'Base SKUs'!E:E,'Base SKUs'!S:S)</f>
        <v>7.182E-3</v>
      </c>
      <c r="I226" s="9">
        <f t="shared" si="3"/>
        <v>0.20799999999999999</v>
      </c>
      <c r="J226" t="str">
        <f>_xlfn.XLOOKUP(E226,'Base SKUs'!E:E,'Base SKUs'!G:G)</f>
        <v>Maximo Thermo Ayous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9</v>
      </c>
      <c r="O226" t="str">
        <f>_xlfn.XLOOKUP(E226,'Base SKUs'!E:E,'Base SKUs'!C:C)</f>
        <v>Long</v>
      </c>
      <c r="P226" t="s">
        <v>4926</v>
      </c>
    </row>
    <row r="227" spans="1:16" hidden="1" x14ac:dyDescent="0.25">
      <c r="A227" t="s">
        <v>217</v>
      </c>
      <c r="B227" t="s">
        <v>19</v>
      </c>
      <c r="C227" t="s">
        <v>20</v>
      </c>
      <c r="D227">
        <v>9011</v>
      </c>
      <c r="E227" t="s">
        <v>67</v>
      </c>
      <c r="F227">
        <v>89</v>
      </c>
      <c r="G227" t="str">
        <f>_xlfn.XLOOKUP(E227,'Base SKUs'!E:E,'Base SKUs'!D:D)</f>
        <v>Thermowood</v>
      </c>
      <c r="H227" s="10">
        <f>_xlfn.XLOOKUP(E227,'Base SKUs'!E:E,'Base SKUs'!S:S)</f>
        <v>7.980000000000001E-3</v>
      </c>
      <c r="I227" s="9">
        <f t="shared" si="3"/>
        <v>0.71</v>
      </c>
      <c r="J227" t="str">
        <f>_xlfn.XLOOKUP(E227,'Base SKUs'!E:E,'Base SKUs'!G:G)</f>
        <v>Maximo Thermo Ayous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10</v>
      </c>
      <c r="O227" t="str">
        <f>_xlfn.XLOOKUP(E227,'Base SKUs'!E:E,'Base SKUs'!C:C)</f>
        <v>Long</v>
      </c>
      <c r="P227" t="s">
        <v>4926</v>
      </c>
    </row>
    <row r="228" spans="1:16" hidden="1" x14ac:dyDescent="0.25">
      <c r="A228" t="s">
        <v>217</v>
      </c>
      <c r="B228" t="s">
        <v>19</v>
      </c>
      <c r="C228" t="s">
        <v>20</v>
      </c>
      <c r="D228">
        <v>9011</v>
      </c>
      <c r="E228" t="s">
        <v>68</v>
      </c>
      <c r="F228">
        <v>27</v>
      </c>
      <c r="G228" t="str">
        <f>_xlfn.XLOOKUP(E228,'Base SKUs'!E:E,'Base SKUs'!D:D)</f>
        <v>Thermowood</v>
      </c>
      <c r="H228" s="10">
        <f>_xlfn.XLOOKUP(E228,'Base SKUs'!E:E,'Base SKUs'!S:S)</f>
        <v>8.7779999999999993E-3</v>
      </c>
      <c r="I228" s="9">
        <f t="shared" si="3"/>
        <v>0.23699999999999999</v>
      </c>
      <c r="J228" t="str">
        <f>_xlfn.XLOOKUP(E228,'Base SKUs'!E:E,'Base SKUs'!G:G)</f>
        <v>Maximo Thermo Ayous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11</v>
      </c>
      <c r="O228" t="str">
        <f>_xlfn.XLOOKUP(E228,'Base SKUs'!E:E,'Base SKUs'!C:C)</f>
        <v>Long</v>
      </c>
      <c r="P228" t="s">
        <v>4926</v>
      </c>
    </row>
    <row r="229" spans="1:16" hidden="1" x14ac:dyDescent="0.25">
      <c r="A229" t="s">
        <v>217</v>
      </c>
      <c r="B229" t="s">
        <v>19</v>
      </c>
      <c r="C229" t="s">
        <v>20</v>
      </c>
      <c r="D229">
        <v>9011</v>
      </c>
      <c r="E229" t="s">
        <v>150</v>
      </c>
      <c r="F229">
        <v>62</v>
      </c>
      <c r="G229" t="str">
        <f>_xlfn.XLOOKUP(E229,'Base SKUs'!E:E,'Base SKUs'!D:D)</f>
        <v>Thermowood</v>
      </c>
      <c r="H229" s="10">
        <f>_xlfn.XLOOKUP(E229,'Base SKUs'!E:E,'Base SKUs'!S:S)</f>
        <v>9.5760000000000012E-3</v>
      </c>
      <c r="I229" s="9">
        <f t="shared" si="3"/>
        <v>0.59399999999999997</v>
      </c>
      <c r="J229" t="str">
        <f>_xlfn.XLOOKUP(E229,'Base SKUs'!E:E,'Base SKUs'!G:G)</f>
        <v>Maximo Thermo Ayous</v>
      </c>
      <c r="K229" t="str">
        <f>_xlfn.XLOOKUP(E229,'Base SKUs'!E:E,'Base SKUs'!H:H)</f>
        <v>VJoint - Nickel Gap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12</v>
      </c>
      <c r="O229" t="str">
        <f>_xlfn.XLOOKUP(E229,'Base SKUs'!E:E,'Base SKUs'!C:C)</f>
        <v>Long</v>
      </c>
      <c r="P229" t="s">
        <v>4926</v>
      </c>
    </row>
    <row r="230" spans="1:16" hidden="1" x14ac:dyDescent="0.25">
      <c r="A230" t="s">
        <v>217</v>
      </c>
      <c r="B230" t="s">
        <v>19</v>
      </c>
      <c r="C230" t="s">
        <v>20</v>
      </c>
      <c r="D230">
        <v>9011</v>
      </c>
      <c r="E230" t="s">
        <v>163</v>
      </c>
      <c r="F230">
        <v>96</v>
      </c>
      <c r="G230" t="str">
        <f>_xlfn.XLOOKUP(E230,'Base SKUs'!E:E,'Base SKUs'!D:D)</f>
        <v>Thermowood</v>
      </c>
      <c r="H230" s="10">
        <f>_xlfn.XLOOKUP(E230,'Base SKUs'!E:E,'Base SKUs'!S:S)</f>
        <v>1.0374000000000001E-2</v>
      </c>
      <c r="I230" s="9">
        <f t="shared" si="3"/>
        <v>0.996</v>
      </c>
      <c r="J230" t="str">
        <f>_xlfn.XLOOKUP(E230,'Base SKUs'!E:E,'Base SKUs'!G:G)</f>
        <v>Maximo Thermo Ayous</v>
      </c>
      <c r="K230" t="str">
        <f>_xlfn.XLOOKUP(E230,'Base SKUs'!E:E,'Base SKUs'!H:H)</f>
        <v>VJoint - Nickel Gap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13</v>
      </c>
      <c r="O230" t="str">
        <f>_xlfn.XLOOKUP(E230,'Base SKUs'!E:E,'Base SKUs'!C:C)</f>
        <v>Long</v>
      </c>
      <c r="P230" t="s">
        <v>4926</v>
      </c>
    </row>
    <row r="231" spans="1:16" hidden="1" x14ac:dyDescent="0.25">
      <c r="A231" t="s">
        <v>217</v>
      </c>
      <c r="B231" t="s">
        <v>19</v>
      </c>
      <c r="C231" t="s">
        <v>20</v>
      </c>
      <c r="D231">
        <v>9011</v>
      </c>
      <c r="E231" t="s">
        <v>9</v>
      </c>
      <c r="F231">
        <v>69</v>
      </c>
      <c r="G231" t="str">
        <f>_xlfn.XLOOKUP(E231,'Base SKUs'!E:E,'Base SKUs'!D:D)</f>
        <v>Thermowood</v>
      </c>
      <c r="H231" s="10">
        <f>_xlfn.XLOOKUP(E231,'Base SKUs'!E:E,'Base SKUs'!S:S)</f>
        <v>1.1172E-2</v>
      </c>
      <c r="I231" s="9">
        <f t="shared" si="3"/>
        <v>0.77100000000000002</v>
      </c>
      <c r="J231" t="str">
        <f>_xlfn.XLOOKUP(E231,'Base SKUs'!E:E,'Base SKUs'!G:G)</f>
        <v>Maximo Thermo Ayous</v>
      </c>
      <c r="K231" t="str">
        <f>_xlfn.XLOOKUP(E231,'Base SKUs'!E:E,'Base SKUs'!H:H)</f>
        <v>VJoint - Nickel Gap</v>
      </c>
      <c r="L231" t="str">
        <f>_xlfn.XLOOKUP(E231,'Base SKUs'!E:E,'Base SKUs'!I:I)</f>
        <v>-</v>
      </c>
      <c r="M231" t="str">
        <f>_xlfn.XLOOKUP(E231,'Base SKUs'!E:E,'Base SKUs'!J:J)</f>
        <v>1x6</v>
      </c>
      <c r="N231">
        <f>_xlfn.XLOOKUP(E231,'Base SKUs'!E:E,'Base SKUs'!K:K)</f>
        <v>14</v>
      </c>
      <c r="O231" t="str">
        <f>_xlfn.XLOOKUP(E231,'Base SKUs'!E:E,'Base SKUs'!C:C)</f>
        <v>Long</v>
      </c>
      <c r="P231" t="s">
        <v>4926</v>
      </c>
    </row>
    <row r="232" spans="1:16" hidden="1" x14ac:dyDescent="0.25">
      <c r="A232" t="s">
        <v>217</v>
      </c>
      <c r="B232" t="s">
        <v>19</v>
      </c>
      <c r="C232" t="s">
        <v>20</v>
      </c>
      <c r="D232">
        <v>9011</v>
      </c>
      <c r="E232" t="s">
        <v>24</v>
      </c>
      <c r="F232">
        <v>3</v>
      </c>
      <c r="G232" t="str">
        <f>_xlfn.XLOOKUP(E232,'Base SKUs'!E:E,'Base SKUs'!D:D)</f>
        <v>Thermowood</v>
      </c>
      <c r="H232" s="10">
        <f>_xlfn.XLOOKUP(E232,'Base SKUs'!E:E,'Base SKUs'!S:S)</f>
        <v>1.2768E-2</v>
      </c>
      <c r="I232" s="9">
        <f t="shared" si="3"/>
        <v>3.7999999999999999E-2</v>
      </c>
      <c r="J232" t="str">
        <f>_xlfn.XLOOKUP(E232,'Base SKUs'!E:E,'Base SKUs'!G:G)</f>
        <v>Maximo Thermo Ayous</v>
      </c>
      <c r="K232" t="str">
        <f>_xlfn.XLOOKUP(E232,'Base SKUs'!E:E,'Base SKUs'!H:H)</f>
        <v>VJoint - Nickel Gap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16</v>
      </c>
      <c r="O232" t="str">
        <f>_xlfn.XLOOKUP(E232,'Base SKUs'!E:E,'Base SKUs'!C:C)</f>
        <v>Long</v>
      </c>
      <c r="P232" t="s">
        <v>4926</v>
      </c>
    </row>
    <row r="233" spans="1:16" hidden="1" x14ac:dyDescent="0.25">
      <c r="A233" t="s">
        <v>218</v>
      </c>
      <c r="B233" t="s">
        <v>7</v>
      </c>
      <c r="C233" t="s">
        <v>219</v>
      </c>
      <c r="D233">
        <v>9007</v>
      </c>
      <c r="E233" t="s">
        <v>220</v>
      </c>
      <c r="F233">
        <v>1</v>
      </c>
      <c r="G233" t="str">
        <f>_xlfn.XLOOKUP(E233,'Base SKUs'!E:E,'Base SKUs'!D:D)</f>
        <v>Hardwoods</v>
      </c>
      <c r="H233" s="10">
        <f>_xlfn.XLOOKUP(E233,'Base SKUs'!E:E,'Base SKUs'!S:S)</f>
        <v>2.4088984080000007E-2</v>
      </c>
      <c r="I233" s="9">
        <f t="shared" si="3"/>
        <v>2.4E-2</v>
      </c>
      <c r="J233" t="str">
        <f>_xlfn.XLOOKUP(E233,'Base SKUs'!E:E,'Base SKUs'!G:G)</f>
        <v>Ipe</v>
      </c>
      <c r="K233" t="str">
        <f>_xlfn.XLOOKUP(E233,'Base SKUs'!E:E,'Base SKUs'!H:H)</f>
        <v>S4S E4E</v>
      </c>
      <c r="L233" t="str">
        <f>_xlfn.XLOOKUP(E233,'Base SKUs'!E:E,'Base SKUs'!I:I)</f>
        <v>-</v>
      </c>
      <c r="M233" t="str">
        <f>_xlfn.XLOOKUP(E233,'Base SKUs'!E:E,'Base SKUs'!J:J)</f>
        <v>4x4</v>
      </c>
      <c r="N233">
        <f>_xlfn.XLOOKUP(E233,'Base SKUs'!E:E,'Base SKUs'!K:K)</f>
        <v>10</v>
      </c>
      <c r="O233" t="str">
        <f>_xlfn.XLOOKUP(E233,'Base SKUs'!E:E,'Base SKUs'!C:C)</f>
        <v>Long</v>
      </c>
      <c r="P233" t="s">
        <v>4925</v>
      </c>
    </row>
    <row r="234" spans="1:16" hidden="1" x14ac:dyDescent="0.25">
      <c r="A234" t="s">
        <v>221</v>
      </c>
      <c r="B234" t="s">
        <v>7</v>
      </c>
      <c r="C234" t="s">
        <v>8</v>
      </c>
      <c r="D234">
        <v>9007</v>
      </c>
      <c r="E234" t="s">
        <v>222</v>
      </c>
      <c r="F234">
        <v>10</v>
      </c>
      <c r="G234" t="str">
        <f>_xlfn.XLOOKUP(E234,'Base SKUs'!E:E,'Base SKUs'!D:D)</f>
        <v>Hardwoods</v>
      </c>
      <c r="H234" s="10">
        <f>_xlfn.XLOOKUP(E234,'Base SKUs'!E:E,'Base SKUs'!S:S)</f>
        <v>1.1137391999999999E-2</v>
      </c>
      <c r="I234" s="9">
        <f t="shared" si="3"/>
        <v>0.111</v>
      </c>
      <c r="J234" t="str">
        <f>_xlfn.XLOOKUP(E234,'Base SKUs'!E:E,'Base SKUs'!G:G)</f>
        <v>Cumaru</v>
      </c>
      <c r="K234" t="str">
        <f>_xlfn.XLOOKUP(E234,'Base SKUs'!E:E,'Base SKUs'!H:H)</f>
        <v>S4S E4E</v>
      </c>
      <c r="L234" t="str">
        <f>_xlfn.XLOOKUP(E234,'Base SKUs'!E:E,'Base SKUs'!I:I)</f>
        <v>-</v>
      </c>
      <c r="M234" t="str">
        <f>_xlfn.XLOOKUP(E234,'Base SKUs'!E:E,'Base SKUs'!J:J)</f>
        <v>21x145</v>
      </c>
      <c r="N234">
        <f>_xlfn.XLOOKUP(E234,'Base SKUs'!E:E,'Base SKUs'!K:K)</f>
        <v>12</v>
      </c>
      <c r="O234" t="str">
        <f>_xlfn.XLOOKUP(E234,'Base SKUs'!E:E,'Base SKUs'!C:C)</f>
        <v>Long</v>
      </c>
      <c r="P234" t="s">
        <v>4923</v>
      </c>
    </row>
    <row r="235" spans="1:16" hidden="1" x14ac:dyDescent="0.25">
      <c r="A235" t="s">
        <v>223</v>
      </c>
      <c r="B235" t="s">
        <v>7</v>
      </c>
      <c r="C235" t="s">
        <v>20</v>
      </c>
      <c r="D235">
        <v>9007</v>
      </c>
      <c r="E235" t="s">
        <v>224</v>
      </c>
      <c r="F235">
        <v>10</v>
      </c>
      <c r="G235" t="str">
        <f>_xlfn.XLOOKUP(E235,'Base SKUs'!E:E,'Base SKUs'!D:D)</f>
        <v>Thermowood</v>
      </c>
      <c r="H235" s="10">
        <f>_xlfn.XLOOKUP(E235,'Base SKUs'!E:E,'Base SKUs'!S:S)</f>
        <v>1.5120000000000001E-2</v>
      </c>
      <c r="I235" s="9">
        <f t="shared" si="3"/>
        <v>0.151</v>
      </c>
      <c r="J235" t="str">
        <f>_xlfn.XLOOKUP(E235,'Base SKUs'!E:E,'Base SKUs'!G:G)</f>
        <v>Maximo Thermo Spruce</v>
      </c>
      <c r="K235" t="str">
        <f>_xlfn.XLOOKUP(E235,'Base SKUs'!E:E,'Base SKUs'!H:H)</f>
        <v>S4S E4E</v>
      </c>
      <c r="L235" t="str">
        <f>_xlfn.XLOOKUP(E235,'Base SKUs'!E:E,'Base SKUs'!I:I)</f>
        <v>-</v>
      </c>
      <c r="M235" t="str">
        <f>_xlfn.XLOOKUP(E235,'Base SKUs'!E:E,'Base SKUs'!J:J)</f>
        <v>1x8</v>
      </c>
      <c r="N235">
        <f>_xlfn.XLOOKUP(E235,'Base SKUs'!E:E,'Base SKUs'!K:K)</f>
        <v>14</v>
      </c>
      <c r="O235" t="str">
        <f>_xlfn.XLOOKUP(E235,'Base SKUs'!E:E,'Base SKUs'!C:C)</f>
        <v>Long</v>
      </c>
      <c r="P235" t="s">
        <v>2965</v>
      </c>
    </row>
    <row r="236" spans="1:16" hidden="1" x14ac:dyDescent="0.25">
      <c r="A236" t="s">
        <v>229</v>
      </c>
      <c r="B236" t="s">
        <v>7</v>
      </c>
      <c r="C236" t="s">
        <v>8</v>
      </c>
      <c r="D236">
        <v>9011</v>
      </c>
      <c r="E236" t="s">
        <v>230</v>
      </c>
      <c r="F236">
        <v>2</v>
      </c>
      <c r="G236" t="str">
        <f>_xlfn.XLOOKUP(E236,'Base SKUs'!E:E,'Base SKUs'!D:D)</f>
        <v>Norx</v>
      </c>
      <c r="H236" s="10">
        <f>_xlfn.XLOOKUP(E236,'Base SKUs'!E:E,'Base SKUs'!S:S)</f>
        <v>0</v>
      </c>
      <c r="I236" s="9">
        <f t="shared" si="3"/>
        <v>2</v>
      </c>
      <c r="J236" t="str">
        <f>_xlfn.XLOOKUP(E236,'Base SKUs'!E:E,'Base SKUs'!G:G)</f>
        <v>Big Ben</v>
      </c>
      <c r="K236" t="str">
        <f>_xlfn.XLOOKUP(E236,'Base SKUs'!E:E,'Base SKUs'!H:H)</f>
        <v>Profile</v>
      </c>
      <c r="L236" t="str">
        <f>_xlfn.XLOOKUP(E236,'Base SKUs'!E:E,'Base SKUs'!I:I)</f>
        <v>-</v>
      </c>
      <c r="M236" t="str">
        <f>_xlfn.XLOOKUP(E236,'Base SKUs'!E:E,'Base SKUs'!J:J)</f>
        <v>1x8</v>
      </c>
      <c r="N236">
        <f>_xlfn.XLOOKUP(E236,'Base SKUs'!E:E,'Base SKUs'!K:K)</f>
        <v>16</v>
      </c>
      <c r="O236" t="str">
        <f>_xlfn.XLOOKUP(E236,'Base SKUs'!E:E,'Base SKUs'!C:C)</f>
        <v>Long</v>
      </c>
      <c r="P236" t="s">
        <v>4923</v>
      </c>
    </row>
    <row r="237" spans="1:16" hidden="1" x14ac:dyDescent="0.25">
      <c r="A237" t="s">
        <v>231</v>
      </c>
      <c r="B237" t="s">
        <v>7</v>
      </c>
      <c r="C237" t="s">
        <v>8</v>
      </c>
      <c r="D237">
        <v>9007</v>
      </c>
      <c r="E237" t="s">
        <v>232</v>
      </c>
      <c r="F237">
        <v>1</v>
      </c>
      <c r="G237" t="str">
        <f>_xlfn.XLOOKUP(E237,'Base SKUs'!E:E,'Base SKUs'!D:D)</f>
        <v>Thermowood</v>
      </c>
      <c r="H237" s="10">
        <f>_xlfn.XLOOKUP(E237,'Base SKUs'!E:E,'Base SKUs'!S:S)</f>
        <v>2.4203177400000001E-2</v>
      </c>
      <c r="I237" s="9">
        <f t="shared" si="3"/>
        <v>2.4E-2</v>
      </c>
      <c r="J237" t="str">
        <f>_xlfn.XLOOKUP(E237,'Base SKUs'!E:E,'Base SKUs'!G:G)</f>
        <v>Maximo Thermo Ayous JPL</v>
      </c>
      <c r="K237" t="str">
        <f>_xlfn.XLOOKUP(E237,'Base SKUs'!E:E,'Base SKUs'!H:H)</f>
        <v>S4S E4E</v>
      </c>
      <c r="L237" t="str">
        <f>_xlfn.XLOOKUP(E237,'Base SKUs'!E:E,'Base SKUs'!I:I)</f>
        <v>-</v>
      </c>
      <c r="M237" t="str">
        <f>_xlfn.XLOOKUP(E237,'Base SKUs'!E:E,'Base SKUs'!J:J)</f>
        <v>1x10</v>
      </c>
      <c r="N237">
        <f>_xlfn.XLOOKUP(E237,'Base SKUs'!E:E,'Base SKUs'!K:K)</f>
        <v>16</v>
      </c>
      <c r="O237" t="str">
        <f>_xlfn.XLOOKUP(E237,'Base SKUs'!E:E,'Base SKUs'!C:C)</f>
        <v>Long</v>
      </c>
      <c r="P237" t="s">
        <v>4923</v>
      </c>
    </row>
    <row r="238" spans="1:16" hidden="1" x14ac:dyDescent="0.25">
      <c r="A238" t="s">
        <v>231</v>
      </c>
      <c r="B238" t="s">
        <v>7</v>
      </c>
      <c r="C238" t="s">
        <v>8</v>
      </c>
      <c r="D238">
        <v>9007</v>
      </c>
      <c r="E238" t="s">
        <v>233</v>
      </c>
      <c r="F238">
        <v>2</v>
      </c>
      <c r="G238" t="str">
        <f>_xlfn.XLOOKUP(E238,'Base SKUs'!E:E,'Base SKUs'!D:D)</f>
        <v>Thermowood</v>
      </c>
      <c r="H238" s="10">
        <f>_xlfn.XLOOKUP(E238,'Base SKUs'!E:E,'Base SKUs'!S:S)</f>
        <v>2.5691077649999998E-2</v>
      </c>
      <c r="I238" s="9">
        <f t="shared" si="3"/>
        <v>5.0999999999999997E-2</v>
      </c>
      <c r="J238" t="str">
        <f>_xlfn.XLOOKUP(E238,'Base SKUs'!E:E,'Base SKUs'!G:G)</f>
        <v>Maximo Thermo Ayous JPL</v>
      </c>
      <c r="K238" t="str">
        <f>_xlfn.XLOOKUP(E238,'Base SKUs'!E:E,'Base SKUs'!H:H)</f>
        <v>S4S E4E</v>
      </c>
      <c r="L238" t="str">
        <f>_xlfn.XLOOKUP(E238,'Base SKUs'!E:E,'Base SKUs'!I:I)</f>
        <v>-</v>
      </c>
      <c r="M238" t="str">
        <f>_xlfn.XLOOKUP(E238,'Base SKUs'!E:E,'Base SKUs'!J:J)</f>
        <v>1x10</v>
      </c>
      <c r="N238">
        <f>_xlfn.XLOOKUP(E238,'Base SKUs'!E:E,'Base SKUs'!K:K)</f>
        <v>17</v>
      </c>
      <c r="O238" t="str">
        <f>_xlfn.XLOOKUP(E238,'Base SKUs'!E:E,'Base SKUs'!C:C)</f>
        <v>Long</v>
      </c>
      <c r="P238" t="s">
        <v>4923</v>
      </c>
    </row>
    <row r="239" spans="1:16" hidden="1" x14ac:dyDescent="0.25">
      <c r="A239" t="s">
        <v>234</v>
      </c>
      <c r="B239" t="s">
        <v>19</v>
      </c>
      <c r="C239" t="s">
        <v>20</v>
      </c>
      <c r="D239">
        <v>9008</v>
      </c>
      <c r="E239" t="s">
        <v>209</v>
      </c>
      <c r="F239">
        <v>161</v>
      </c>
      <c r="G239" t="str">
        <f>_xlfn.XLOOKUP(E239,'Base SKUs'!E:E,'Base SKUs'!D:D)</f>
        <v>Thermowood</v>
      </c>
      <c r="H239" s="10">
        <f>_xlfn.XLOOKUP(E239,'Base SKUs'!E:E,'Base SKUs'!S:S)</f>
        <v>5.5859999999999998E-3</v>
      </c>
      <c r="I239" s="9">
        <f t="shared" si="3"/>
        <v>0.89900000000000002</v>
      </c>
      <c r="J239" t="str">
        <f>_xlfn.XLOOKUP(E239,'Base SKUs'!E:E,'Base SKUs'!G:G)</f>
        <v>Maximo Thermo Ayous</v>
      </c>
      <c r="K239" t="str">
        <f>_xlfn.XLOOKUP(E239,'Base SKUs'!E:E,'Base SKUs'!H:H)</f>
        <v>S4S E4E</v>
      </c>
      <c r="L239" t="str">
        <f>_xlfn.XLOOKUP(E239,'Base SKUs'!E:E,'Base SKUs'!I:I)</f>
        <v>-</v>
      </c>
      <c r="M239" t="str">
        <f>_xlfn.XLOOKUP(E239,'Base SKUs'!E:E,'Base SKUs'!J:J)</f>
        <v>1x6</v>
      </c>
      <c r="N239">
        <f>_xlfn.XLOOKUP(E239,'Base SKUs'!E:E,'Base SKUs'!K:K)</f>
        <v>7</v>
      </c>
      <c r="O239" t="str">
        <f>_xlfn.XLOOKUP(E239,'Base SKUs'!E:E,'Base SKUs'!C:C)</f>
        <v>Short</v>
      </c>
      <c r="P239" t="s">
        <v>4927</v>
      </c>
    </row>
    <row r="240" spans="1:16" hidden="1" x14ac:dyDescent="0.25">
      <c r="A240" t="s">
        <v>234</v>
      </c>
      <c r="B240" t="s">
        <v>19</v>
      </c>
      <c r="C240" t="s">
        <v>20</v>
      </c>
      <c r="D240">
        <v>9008</v>
      </c>
      <c r="E240" t="s">
        <v>211</v>
      </c>
      <c r="F240">
        <v>49</v>
      </c>
      <c r="G240" t="str">
        <f>_xlfn.XLOOKUP(E240,'Base SKUs'!E:E,'Base SKUs'!D:D)</f>
        <v>Thermowood</v>
      </c>
      <c r="H240" s="10">
        <f>_xlfn.XLOOKUP(E240,'Base SKUs'!E:E,'Base SKUs'!S:S)</f>
        <v>7.182E-3</v>
      </c>
      <c r="I240" s="9">
        <f t="shared" si="3"/>
        <v>0.35199999999999998</v>
      </c>
      <c r="J240" t="str">
        <f>_xlfn.XLOOKUP(E240,'Base SKUs'!E:E,'Base SKUs'!G:G)</f>
        <v>Maximo Thermo Ayous</v>
      </c>
      <c r="K240" t="str">
        <f>_xlfn.XLOOKUP(E240,'Base SKUs'!E:E,'Base SKUs'!H:H)</f>
        <v>S4S E4E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9</v>
      </c>
      <c r="O240" t="str">
        <f>_xlfn.XLOOKUP(E240,'Base SKUs'!E:E,'Base SKUs'!C:C)</f>
        <v>Long</v>
      </c>
      <c r="P240" t="s">
        <v>4927</v>
      </c>
    </row>
    <row r="241" spans="1:16" hidden="1" x14ac:dyDescent="0.25">
      <c r="A241" t="s">
        <v>234</v>
      </c>
      <c r="B241" t="s">
        <v>19</v>
      </c>
      <c r="C241" t="s">
        <v>20</v>
      </c>
      <c r="D241">
        <v>9008</v>
      </c>
      <c r="E241" t="s">
        <v>212</v>
      </c>
      <c r="F241">
        <v>624</v>
      </c>
      <c r="G241" t="str">
        <f>_xlfn.XLOOKUP(E241,'Base SKUs'!E:E,'Base SKUs'!D:D)</f>
        <v>Thermowood</v>
      </c>
      <c r="H241" s="10">
        <f>_xlfn.XLOOKUP(E241,'Base SKUs'!E:E,'Base SKUs'!S:S)</f>
        <v>7.980000000000001E-3</v>
      </c>
      <c r="I241" s="9">
        <f t="shared" si="3"/>
        <v>4.9800000000000004</v>
      </c>
      <c r="J241" t="str">
        <f>_xlfn.XLOOKUP(E241,'Base SKUs'!E:E,'Base SKUs'!G:G)</f>
        <v>Maximo Thermo Ayous</v>
      </c>
      <c r="K241" t="str">
        <f>_xlfn.XLOOKUP(E241,'Base SKUs'!E:E,'Base SKUs'!H:H)</f>
        <v>S4S E4E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10</v>
      </c>
      <c r="O241" t="str">
        <f>_xlfn.XLOOKUP(E241,'Base SKUs'!E:E,'Base SKUs'!C:C)</f>
        <v>Long</v>
      </c>
      <c r="P241" t="s">
        <v>4927</v>
      </c>
    </row>
    <row r="242" spans="1:16" hidden="1" x14ac:dyDescent="0.25">
      <c r="A242" t="s">
        <v>234</v>
      </c>
      <c r="B242" t="s">
        <v>19</v>
      </c>
      <c r="C242" t="s">
        <v>20</v>
      </c>
      <c r="D242">
        <v>9008</v>
      </c>
      <c r="E242" t="s">
        <v>235</v>
      </c>
      <c r="F242">
        <v>228</v>
      </c>
      <c r="G242" t="str">
        <f>_xlfn.XLOOKUP(E242,'Base SKUs'!E:E,'Base SKUs'!D:D)</f>
        <v>Thermowood</v>
      </c>
      <c r="H242" s="10">
        <f>_xlfn.XLOOKUP(E242,'Base SKUs'!E:E,'Base SKUs'!S:S)</f>
        <v>8.7779999999999993E-3</v>
      </c>
      <c r="I242" s="9">
        <f t="shared" si="3"/>
        <v>2.0009999999999999</v>
      </c>
      <c r="J242" t="str">
        <f>_xlfn.XLOOKUP(E242,'Base SKUs'!E:E,'Base SKUs'!G:G)</f>
        <v>Maximo Thermo Ayous</v>
      </c>
      <c r="K242" t="str">
        <f>_xlfn.XLOOKUP(E242,'Base SKUs'!E:E,'Base SKUs'!H:H)</f>
        <v>S4S E4E</v>
      </c>
      <c r="L242" t="str">
        <f>_xlfn.XLOOKUP(E242,'Base SKUs'!E:E,'Base SKUs'!I:I)</f>
        <v>-</v>
      </c>
      <c r="M242" t="str">
        <f>_xlfn.XLOOKUP(E242,'Base SKUs'!E:E,'Base SKUs'!J:J)</f>
        <v>1x6</v>
      </c>
      <c r="N242">
        <f>_xlfn.XLOOKUP(E242,'Base SKUs'!E:E,'Base SKUs'!K:K)</f>
        <v>11</v>
      </c>
      <c r="O242" t="str">
        <f>_xlfn.XLOOKUP(E242,'Base SKUs'!E:E,'Base SKUs'!C:C)</f>
        <v>Long</v>
      </c>
      <c r="P242" t="s">
        <v>4927</v>
      </c>
    </row>
    <row r="243" spans="1:16" hidden="1" x14ac:dyDescent="0.25">
      <c r="A243" t="s">
        <v>234</v>
      </c>
      <c r="B243" t="s">
        <v>19</v>
      </c>
      <c r="C243" t="s">
        <v>20</v>
      </c>
      <c r="D243">
        <v>9008</v>
      </c>
      <c r="E243" t="s">
        <v>120</v>
      </c>
      <c r="F243">
        <v>4</v>
      </c>
      <c r="G243" t="str">
        <f>_xlfn.XLOOKUP(E243,'Base SKUs'!E:E,'Base SKUs'!D:D)</f>
        <v>Thermowood</v>
      </c>
      <c r="H243" s="10">
        <f>_xlfn.XLOOKUP(E243,'Base SKUs'!E:E,'Base SKUs'!S:S)</f>
        <v>3.192E-3</v>
      </c>
      <c r="I243" s="9">
        <f t="shared" si="3"/>
        <v>1.2999999999999999E-2</v>
      </c>
      <c r="J243" t="str">
        <f>_xlfn.XLOOKUP(E243,'Base SKUs'!E:E,'Base SKUs'!G:G)</f>
        <v>Maximo Thermo Ayous</v>
      </c>
      <c r="K243" t="str">
        <f>_xlfn.XLOOKUP(E243,'Base SKUs'!E:E,'Base SKUs'!H:H)</f>
        <v>VJoint - Nickel Gap</v>
      </c>
      <c r="L243" t="str">
        <f>_xlfn.XLOOKUP(E243,'Base SKUs'!E:E,'Base SKUs'!I:I)</f>
        <v>-</v>
      </c>
      <c r="M243" t="str">
        <f>_xlfn.XLOOKUP(E243,'Base SKUs'!E:E,'Base SKUs'!J:J)</f>
        <v>1x6</v>
      </c>
      <c r="N243">
        <f>_xlfn.XLOOKUP(E243,'Base SKUs'!E:E,'Base SKUs'!K:K)</f>
        <v>4</v>
      </c>
      <c r="O243" t="str">
        <f>_xlfn.XLOOKUP(E243,'Base SKUs'!E:E,'Base SKUs'!C:C)</f>
        <v>Short</v>
      </c>
      <c r="P243" t="s">
        <v>4927</v>
      </c>
    </row>
    <row r="244" spans="1:16" hidden="1" x14ac:dyDescent="0.25">
      <c r="A244" t="s">
        <v>234</v>
      </c>
      <c r="B244" t="s">
        <v>19</v>
      </c>
      <c r="C244" t="s">
        <v>20</v>
      </c>
      <c r="D244">
        <v>9008</v>
      </c>
      <c r="E244" t="s">
        <v>121</v>
      </c>
      <c r="F244">
        <v>2</v>
      </c>
      <c r="G244" t="str">
        <f>_xlfn.XLOOKUP(E244,'Base SKUs'!E:E,'Base SKUs'!D:D)</f>
        <v>Thermowood</v>
      </c>
      <c r="H244" s="10">
        <f>_xlfn.XLOOKUP(E244,'Base SKUs'!E:E,'Base SKUs'!S:S)</f>
        <v>4.7880000000000006E-3</v>
      </c>
      <c r="I244" s="9">
        <f t="shared" si="3"/>
        <v>0.01</v>
      </c>
      <c r="J244" t="str">
        <f>_xlfn.XLOOKUP(E244,'Base SKUs'!E:E,'Base SKUs'!G:G)</f>
        <v>Maximo Thermo Ayous</v>
      </c>
      <c r="K244" t="str">
        <f>_xlfn.XLOOKUP(E244,'Base SKUs'!E:E,'Base SKUs'!H:H)</f>
        <v>VJoint - Nickel Gap</v>
      </c>
      <c r="L244" t="str">
        <f>_xlfn.XLOOKUP(E244,'Base SKUs'!E:E,'Base SKUs'!I:I)</f>
        <v>-</v>
      </c>
      <c r="M244" t="str">
        <f>_xlfn.XLOOKUP(E244,'Base SKUs'!E:E,'Base SKUs'!J:J)</f>
        <v>1x6</v>
      </c>
      <c r="N244">
        <f>_xlfn.XLOOKUP(E244,'Base SKUs'!E:E,'Base SKUs'!K:K)</f>
        <v>6</v>
      </c>
      <c r="O244" t="str">
        <f>_xlfn.XLOOKUP(E244,'Base SKUs'!E:E,'Base SKUs'!C:C)</f>
        <v>Short</v>
      </c>
      <c r="P244" t="s">
        <v>4927</v>
      </c>
    </row>
    <row r="245" spans="1:16" hidden="1" x14ac:dyDescent="0.25">
      <c r="A245" t="s">
        <v>234</v>
      </c>
      <c r="B245" t="s">
        <v>19</v>
      </c>
      <c r="C245" t="s">
        <v>20</v>
      </c>
      <c r="D245">
        <v>9008</v>
      </c>
      <c r="E245" t="s">
        <v>68</v>
      </c>
      <c r="F245">
        <v>4</v>
      </c>
      <c r="G245" t="str">
        <f>_xlfn.XLOOKUP(E245,'Base SKUs'!E:E,'Base SKUs'!D:D)</f>
        <v>Thermowood</v>
      </c>
      <c r="H245" s="10">
        <f>_xlfn.XLOOKUP(E245,'Base SKUs'!E:E,'Base SKUs'!S:S)</f>
        <v>8.7779999999999993E-3</v>
      </c>
      <c r="I245" s="9">
        <f t="shared" si="3"/>
        <v>3.5000000000000003E-2</v>
      </c>
      <c r="J245" t="str">
        <f>_xlfn.XLOOKUP(E245,'Base SKUs'!E:E,'Base SKUs'!G:G)</f>
        <v>Maximo Thermo Ayous</v>
      </c>
      <c r="K245" t="str">
        <f>_xlfn.XLOOKUP(E245,'Base SKUs'!E:E,'Base SKUs'!H:H)</f>
        <v>VJoint - Nickel Gap</v>
      </c>
      <c r="L245" t="str">
        <f>_xlfn.XLOOKUP(E245,'Base SKUs'!E:E,'Base SKUs'!I:I)</f>
        <v>-</v>
      </c>
      <c r="M245" t="str">
        <f>_xlfn.XLOOKUP(E245,'Base SKUs'!E:E,'Base SKUs'!J:J)</f>
        <v>1x6</v>
      </c>
      <c r="N245">
        <f>_xlfn.XLOOKUP(E245,'Base SKUs'!E:E,'Base SKUs'!K:K)</f>
        <v>11</v>
      </c>
      <c r="O245" t="str">
        <f>_xlfn.XLOOKUP(E245,'Base SKUs'!E:E,'Base SKUs'!C:C)</f>
        <v>Long</v>
      </c>
      <c r="P245" t="s">
        <v>4927</v>
      </c>
    </row>
    <row r="246" spans="1:16" hidden="1" x14ac:dyDescent="0.25">
      <c r="A246" t="s">
        <v>234</v>
      </c>
      <c r="B246" t="s">
        <v>19</v>
      </c>
      <c r="C246" t="s">
        <v>20</v>
      </c>
      <c r="D246">
        <v>9008</v>
      </c>
      <c r="E246" t="s">
        <v>150</v>
      </c>
      <c r="F246">
        <v>11</v>
      </c>
      <c r="G246" t="str">
        <f>_xlfn.XLOOKUP(E246,'Base SKUs'!E:E,'Base SKUs'!D:D)</f>
        <v>Thermowood</v>
      </c>
      <c r="H246" s="10">
        <f>_xlfn.XLOOKUP(E246,'Base SKUs'!E:E,'Base SKUs'!S:S)</f>
        <v>9.5760000000000012E-3</v>
      </c>
      <c r="I246" s="9">
        <f t="shared" si="3"/>
        <v>0.105</v>
      </c>
      <c r="J246" t="str">
        <f>_xlfn.XLOOKUP(E246,'Base SKUs'!E:E,'Base SKUs'!G:G)</f>
        <v>Maximo Thermo Ayous</v>
      </c>
      <c r="K246" t="str">
        <f>_xlfn.XLOOKUP(E246,'Base SKUs'!E:E,'Base SKUs'!H:H)</f>
        <v>VJoint - Nickel Gap</v>
      </c>
      <c r="L246" t="str">
        <f>_xlfn.XLOOKUP(E246,'Base SKUs'!E:E,'Base SKUs'!I:I)</f>
        <v>-</v>
      </c>
      <c r="M246" t="str">
        <f>_xlfn.XLOOKUP(E246,'Base SKUs'!E:E,'Base SKUs'!J:J)</f>
        <v>1x6</v>
      </c>
      <c r="N246">
        <f>_xlfn.XLOOKUP(E246,'Base SKUs'!E:E,'Base SKUs'!K:K)</f>
        <v>12</v>
      </c>
      <c r="O246" t="str">
        <f>_xlfn.XLOOKUP(E246,'Base SKUs'!E:E,'Base SKUs'!C:C)</f>
        <v>Long</v>
      </c>
      <c r="P246" t="s">
        <v>4927</v>
      </c>
    </row>
    <row r="247" spans="1:16" hidden="1" x14ac:dyDescent="0.25">
      <c r="A247" t="s">
        <v>234</v>
      </c>
      <c r="B247" t="s">
        <v>19</v>
      </c>
      <c r="C247" t="s">
        <v>20</v>
      </c>
      <c r="D247">
        <v>9008</v>
      </c>
      <c r="E247" t="s">
        <v>163</v>
      </c>
      <c r="F247">
        <v>2</v>
      </c>
      <c r="G247" t="str">
        <f>_xlfn.XLOOKUP(E247,'Base SKUs'!E:E,'Base SKUs'!D:D)</f>
        <v>Thermowood</v>
      </c>
      <c r="H247" s="10">
        <f>_xlfn.XLOOKUP(E247,'Base SKUs'!E:E,'Base SKUs'!S:S)</f>
        <v>1.0374000000000001E-2</v>
      </c>
      <c r="I247" s="9">
        <f t="shared" si="3"/>
        <v>2.1000000000000001E-2</v>
      </c>
      <c r="J247" t="str">
        <f>_xlfn.XLOOKUP(E247,'Base SKUs'!E:E,'Base SKUs'!G:G)</f>
        <v>Maximo Thermo Ayous</v>
      </c>
      <c r="K247" t="str">
        <f>_xlfn.XLOOKUP(E247,'Base SKUs'!E:E,'Base SKUs'!H:H)</f>
        <v>VJoint - Nickel Gap</v>
      </c>
      <c r="L247" t="str">
        <f>_xlfn.XLOOKUP(E247,'Base SKUs'!E:E,'Base SKUs'!I:I)</f>
        <v>-</v>
      </c>
      <c r="M247" t="str">
        <f>_xlfn.XLOOKUP(E247,'Base SKUs'!E:E,'Base SKUs'!J:J)</f>
        <v>1x6</v>
      </c>
      <c r="N247">
        <f>_xlfn.XLOOKUP(E247,'Base SKUs'!E:E,'Base SKUs'!K:K)</f>
        <v>13</v>
      </c>
      <c r="O247" t="str">
        <f>_xlfn.XLOOKUP(E247,'Base SKUs'!E:E,'Base SKUs'!C:C)</f>
        <v>Long</v>
      </c>
      <c r="P247" t="s">
        <v>4927</v>
      </c>
    </row>
    <row r="248" spans="1:16" hidden="1" x14ac:dyDescent="0.25">
      <c r="A248" t="s">
        <v>234</v>
      </c>
      <c r="B248" t="s">
        <v>19</v>
      </c>
      <c r="C248" t="s">
        <v>20</v>
      </c>
      <c r="D248">
        <v>9008</v>
      </c>
      <c r="E248" t="s">
        <v>9</v>
      </c>
      <c r="F248">
        <v>1</v>
      </c>
      <c r="G248" t="str">
        <f>_xlfn.XLOOKUP(E248,'Base SKUs'!E:E,'Base SKUs'!D:D)</f>
        <v>Thermowood</v>
      </c>
      <c r="H248" s="10">
        <f>_xlfn.XLOOKUP(E248,'Base SKUs'!E:E,'Base SKUs'!S:S)</f>
        <v>1.1172E-2</v>
      </c>
      <c r="I248" s="9">
        <f t="shared" si="3"/>
        <v>1.0999999999999999E-2</v>
      </c>
      <c r="J248" t="str">
        <f>_xlfn.XLOOKUP(E248,'Base SKUs'!E:E,'Base SKUs'!G:G)</f>
        <v>Maximo Thermo Ayous</v>
      </c>
      <c r="K248" t="str">
        <f>_xlfn.XLOOKUP(E248,'Base SKUs'!E:E,'Base SKUs'!H:H)</f>
        <v>VJoint - Nickel Gap</v>
      </c>
      <c r="L248" t="str">
        <f>_xlfn.XLOOKUP(E248,'Base SKUs'!E:E,'Base SKUs'!I:I)</f>
        <v>-</v>
      </c>
      <c r="M248" t="str">
        <f>_xlfn.XLOOKUP(E248,'Base SKUs'!E:E,'Base SKUs'!J:J)</f>
        <v>1x6</v>
      </c>
      <c r="N248">
        <f>_xlfn.XLOOKUP(E248,'Base SKUs'!E:E,'Base SKUs'!K:K)</f>
        <v>14</v>
      </c>
      <c r="O248" t="str">
        <f>_xlfn.XLOOKUP(E248,'Base SKUs'!E:E,'Base SKUs'!C:C)</f>
        <v>Long</v>
      </c>
      <c r="P248" t="s">
        <v>4927</v>
      </c>
    </row>
    <row r="249" spans="1:16" hidden="1" x14ac:dyDescent="0.25">
      <c r="A249" t="s">
        <v>234</v>
      </c>
      <c r="B249" t="s">
        <v>19</v>
      </c>
      <c r="C249" t="s">
        <v>20</v>
      </c>
      <c r="D249">
        <v>9008</v>
      </c>
      <c r="E249" t="s">
        <v>226</v>
      </c>
      <c r="F249">
        <v>5</v>
      </c>
      <c r="G249" t="str">
        <f>_xlfn.XLOOKUP(E249,'Base SKUs'!E:E,'Base SKUs'!D:D)</f>
        <v>Thermowood</v>
      </c>
      <c r="H249" s="10">
        <f>_xlfn.XLOOKUP(E249,'Base SKUs'!E:E,'Base SKUs'!S:S)</f>
        <v>1.1970000000000001E-2</v>
      </c>
      <c r="I249" s="9">
        <f t="shared" si="3"/>
        <v>0.06</v>
      </c>
      <c r="J249" t="str">
        <f>_xlfn.XLOOKUP(E249,'Base SKUs'!E:E,'Base SKUs'!G:G)</f>
        <v>Maximo Thermo Ayous</v>
      </c>
      <c r="K249" t="str">
        <f>_xlfn.XLOOKUP(E249,'Base SKUs'!E:E,'Base SKUs'!H:H)</f>
        <v>VJoint - Nickel Gap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15</v>
      </c>
      <c r="O249" t="str">
        <f>_xlfn.XLOOKUP(E249,'Base SKUs'!E:E,'Base SKUs'!C:C)</f>
        <v>Long</v>
      </c>
      <c r="P249" t="s">
        <v>4927</v>
      </c>
    </row>
    <row r="250" spans="1:16" hidden="1" x14ac:dyDescent="0.25">
      <c r="A250" t="s">
        <v>238</v>
      </c>
      <c r="B250" t="s">
        <v>7</v>
      </c>
      <c r="C250" t="s">
        <v>8</v>
      </c>
      <c r="D250">
        <v>9007</v>
      </c>
      <c r="E250" t="s">
        <v>239</v>
      </c>
      <c r="F250">
        <v>84</v>
      </c>
      <c r="G250" t="str">
        <f>_xlfn.XLOOKUP(E250,'Base SKUs'!E:E,'Base SKUs'!D:D)</f>
        <v>Thermowood</v>
      </c>
      <c r="H250" s="10">
        <f>_xlfn.XLOOKUP(E250,'Base SKUs'!E:E,'Base SKUs'!S:S)</f>
        <v>1.1363686949999995E-2</v>
      </c>
      <c r="I250" s="9">
        <f t="shared" si="3"/>
        <v>0.95499999999999996</v>
      </c>
      <c r="J250" t="str">
        <f>_xlfn.XLOOKUP(E250,'Base SKUs'!E:E,'Base SKUs'!G:G)</f>
        <v>Maximo Thermo Ayous JPL</v>
      </c>
      <c r="K250" t="str">
        <f>_xlfn.XLOOKUP(E250,'Base SKUs'!E:E,'Base SKUs'!H:H)</f>
        <v>VJoint - Nickel Gap</v>
      </c>
      <c r="L250" t="str">
        <f>_xlfn.XLOOKUP(E250,'Base SKUs'!E:E,'Base SKUs'!I:I)</f>
        <v>-</v>
      </c>
      <c r="M250" t="str">
        <f>_xlfn.XLOOKUP(E250,'Base SKUs'!E:E,'Base SKUs'!J:J)</f>
        <v>1x6</v>
      </c>
      <c r="N250">
        <f>_xlfn.XLOOKUP(E250,'Base SKUs'!E:E,'Base SKUs'!K:K)</f>
        <v>14</v>
      </c>
      <c r="O250" t="str">
        <f>_xlfn.XLOOKUP(E250,'Base SKUs'!E:E,'Base SKUs'!C:C)</f>
        <v>Long</v>
      </c>
      <c r="P250" t="s">
        <v>4923</v>
      </c>
    </row>
    <row r="251" spans="1:16" hidden="1" x14ac:dyDescent="0.25">
      <c r="A251" t="s">
        <v>240</v>
      </c>
      <c r="B251" t="s">
        <v>7</v>
      </c>
      <c r="C251" t="s">
        <v>8</v>
      </c>
      <c r="D251">
        <v>9011</v>
      </c>
      <c r="E251" t="s">
        <v>241</v>
      </c>
      <c r="F251">
        <v>560</v>
      </c>
      <c r="G251" t="str">
        <f>_xlfn.XLOOKUP(E251,'Base SKUs'!E:E,'Base SKUs'!D:D)</f>
        <v>Thermowood</v>
      </c>
      <c r="H251" s="10">
        <f>_xlfn.XLOOKUP(E251,'Base SKUs'!E:E,'Base SKUs'!S:S)</f>
        <v>1.1172E-2</v>
      </c>
      <c r="I251" s="9">
        <f t="shared" si="3"/>
        <v>6.2560000000000002</v>
      </c>
      <c r="J251" t="str">
        <f>_xlfn.XLOOKUP(E251,'Base SKUs'!E:E,'Base SKUs'!G:G)</f>
        <v>Maximo Thermo Ayous</v>
      </c>
      <c r="K251" t="str">
        <f>_xlfn.XLOOKUP(E251,'Base SKUs'!E:E,'Base SKUs'!H:H)</f>
        <v>VJoint - Nickel Gap</v>
      </c>
      <c r="L251" t="str">
        <f>_xlfn.XLOOKUP(E251,'Base SKUs'!E:E,'Base SKUs'!I:I)</f>
        <v>Pre Finished - Hemel</v>
      </c>
      <c r="M251" t="str">
        <f>_xlfn.XLOOKUP(E251,'Base SKUs'!E:E,'Base SKUs'!J:J)</f>
        <v>1x6</v>
      </c>
      <c r="N251">
        <f>_xlfn.XLOOKUP(E251,'Base SKUs'!E:E,'Base SKUs'!K:K)</f>
        <v>14</v>
      </c>
      <c r="O251" t="str">
        <f>_xlfn.XLOOKUP(E251,'Base SKUs'!E:E,'Base SKUs'!C:C)</f>
        <v>Long</v>
      </c>
      <c r="P251" t="s">
        <v>4923</v>
      </c>
    </row>
    <row r="252" spans="1:16" hidden="1" x14ac:dyDescent="0.25">
      <c r="A252" t="s">
        <v>240</v>
      </c>
      <c r="B252" t="s">
        <v>7</v>
      </c>
      <c r="C252" t="s">
        <v>8</v>
      </c>
      <c r="D252">
        <v>9011</v>
      </c>
      <c r="E252" t="s">
        <v>242</v>
      </c>
      <c r="F252">
        <v>336</v>
      </c>
      <c r="G252" t="str">
        <f>_xlfn.XLOOKUP(E252,'Base SKUs'!E:E,'Base SKUs'!D:D)</f>
        <v>Thermowood</v>
      </c>
      <c r="H252" s="10">
        <f>_xlfn.XLOOKUP(E252,'Base SKUs'!E:E,'Base SKUs'!S:S)</f>
        <v>6.3839999999999999E-3</v>
      </c>
      <c r="I252" s="9">
        <f t="shared" si="3"/>
        <v>2.145</v>
      </c>
      <c r="J252" t="str">
        <f>_xlfn.XLOOKUP(E252,'Base SKUs'!E:E,'Base SKUs'!G:G)</f>
        <v>Maximo Thermo Ayous</v>
      </c>
      <c r="K252" t="str">
        <f>_xlfn.XLOOKUP(E252,'Base SKUs'!E:E,'Base SKUs'!H:H)</f>
        <v>VJoint - Nickel Gap</v>
      </c>
      <c r="L252" t="str">
        <f>_xlfn.XLOOKUP(E252,'Base SKUs'!E:E,'Base SKUs'!I:I)</f>
        <v>Pre Finished - Hemel</v>
      </c>
      <c r="M252" t="str">
        <f>_xlfn.XLOOKUP(E252,'Base SKUs'!E:E,'Base SKUs'!J:J)</f>
        <v>1x6</v>
      </c>
      <c r="N252">
        <f>_xlfn.XLOOKUP(E252,'Base SKUs'!E:E,'Base SKUs'!K:K)</f>
        <v>8</v>
      </c>
      <c r="O252" t="str">
        <f>_xlfn.XLOOKUP(E252,'Base SKUs'!E:E,'Base SKUs'!C:C)</f>
        <v>Long</v>
      </c>
      <c r="P252" t="s">
        <v>4923</v>
      </c>
    </row>
    <row r="253" spans="1:16" hidden="1" x14ac:dyDescent="0.25">
      <c r="A253" t="s">
        <v>243</v>
      </c>
      <c r="B253" t="s">
        <v>19</v>
      </c>
      <c r="C253" t="s">
        <v>20</v>
      </c>
      <c r="D253">
        <v>9007</v>
      </c>
      <c r="E253" t="s">
        <v>120</v>
      </c>
      <c r="F253">
        <v>3</v>
      </c>
      <c r="G253" t="str">
        <f>_xlfn.XLOOKUP(E253,'Base SKUs'!E:E,'Base SKUs'!D:D)</f>
        <v>Thermowood</v>
      </c>
      <c r="H253" s="10">
        <f>_xlfn.XLOOKUP(E253,'Base SKUs'!E:E,'Base SKUs'!S:S)</f>
        <v>3.192E-3</v>
      </c>
      <c r="I253" s="9">
        <f t="shared" si="3"/>
        <v>0.01</v>
      </c>
      <c r="J253" t="str">
        <f>_xlfn.XLOOKUP(E253,'Base SKUs'!E:E,'Base SKUs'!G:G)</f>
        <v>Maximo Thermo Ayous</v>
      </c>
      <c r="K253" t="str">
        <f>_xlfn.XLOOKUP(E253,'Base SKUs'!E:E,'Base SKUs'!H:H)</f>
        <v>VJoint - Nickel Gap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4</v>
      </c>
      <c r="O253" t="str">
        <f>_xlfn.XLOOKUP(E253,'Base SKUs'!E:E,'Base SKUs'!C:C)</f>
        <v>Short</v>
      </c>
      <c r="P253" t="s">
        <v>4926</v>
      </c>
    </row>
    <row r="254" spans="1:16" hidden="1" x14ac:dyDescent="0.25">
      <c r="A254" t="s">
        <v>243</v>
      </c>
      <c r="B254" t="s">
        <v>19</v>
      </c>
      <c r="C254" t="s">
        <v>20</v>
      </c>
      <c r="D254">
        <v>9007</v>
      </c>
      <c r="E254" t="s">
        <v>204</v>
      </c>
      <c r="F254">
        <v>50</v>
      </c>
      <c r="G254" t="str">
        <f>_xlfn.XLOOKUP(E254,'Base SKUs'!E:E,'Base SKUs'!D:D)</f>
        <v>Thermowood</v>
      </c>
      <c r="H254" s="10">
        <f>_xlfn.XLOOKUP(E254,'Base SKUs'!E:E,'Base SKUs'!S:S)</f>
        <v>3.9900000000000005E-3</v>
      </c>
      <c r="I254" s="9">
        <f t="shared" si="3"/>
        <v>0.2</v>
      </c>
      <c r="J254" t="str">
        <f>_xlfn.XLOOKUP(E254,'Base SKUs'!E:E,'Base SKUs'!G:G)</f>
        <v>Maximo Thermo Ayous</v>
      </c>
      <c r="K254" t="str">
        <f>_xlfn.XLOOKUP(E254,'Base SKUs'!E:E,'Base SKUs'!H:H)</f>
        <v>VJoint - Nickel Gap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5</v>
      </c>
      <c r="O254" t="str">
        <f>_xlfn.XLOOKUP(E254,'Base SKUs'!E:E,'Base SKUs'!C:C)</f>
        <v>Short</v>
      </c>
      <c r="P254" t="s">
        <v>4926</v>
      </c>
    </row>
    <row r="255" spans="1:16" hidden="1" x14ac:dyDescent="0.25">
      <c r="A255" t="s">
        <v>244</v>
      </c>
      <c r="B255" t="s">
        <v>245</v>
      </c>
      <c r="C255" t="s">
        <v>246</v>
      </c>
      <c r="D255">
        <v>9007</v>
      </c>
      <c r="E255" t="s">
        <v>247</v>
      </c>
      <c r="F255">
        <v>70</v>
      </c>
      <c r="G255" t="str">
        <f>_xlfn.XLOOKUP(E255,'Base SKUs'!E:E,'Base SKUs'!D:D)</f>
        <v>Hardwoods</v>
      </c>
      <c r="H255" s="10">
        <f>_xlfn.XLOOKUP(E255,'Base SKUs'!E:E,'Base SKUs'!S:S)</f>
        <v>1.0692559260000001E-2</v>
      </c>
      <c r="I255" s="9">
        <f t="shared" si="3"/>
        <v>0.748</v>
      </c>
      <c r="J255" t="str">
        <f>_xlfn.XLOOKUP(E255,'Base SKUs'!E:E,'Base SKUs'!G:G)</f>
        <v>Ipe</v>
      </c>
      <c r="K255" t="str">
        <f>_xlfn.XLOOKUP(E255,'Base SKUs'!E:E,'Base SKUs'!H:H)</f>
        <v>S4S E4E</v>
      </c>
      <c r="L255" t="str">
        <f>_xlfn.XLOOKUP(E255,'Base SKUs'!E:E,'Base SKUs'!I:I)</f>
        <v>-</v>
      </c>
      <c r="M255" t="str">
        <f>_xlfn.XLOOKUP(E255,'Base SKUs'!E:E,'Base SKUs'!J:J)</f>
        <v>1x8</v>
      </c>
      <c r="N255">
        <f>_xlfn.XLOOKUP(E255,'Base SKUs'!E:E,'Base SKUs'!K:K)</f>
        <v>10</v>
      </c>
      <c r="O255" t="str">
        <f>_xlfn.XLOOKUP(E255,'Base SKUs'!E:E,'Base SKUs'!C:C)</f>
        <v>Long</v>
      </c>
      <c r="P255" t="s">
        <v>4928</v>
      </c>
    </row>
    <row r="256" spans="1:16" hidden="1" x14ac:dyDescent="0.25">
      <c r="A256" t="s">
        <v>244</v>
      </c>
      <c r="B256" t="s">
        <v>245</v>
      </c>
      <c r="C256" t="s">
        <v>246</v>
      </c>
      <c r="D256">
        <v>9007</v>
      </c>
      <c r="E256" t="s">
        <v>248</v>
      </c>
      <c r="F256">
        <v>35</v>
      </c>
      <c r="G256" t="str">
        <f>_xlfn.XLOOKUP(E256,'Base SKUs'!E:E,'Base SKUs'!D:D)</f>
        <v>Hardwoods</v>
      </c>
      <c r="H256" s="10">
        <f>_xlfn.XLOOKUP(E256,'Base SKUs'!E:E,'Base SKUs'!S:S)</f>
        <v>1.2831071112000001E-2</v>
      </c>
      <c r="I256" s="9">
        <f t="shared" si="3"/>
        <v>0.44900000000000001</v>
      </c>
      <c r="J256" t="str">
        <f>_xlfn.XLOOKUP(E256,'Base SKUs'!E:E,'Base SKUs'!G:G)</f>
        <v>Ipe</v>
      </c>
      <c r="K256" t="str">
        <f>_xlfn.XLOOKUP(E256,'Base SKUs'!E:E,'Base SKUs'!H:H)</f>
        <v>S4S E4E</v>
      </c>
      <c r="L256" t="str">
        <f>_xlfn.XLOOKUP(E256,'Base SKUs'!E:E,'Base SKUs'!I:I)</f>
        <v>-</v>
      </c>
      <c r="M256" t="str">
        <f>_xlfn.XLOOKUP(E256,'Base SKUs'!E:E,'Base SKUs'!J:J)</f>
        <v>1x8</v>
      </c>
      <c r="N256">
        <f>_xlfn.XLOOKUP(E256,'Base SKUs'!E:E,'Base SKUs'!K:K)</f>
        <v>12</v>
      </c>
      <c r="O256" t="str">
        <f>_xlfn.XLOOKUP(E256,'Base SKUs'!E:E,'Base SKUs'!C:C)</f>
        <v>Long</v>
      </c>
      <c r="P256" t="s">
        <v>4928</v>
      </c>
    </row>
    <row r="257" spans="1:16" hidden="1" x14ac:dyDescent="0.25">
      <c r="A257" t="s">
        <v>244</v>
      </c>
      <c r="B257" t="s">
        <v>245</v>
      </c>
      <c r="C257" t="s">
        <v>246</v>
      </c>
      <c r="D257">
        <v>9007</v>
      </c>
      <c r="E257" t="s">
        <v>249</v>
      </c>
      <c r="F257">
        <v>15</v>
      </c>
      <c r="G257" t="str">
        <f>_xlfn.XLOOKUP(E257,'Base SKUs'!E:E,'Base SKUs'!D:D)</f>
        <v>Hardwoods</v>
      </c>
      <c r="H257" s="10">
        <f>_xlfn.XLOOKUP(E257,'Base SKUs'!E:E,'Base SKUs'!S:S)</f>
        <v>1.7108094816000001E-2</v>
      </c>
      <c r="I257" s="9">
        <f t="shared" si="3"/>
        <v>0.25700000000000001</v>
      </c>
      <c r="J257" t="str">
        <f>_xlfn.XLOOKUP(E257,'Base SKUs'!E:E,'Base SKUs'!G:G)</f>
        <v>Ipe</v>
      </c>
      <c r="K257" t="str">
        <f>_xlfn.XLOOKUP(E257,'Base SKUs'!E:E,'Base SKUs'!H:H)</f>
        <v>S4S E4E</v>
      </c>
      <c r="L257" t="str">
        <f>_xlfn.XLOOKUP(E257,'Base SKUs'!E:E,'Base SKUs'!I:I)</f>
        <v>-</v>
      </c>
      <c r="M257" t="str">
        <f>_xlfn.XLOOKUP(E257,'Base SKUs'!E:E,'Base SKUs'!J:J)</f>
        <v>1x8</v>
      </c>
      <c r="N257">
        <f>_xlfn.XLOOKUP(E257,'Base SKUs'!E:E,'Base SKUs'!K:K)</f>
        <v>16</v>
      </c>
      <c r="O257" t="str">
        <f>_xlfn.XLOOKUP(E257,'Base SKUs'!E:E,'Base SKUs'!C:C)</f>
        <v>Long</v>
      </c>
      <c r="P257" t="s">
        <v>4928</v>
      </c>
    </row>
    <row r="258" spans="1:16" hidden="1" x14ac:dyDescent="0.25">
      <c r="A258" t="s">
        <v>244</v>
      </c>
      <c r="B258" t="s">
        <v>245</v>
      </c>
      <c r="C258" t="s">
        <v>246</v>
      </c>
      <c r="D258">
        <v>9007</v>
      </c>
      <c r="E258" t="s">
        <v>250</v>
      </c>
      <c r="F258">
        <v>110</v>
      </c>
      <c r="G258" t="str">
        <f>_xlfn.XLOOKUP(E258,'Base SKUs'!E:E,'Base SKUs'!D:D)</f>
        <v>Hardwoods</v>
      </c>
      <c r="H258" s="10">
        <f>_xlfn.XLOOKUP(E258,'Base SKUs'!E:E,'Base SKUs'!S:S)</f>
        <v>8.259080256000001E-3</v>
      </c>
      <c r="I258" s="9">
        <f t="shared" ref="I258:I321" si="4">IF(OR(G258="Norx",K258="Tiles"),ROUND(F258,3),ROUND(F258*H258,3))</f>
        <v>0.90800000000000003</v>
      </c>
      <c r="J258" t="str">
        <f>_xlfn.XLOOKUP(E258,'Base SKUs'!E:E,'Base SKUs'!G:G)</f>
        <v>Ipe</v>
      </c>
      <c r="K258" t="str">
        <f>_xlfn.XLOOKUP(E258,'Base SKUs'!E:E,'Base SKUs'!H:H)</f>
        <v>S4S E4E</v>
      </c>
      <c r="L258" t="str">
        <f>_xlfn.XLOOKUP(E258,'Base SKUs'!E:E,'Base SKUs'!I:I)</f>
        <v>-</v>
      </c>
      <c r="M258" t="str">
        <f>_xlfn.XLOOKUP(E258,'Base SKUs'!E:E,'Base SKUs'!J:J)</f>
        <v>2x4</v>
      </c>
      <c r="N258">
        <f>_xlfn.XLOOKUP(E258,'Base SKUs'!E:E,'Base SKUs'!K:K)</f>
        <v>8</v>
      </c>
      <c r="O258" t="str">
        <f>_xlfn.XLOOKUP(E258,'Base SKUs'!E:E,'Base SKUs'!C:C)</f>
        <v>Long</v>
      </c>
      <c r="P258" t="s">
        <v>4928</v>
      </c>
    </row>
    <row r="259" spans="1:16" hidden="1" x14ac:dyDescent="0.25">
      <c r="A259" t="s">
        <v>244</v>
      </c>
      <c r="B259" t="s">
        <v>245</v>
      </c>
      <c r="C259" t="s">
        <v>246</v>
      </c>
      <c r="D259">
        <v>9007</v>
      </c>
      <c r="E259" t="s">
        <v>168</v>
      </c>
      <c r="F259">
        <v>33</v>
      </c>
      <c r="G259" t="str">
        <f>_xlfn.XLOOKUP(E259,'Base SKUs'!E:E,'Base SKUs'!D:D)</f>
        <v>Hardwoods</v>
      </c>
      <c r="H259" s="10">
        <f>_xlfn.XLOOKUP(E259,'Base SKUs'!E:E,'Base SKUs'!S:S)</f>
        <v>1.0323850320000001E-2</v>
      </c>
      <c r="I259" s="9">
        <f t="shared" si="4"/>
        <v>0.34100000000000003</v>
      </c>
      <c r="J259" t="str">
        <f>_xlfn.XLOOKUP(E259,'Base SKUs'!E:E,'Base SKUs'!G:G)</f>
        <v>Ipe</v>
      </c>
      <c r="K259" t="str">
        <f>_xlfn.XLOOKUP(E259,'Base SKUs'!E:E,'Base SKUs'!H:H)</f>
        <v>S4S E4E</v>
      </c>
      <c r="L259" t="str">
        <f>_xlfn.XLOOKUP(E259,'Base SKUs'!E:E,'Base SKUs'!I:I)</f>
        <v>-</v>
      </c>
      <c r="M259" t="str">
        <f>_xlfn.XLOOKUP(E259,'Base SKUs'!E:E,'Base SKUs'!J:J)</f>
        <v>2x4</v>
      </c>
      <c r="N259">
        <f>_xlfn.XLOOKUP(E259,'Base SKUs'!E:E,'Base SKUs'!K:K)</f>
        <v>10</v>
      </c>
      <c r="O259" t="str">
        <f>_xlfn.XLOOKUP(E259,'Base SKUs'!E:E,'Base SKUs'!C:C)</f>
        <v>Long</v>
      </c>
      <c r="P259" t="s">
        <v>4928</v>
      </c>
    </row>
    <row r="260" spans="1:16" hidden="1" x14ac:dyDescent="0.25">
      <c r="A260" t="s">
        <v>244</v>
      </c>
      <c r="B260" t="s">
        <v>245</v>
      </c>
      <c r="C260" t="s">
        <v>246</v>
      </c>
      <c r="D260">
        <v>9007</v>
      </c>
      <c r="E260" t="s">
        <v>169</v>
      </c>
      <c r="F260">
        <v>7</v>
      </c>
      <c r="G260" t="str">
        <f>_xlfn.XLOOKUP(E260,'Base SKUs'!E:E,'Base SKUs'!D:D)</f>
        <v>Hardwoods</v>
      </c>
      <c r="H260" s="10">
        <f>_xlfn.XLOOKUP(E260,'Base SKUs'!E:E,'Base SKUs'!S:S)</f>
        <v>1.4453390448E-2</v>
      </c>
      <c r="I260" s="9">
        <f t="shared" si="4"/>
        <v>0.10100000000000001</v>
      </c>
      <c r="J260" t="str">
        <f>_xlfn.XLOOKUP(E260,'Base SKUs'!E:E,'Base SKUs'!G:G)</f>
        <v>Ipe</v>
      </c>
      <c r="K260" t="str">
        <f>_xlfn.XLOOKUP(E260,'Base SKUs'!E:E,'Base SKUs'!H:H)</f>
        <v>S4S E4E</v>
      </c>
      <c r="L260" t="str">
        <f>_xlfn.XLOOKUP(E260,'Base SKUs'!E:E,'Base SKUs'!I:I)</f>
        <v>-</v>
      </c>
      <c r="M260" t="str">
        <f>_xlfn.XLOOKUP(E260,'Base SKUs'!E:E,'Base SKUs'!J:J)</f>
        <v>2x4</v>
      </c>
      <c r="N260">
        <f>_xlfn.XLOOKUP(E260,'Base SKUs'!E:E,'Base SKUs'!K:K)</f>
        <v>14</v>
      </c>
      <c r="O260" t="str">
        <f>_xlfn.XLOOKUP(E260,'Base SKUs'!E:E,'Base SKUs'!C:C)</f>
        <v>Long</v>
      </c>
      <c r="P260" t="s">
        <v>4928</v>
      </c>
    </row>
    <row r="261" spans="1:16" hidden="1" x14ac:dyDescent="0.25">
      <c r="A261" t="s">
        <v>244</v>
      </c>
      <c r="B261" t="s">
        <v>245</v>
      </c>
      <c r="C261" t="s">
        <v>246</v>
      </c>
      <c r="D261">
        <v>9007</v>
      </c>
      <c r="E261" t="s">
        <v>26</v>
      </c>
      <c r="F261">
        <v>14</v>
      </c>
      <c r="G261" t="str">
        <f>_xlfn.XLOOKUP(E261,'Base SKUs'!E:E,'Base SKUs'!D:D)</f>
        <v>Hardwoods</v>
      </c>
      <c r="H261" s="10">
        <f>_xlfn.XLOOKUP(E261,'Base SKUs'!E:E,'Base SKUs'!S:S)</f>
        <v>1.2978554687999999E-2</v>
      </c>
      <c r="I261" s="9">
        <f t="shared" si="4"/>
        <v>0.182</v>
      </c>
      <c r="J261" t="str">
        <f>_xlfn.XLOOKUP(E261,'Base SKUs'!E:E,'Base SKUs'!G:G)</f>
        <v>Ipe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2x6</v>
      </c>
      <c r="N261">
        <f>_xlfn.XLOOKUP(E261,'Base SKUs'!E:E,'Base SKUs'!K:K)</f>
        <v>8</v>
      </c>
      <c r="O261" t="str">
        <f>_xlfn.XLOOKUP(E261,'Base SKUs'!E:E,'Base SKUs'!C:C)</f>
        <v>Long</v>
      </c>
      <c r="P261" t="s">
        <v>4928</v>
      </c>
    </row>
    <row r="262" spans="1:16" hidden="1" x14ac:dyDescent="0.25">
      <c r="A262" t="s">
        <v>244</v>
      </c>
      <c r="B262" t="s">
        <v>245</v>
      </c>
      <c r="C262" t="s">
        <v>246</v>
      </c>
      <c r="D262">
        <v>9007</v>
      </c>
      <c r="E262" t="s">
        <v>251</v>
      </c>
      <c r="F262">
        <v>14</v>
      </c>
      <c r="G262" t="str">
        <f>_xlfn.XLOOKUP(E262,'Base SKUs'!E:E,'Base SKUs'!D:D)</f>
        <v>Hardwoods</v>
      </c>
      <c r="H262" s="10">
        <f>_xlfn.XLOOKUP(E262,'Base SKUs'!E:E,'Base SKUs'!S:S)</f>
        <v>2.2712470703999999E-2</v>
      </c>
      <c r="I262" s="9">
        <f t="shared" si="4"/>
        <v>0.318</v>
      </c>
      <c r="J262" t="str">
        <f>_xlfn.XLOOKUP(E262,'Base SKUs'!E:E,'Base SKUs'!G:G)</f>
        <v>Ipe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2x6</v>
      </c>
      <c r="N262">
        <f>_xlfn.XLOOKUP(E262,'Base SKUs'!E:E,'Base SKUs'!K:K)</f>
        <v>14</v>
      </c>
      <c r="O262" t="str">
        <f>_xlfn.XLOOKUP(E262,'Base SKUs'!E:E,'Base SKUs'!C:C)</f>
        <v>Long</v>
      </c>
      <c r="P262" t="s">
        <v>4928</v>
      </c>
    </row>
    <row r="263" spans="1:16" hidden="1" x14ac:dyDescent="0.25">
      <c r="A263" t="s">
        <v>244</v>
      </c>
      <c r="B263" t="s">
        <v>245</v>
      </c>
      <c r="C263" t="s">
        <v>246</v>
      </c>
      <c r="D263">
        <v>9007</v>
      </c>
      <c r="E263" t="s">
        <v>133</v>
      </c>
      <c r="F263">
        <v>14</v>
      </c>
      <c r="G263" t="str">
        <f>_xlfn.XLOOKUP(E263,'Base SKUs'!E:E,'Base SKUs'!D:D)</f>
        <v>Hardwoods</v>
      </c>
      <c r="H263" s="10">
        <f>_xlfn.XLOOKUP(E263,'Base SKUs'!E:E,'Base SKUs'!S:S)</f>
        <v>2.9201748047999999E-2</v>
      </c>
      <c r="I263" s="9">
        <f t="shared" si="4"/>
        <v>0.40899999999999997</v>
      </c>
      <c r="J263" t="str">
        <f>_xlfn.XLOOKUP(E263,'Base SKUs'!E:E,'Base SKUs'!G:G)</f>
        <v>Ipe</v>
      </c>
      <c r="K263" t="str">
        <f>_xlfn.XLOOKUP(E263,'Base SKUs'!E:E,'Base SKUs'!H:H)</f>
        <v>S4S E4E</v>
      </c>
      <c r="L263" t="str">
        <f>_xlfn.XLOOKUP(E263,'Base SKUs'!E:E,'Base SKUs'!I:I)</f>
        <v>-</v>
      </c>
      <c r="M263" t="str">
        <f>_xlfn.XLOOKUP(E263,'Base SKUs'!E:E,'Base SKUs'!J:J)</f>
        <v>2x6</v>
      </c>
      <c r="N263">
        <f>_xlfn.XLOOKUP(E263,'Base SKUs'!E:E,'Base SKUs'!K:K)</f>
        <v>18</v>
      </c>
      <c r="O263" t="str">
        <f>_xlfn.XLOOKUP(E263,'Base SKUs'!E:E,'Base SKUs'!C:C)</f>
        <v>Long</v>
      </c>
      <c r="P263" t="s">
        <v>4928</v>
      </c>
    </row>
    <row r="264" spans="1:16" x14ac:dyDescent="0.25">
      <c r="A264" t="s">
        <v>244</v>
      </c>
      <c r="B264" t="s">
        <v>245</v>
      </c>
      <c r="C264" t="s">
        <v>246</v>
      </c>
      <c r="D264">
        <v>9007</v>
      </c>
      <c r="E264" t="s">
        <v>253</v>
      </c>
      <c r="F264">
        <v>154</v>
      </c>
      <c r="G264" t="str">
        <f>_xlfn.XLOOKUP(E264,'Base SKUs'!E:E,'Base SKUs'!D:D)</f>
        <v>Thermowood</v>
      </c>
      <c r="H264" s="10">
        <f>_xlfn.XLOOKUP(E264,'Base SKUs'!E:E,'Base SKUs'!S:S)</f>
        <v>1.6614886125000002E-2</v>
      </c>
      <c r="I264" s="9">
        <f t="shared" si="4"/>
        <v>2.5590000000000002</v>
      </c>
      <c r="J264" t="str">
        <f>_xlfn.XLOOKUP(E264,'Base SKUs'!E:E,'Base SKUs'!G:G)</f>
        <v>Maximo Thermo Ayous JPL</v>
      </c>
      <c r="K264" t="str">
        <f>_xlfn.XLOOKUP(E264,'Base SKUs'!E:E,'Base SKUs'!H:H)</f>
        <v>S4S E4E</v>
      </c>
      <c r="L264" t="str">
        <f>_xlfn.XLOOKUP(E264,'Base SKUs'!E:E,'Base SKUs'!I:I)</f>
        <v>-</v>
      </c>
      <c r="M264" t="str">
        <f>_xlfn.XLOOKUP(E264,'Base SKUs'!E:E,'Base SKUs'!J:J)</f>
        <v>1x10</v>
      </c>
      <c r="N264">
        <f>_xlfn.XLOOKUP(E264,'Base SKUs'!E:E,'Base SKUs'!K:K)</f>
        <v>11</v>
      </c>
      <c r="O264" t="str">
        <f>_xlfn.XLOOKUP(E264,'Base SKUs'!E:E,'Base SKUs'!C:C)</f>
        <v>Long</v>
      </c>
      <c r="P264" t="s">
        <v>4928</v>
      </c>
    </row>
    <row r="265" spans="1:16" x14ac:dyDescent="0.25">
      <c r="A265" t="s">
        <v>244</v>
      </c>
      <c r="B265" t="s">
        <v>245</v>
      </c>
      <c r="C265" t="s">
        <v>246</v>
      </c>
      <c r="D265">
        <v>9007</v>
      </c>
      <c r="E265" t="s">
        <v>254</v>
      </c>
      <c r="F265">
        <v>77</v>
      </c>
      <c r="G265" t="str">
        <f>_xlfn.XLOOKUP(E265,'Base SKUs'!E:E,'Base SKUs'!D:D)</f>
        <v>Thermowood</v>
      </c>
      <c r="H265" s="10">
        <f>_xlfn.XLOOKUP(E265,'Base SKUs'!E:E,'Base SKUs'!S:S)</f>
        <v>2.1177780224999995E-2</v>
      </c>
      <c r="I265" s="9">
        <f t="shared" si="4"/>
        <v>1.631</v>
      </c>
      <c r="J265" t="str">
        <f>_xlfn.XLOOKUP(E265,'Base SKUs'!E:E,'Base SKUs'!G:G)</f>
        <v>Maximo Thermo Ayous JPL</v>
      </c>
      <c r="K265" t="str">
        <f>_xlfn.XLOOKUP(E265,'Base SKUs'!E:E,'Base SKUs'!H:H)</f>
        <v>S4S E4E</v>
      </c>
      <c r="L265" t="str">
        <f>_xlfn.XLOOKUP(E265,'Base SKUs'!E:E,'Base SKUs'!I:I)</f>
        <v>-</v>
      </c>
      <c r="M265" t="str">
        <f>_xlfn.XLOOKUP(E265,'Base SKUs'!E:E,'Base SKUs'!J:J)</f>
        <v>1x10</v>
      </c>
      <c r="N265">
        <f>_xlfn.XLOOKUP(E265,'Base SKUs'!E:E,'Base SKUs'!K:K)</f>
        <v>14</v>
      </c>
      <c r="O265" t="str">
        <f>_xlfn.XLOOKUP(E265,'Base SKUs'!E:E,'Base SKUs'!C:C)</f>
        <v>Long</v>
      </c>
      <c r="P265" t="s">
        <v>4928</v>
      </c>
    </row>
    <row r="266" spans="1:16" hidden="1" x14ac:dyDescent="0.25">
      <c r="A266" t="s">
        <v>255</v>
      </c>
      <c r="B266" t="s">
        <v>245</v>
      </c>
      <c r="C266" t="s">
        <v>246</v>
      </c>
      <c r="D266">
        <v>9008</v>
      </c>
      <c r="E266" t="s">
        <v>250</v>
      </c>
      <c r="F266">
        <v>49</v>
      </c>
      <c r="G266" t="str">
        <f>_xlfn.XLOOKUP(E266,'Base SKUs'!E:E,'Base SKUs'!D:D)</f>
        <v>Hardwoods</v>
      </c>
      <c r="H266" s="10">
        <f>_xlfn.XLOOKUP(E266,'Base SKUs'!E:E,'Base SKUs'!S:S)</f>
        <v>8.259080256000001E-3</v>
      </c>
      <c r="I266" s="9">
        <f t="shared" si="4"/>
        <v>0.40500000000000003</v>
      </c>
      <c r="J266" t="str">
        <f>_xlfn.XLOOKUP(E266,'Base SKUs'!E:E,'Base SKUs'!G:G)</f>
        <v>Ipe</v>
      </c>
      <c r="K266" t="str">
        <f>_xlfn.XLOOKUP(E266,'Base SKUs'!E:E,'Base SKUs'!H:H)</f>
        <v>S4S E4E</v>
      </c>
      <c r="L266" t="str">
        <f>_xlfn.XLOOKUP(E266,'Base SKUs'!E:E,'Base SKUs'!I:I)</f>
        <v>-</v>
      </c>
      <c r="M266" t="str">
        <f>_xlfn.XLOOKUP(E266,'Base SKUs'!E:E,'Base SKUs'!J:J)</f>
        <v>2x4</v>
      </c>
      <c r="N266">
        <f>_xlfn.XLOOKUP(E266,'Base SKUs'!E:E,'Base SKUs'!K:K)</f>
        <v>8</v>
      </c>
      <c r="O266" t="str">
        <f>_xlfn.XLOOKUP(E266,'Base SKUs'!E:E,'Base SKUs'!C:C)</f>
        <v>Long</v>
      </c>
      <c r="P266" t="s">
        <v>4928</v>
      </c>
    </row>
    <row r="267" spans="1:16" hidden="1" x14ac:dyDescent="0.25">
      <c r="A267" t="s">
        <v>255</v>
      </c>
      <c r="B267" t="s">
        <v>245</v>
      </c>
      <c r="C267" t="s">
        <v>246</v>
      </c>
      <c r="D267">
        <v>9008</v>
      </c>
      <c r="E267" t="s">
        <v>168</v>
      </c>
      <c r="F267">
        <v>38</v>
      </c>
      <c r="G267" t="str">
        <f>_xlfn.XLOOKUP(E267,'Base SKUs'!E:E,'Base SKUs'!D:D)</f>
        <v>Hardwoods</v>
      </c>
      <c r="H267" s="10">
        <f>_xlfn.XLOOKUP(E267,'Base SKUs'!E:E,'Base SKUs'!S:S)</f>
        <v>1.0323850320000001E-2</v>
      </c>
      <c r="I267" s="9">
        <f t="shared" si="4"/>
        <v>0.39200000000000002</v>
      </c>
      <c r="J267" t="str">
        <f>_xlfn.XLOOKUP(E267,'Base SKUs'!E:E,'Base SKUs'!G:G)</f>
        <v>Ipe</v>
      </c>
      <c r="K267" t="str">
        <f>_xlfn.XLOOKUP(E267,'Base SKUs'!E:E,'Base SKUs'!H:H)</f>
        <v>S4S E4E</v>
      </c>
      <c r="L267" t="str">
        <f>_xlfn.XLOOKUP(E267,'Base SKUs'!E:E,'Base SKUs'!I:I)</f>
        <v>-</v>
      </c>
      <c r="M267" t="str">
        <f>_xlfn.XLOOKUP(E267,'Base SKUs'!E:E,'Base SKUs'!J:J)</f>
        <v>2x4</v>
      </c>
      <c r="N267">
        <f>_xlfn.XLOOKUP(E267,'Base SKUs'!E:E,'Base SKUs'!K:K)</f>
        <v>10</v>
      </c>
      <c r="O267" t="str">
        <f>_xlfn.XLOOKUP(E267,'Base SKUs'!E:E,'Base SKUs'!C:C)</f>
        <v>Long</v>
      </c>
      <c r="P267" t="s">
        <v>4928</v>
      </c>
    </row>
    <row r="268" spans="1:16" hidden="1" x14ac:dyDescent="0.25">
      <c r="A268" t="s">
        <v>255</v>
      </c>
      <c r="B268" t="s">
        <v>245</v>
      </c>
      <c r="C268" t="s">
        <v>246</v>
      </c>
      <c r="D268">
        <v>9008</v>
      </c>
      <c r="E268" t="s">
        <v>169</v>
      </c>
      <c r="F268">
        <v>57</v>
      </c>
      <c r="G268" t="str">
        <f>_xlfn.XLOOKUP(E268,'Base SKUs'!E:E,'Base SKUs'!D:D)</f>
        <v>Hardwoods</v>
      </c>
      <c r="H268" s="10">
        <f>_xlfn.XLOOKUP(E268,'Base SKUs'!E:E,'Base SKUs'!S:S)</f>
        <v>1.4453390448E-2</v>
      </c>
      <c r="I268" s="9">
        <f t="shared" si="4"/>
        <v>0.82399999999999995</v>
      </c>
      <c r="J268" t="str">
        <f>_xlfn.XLOOKUP(E268,'Base SKUs'!E:E,'Base SKUs'!G:G)</f>
        <v>Ipe</v>
      </c>
      <c r="K268" t="str">
        <f>_xlfn.XLOOKUP(E268,'Base SKUs'!E:E,'Base SKUs'!H:H)</f>
        <v>S4S E4E</v>
      </c>
      <c r="L268" t="str">
        <f>_xlfn.XLOOKUP(E268,'Base SKUs'!E:E,'Base SKUs'!I:I)</f>
        <v>-</v>
      </c>
      <c r="M268" t="str">
        <f>_xlfn.XLOOKUP(E268,'Base SKUs'!E:E,'Base SKUs'!J:J)</f>
        <v>2x4</v>
      </c>
      <c r="N268">
        <f>_xlfn.XLOOKUP(E268,'Base SKUs'!E:E,'Base SKUs'!K:K)</f>
        <v>14</v>
      </c>
      <c r="O268" t="str">
        <f>_xlfn.XLOOKUP(E268,'Base SKUs'!E:E,'Base SKUs'!C:C)</f>
        <v>Long</v>
      </c>
      <c r="P268" t="s">
        <v>4928</v>
      </c>
    </row>
    <row r="269" spans="1:16" hidden="1" x14ac:dyDescent="0.25">
      <c r="A269" t="s">
        <v>255</v>
      </c>
      <c r="B269" t="s">
        <v>245</v>
      </c>
      <c r="C269" t="s">
        <v>246</v>
      </c>
      <c r="D269">
        <v>9008</v>
      </c>
      <c r="E269" t="s">
        <v>256</v>
      </c>
      <c r="F269">
        <v>33</v>
      </c>
      <c r="G269" t="str">
        <f>_xlfn.XLOOKUP(E269,'Base SKUs'!E:E,'Base SKUs'!D:D)</f>
        <v>Hardwoods</v>
      </c>
      <c r="H269" s="10">
        <f>_xlfn.XLOOKUP(E269,'Base SKUs'!E:E,'Base SKUs'!S:S)</f>
        <v>1.8582930576000002E-2</v>
      </c>
      <c r="I269" s="9">
        <f t="shared" si="4"/>
        <v>0.61299999999999999</v>
      </c>
      <c r="J269" t="str">
        <f>_xlfn.XLOOKUP(E269,'Base SKUs'!E:E,'Base SKUs'!G:G)</f>
        <v>Ipe</v>
      </c>
      <c r="K269" t="str">
        <f>_xlfn.XLOOKUP(E269,'Base SKUs'!E:E,'Base SKUs'!H:H)</f>
        <v>S4S E4E</v>
      </c>
      <c r="L269" t="str">
        <f>_xlfn.XLOOKUP(E269,'Base SKUs'!E:E,'Base SKUs'!I:I)</f>
        <v>-</v>
      </c>
      <c r="M269" t="str">
        <f>_xlfn.XLOOKUP(E269,'Base SKUs'!E:E,'Base SKUs'!J:J)</f>
        <v>2x4</v>
      </c>
      <c r="N269">
        <f>_xlfn.XLOOKUP(E269,'Base SKUs'!E:E,'Base SKUs'!K:K)</f>
        <v>18</v>
      </c>
      <c r="O269" t="str">
        <f>_xlfn.XLOOKUP(E269,'Base SKUs'!E:E,'Base SKUs'!C:C)</f>
        <v>Long</v>
      </c>
      <c r="P269" t="s">
        <v>4928</v>
      </c>
    </row>
    <row r="270" spans="1:16" hidden="1" x14ac:dyDescent="0.25">
      <c r="A270" t="s">
        <v>255</v>
      </c>
      <c r="B270" t="s">
        <v>245</v>
      </c>
      <c r="C270" t="s">
        <v>246</v>
      </c>
      <c r="D270">
        <v>9008</v>
      </c>
      <c r="E270" t="s">
        <v>257</v>
      </c>
      <c r="F270">
        <v>11</v>
      </c>
      <c r="G270" t="str">
        <f>_xlfn.XLOOKUP(E270,'Base SKUs'!E:E,'Base SKUs'!D:D)</f>
        <v>Hardwoods</v>
      </c>
      <c r="H270" s="10">
        <f>_xlfn.XLOOKUP(E270,'Base SKUs'!E:E,'Base SKUs'!S:S)</f>
        <v>2.0647700640000002E-2</v>
      </c>
      <c r="I270" s="9">
        <f t="shared" si="4"/>
        <v>0.22700000000000001</v>
      </c>
      <c r="J270" t="str">
        <f>_xlfn.XLOOKUP(E270,'Base SKUs'!E:E,'Base SKUs'!G:G)</f>
        <v>Ipe</v>
      </c>
      <c r="K270" t="str">
        <f>_xlfn.XLOOKUP(E270,'Base SKUs'!E:E,'Base SKUs'!H:H)</f>
        <v>S4S E4E</v>
      </c>
      <c r="L270" t="str">
        <f>_xlfn.XLOOKUP(E270,'Base SKUs'!E:E,'Base SKUs'!I:I)</f>
        <v>-</v>
      </c>
      <c r="M270" t="str">
        <f>_xlfn.XLOOKUP(E270,'Base SKUs'!E:E,'Base SKUs'!J:J)</f>
        <v>2x4</v>
      </c>
      <c r="N270">
        <f>_xlfn.XLOOKUP(E270,'Base SKUs'!E:E,'Base SKUs'!K:K)</f>
        <v>20</v>
      </c>
      <c r="O270" t="str">
        <f>_xlfn.XLOOKUP(E270,'Base SKUs'!E:E,'Base SKUs'!C:C)</f>
        <v>Long</v>
      </c>
      <c r="P270" t="s">
        <v>4928</v>
      </c>
    </row>
    <row r="271" spans="1:16" hidden="1" x14ac:dyDescent="0.25">
      <c r="A271" t="s">
        <v>258</v>
      </c>
      <c r="B271" t="s">
        <v>7</v>
      </c>
      <c r="C271" t="s">
        <v>8</v>
      </c>
      <c r="D271">
        <v>9007</v>
      </c>
      <c r="E271" t="s">
        <v>124</v>
      </c>
      <c r="F271">
        <v>112</v>
      </c>
      <c r="G271" t="str">
        <f>_xlfn.XLOOKUP(E271,'Base SKUs'!E:E,'Base SKUs'!D:D)</f>
        <v>Thermowood</v>
      </c>
      <c r="H271" s="10">
        <f>_xlfn.XLOOKUP(E271,'Base SKUs'!E:E,'Base SKUs'!S:S)</f>
        <v>8.7779999999999993E-3</v>
      </c>
      <c r="I271" s="9">
        <f t="shared" si="4"/>
        <v>0.98299999999999998</v>
      </c>
      <c r="J271" t="str">
        <f>_xlfn.XLOOKUP(E271,'Base SKUs'!E:E,'Base SKUs'!G:G)</f>
        <v>Maximo Thermo Ayous</v>
      </c>
      <c r="K271" t="str">
        <f>_xlfn.XLOOKUP(E271,'Base SKUs'!E:E,'Base SKUs'!H:H)</f>
        <v>VJoint - Square Back</v>
      </c>
      <c r="L271" t="str">
        <f>_xlfn.XLOOKUP(E271,'Base SKUs'!E:E,'Base SKUs'!I:I)</f>
        <v>-</v>
      </c>
      <c r="M271" t="str">
        <f>_xlfn.XLOOKUP(E271,'Base SKUs'!E:E,'Base SKUs'!J:J)</f>
        <v>1x6</v>
      </c>
      <c r="N271">
        <f>_xlfn.XLOOKUP(E271,'Base SKUs'!E:E,'Base SKUs'!K:K)</f>
        <v>11</v>
      </c>
      <c r="O271" t="str">
        <f>_xlfn.XLOOKUP(E271,'Base SKUs'!E:E,'Base SKUs'!C:C)</f>
        <v>Long</v>
      </c>
      <c r="P271" t="s">
        <v>4923</v>
      </c>
    </row>
    <row r="272" spans="1:16" hidden="1" x14ac:dyDescent="0.25">
      <c r="A272" t="s">
        <v>258</v>
      </c>
      <c r="B272" t="s">
        <v>7</v>
      </c>
      <c r="C272" t="s">
        <v>8</v>
      </c>
      <c r="D272">
        <v>9007</v>
      </c>
      <c r="E272" t="s">
        <v>125</v>
      </c>
      <c r="F272">
        <v>24</v>
      </c>
      <c r="G272" t="str">
        <f>_xlfn.XLOOKUP(E272,'Base SKUs'!E:E,'Base SKUs'!D:D)</f>
        <v>Thermowood</v>
      </c>
      <c r="H272" s="10">
        <f>_xlfn.XLOOKUP(E272,'Base SKUs'!E:E,'Base SKUs'!S:S)</f>
        <v>1.1970000000000001E-2</v>
      </c>
      <c r="I272" s="9">
        <f t="shared" si="4"/>
        <v>0.28699999999999998</v>
      </c>
      <c r="J272" t="str">
        <f>_xlfn.XLOOKUP(E272,'Base SKUs'!E:E,'Base SKUs'!G:G)</f>
        <v>Maximo Thermo Ayous</v>
      </c>
      <c r="K272" t="str">
        <f>_xlfn.XLOOKUP(E272,'Base SKUs'!E:E,'Base SKUs'!H:H)</f>
        <v>VJoint - Square Back</v>
      </c>
      <c r="L272" t="str">
        <f>_xlfn.XLOOKUP(E272,'Base SKUs'!E:E,'Base SKUs'!I:I)</f>
        <v>-</v>
      </c>
      <c r="M272" t="str">
        <f>_xlfn.XLOOKUP(E272,'Base SKUs'!E:E,'Base SKUs'!J:J)</f>
        <v>1x6</v>
      </c>
      <c r="N272">
        <f>_xlfn.XLOOKUP(E272,'Base SKUs'!E:E,'Base SKUs'!K:K)</f>
        <v>15</v>
      </c>
      <c r="O272" t="str">
        <f>_xlfn.XLOOKUP(E272,'Base SKUs'!E:E,'Base SKUs'!C:C)</f>
        <v>Long</v>
      </c>
      <c r="P272" t="s">
        <v>4923</v>
      </c>
    </row>
    <row r="273" spans="1:16" hidden="1" x14ac:dyDescent="0.25">
      <c r="A273" t="s">
        <v>258</v>
      </c>
      <c r="B273" t="s">
        <v>7</v>
      </c>
      <c r="C273" t="s">
        <v>8</v>
      </c>
      <c r="D273">
        <v>9007</v>
      </c>
      <c r="E273" t="s">
        <v>55</v>
      </c>
      <c r="F273">
        <v>10</v>
      </c>
      <c r="G273" t="str">
        <f>_xlfn.XLOOKUP(E273,'Base SKUs'!E:E,'Base SKUs'!D:D)</f>
        <v>Thermowood</v>
      </c>
      <c r="H273" s="10">
        <f>_xlfn.XLOOKUP(E273,'Base SKUs'!E:E,'Base SKUs'!S:S)</f>
        <v>3.192E-3</v>
      </c>
      <c r="I273" s="9">
        <f t="shared" si="4"/>
        <v>3.2000000000000001E-2</v>
      </c>
      <c r="J273" t="str">
        <f>_xlfn.XLOOKUP(E273,'Base SKUs'!E:E,'Base SKUs'!G:G)</f>
        <v>Maximo Thermo Ayous</v>
      </c>
      <c r="K273" t="str">
        <f>_xlfn.XLOOKUP(E273,'Base SKUs'!E:E,'Base SKUs'!H:H)</f>
        <v>VJoint - Square Back</v>
      </c>
      <c r="L273" t="str">
        <f>_xlfn.XLOOKUP(E273,'Base SKUs'!E:E,'Base SKUs'!I:I)</f>
        <v>-</v>
      </c>
      <c r="M273" t="str">
        <f>_xlfn.XLOOKUP(E273,'Base SKUs'!E:E,'Base SKUs'!J:J)</f>
        <v>1x6</v>
      </c>
      <c r="N273">
        <f>_xlfn.XLOOKUP(E273,'Base SKUs'!E:E,'Base SKUs'!K:K)</f>
        <v>4</v>
      </c>
      <c r="O273" t="str">
        <f>_xlfn.XLOOKUP(E273,'Base SKUs'!E:E,'Base SKUs'!C:C)</f>
        <v>Short</v>
      </c>
      <c r="P273" t="s">
        <v>4923</v>
      </c>
    </row>
    <row r="274" spans="1:16" hidden="1" x14ac:dyDescent="0.25">
      <c r="A274" t="s">
        <v>258</v>
      </c>
      <c r="B274" t="s">
        <v>7</v>
      </c>
      <c r="C274" t="s">
        <v>8</v>
      </c>
      <c r="D274">
        <v>9007</v>
      </c>
      <c r="E274" t="s">
        <v>56</v>
      </c>
      <c r="F274">
        <v>14</v>
      </c>
      <c r="G274" t="str">
        <f>_xlfn.XLOOKUP(E274,'Base SKUs'!E:E,'Base SKUs'!D:D)</f>
        <v>Thermowood</v>
      </c>
      <c r="H274" s="10">
        <f>_xlfn.XLOOKUP(E274,'Base SKUs'!E:E,'Base SKUs'!S:S)</f>
        <v>4.7880000000000006E-3</v>
      </c>
      <c r="I274" s="9">
        <f t="shared" si="4"/>
        <v>6.7000000000000004E-2</v>
      </c>
      <c r="J274" t="str">
        <f>_xlfn.XLOOKUP(E274,'Base SKUs'!E:E,'Base SKUs'!G:G)</f>
        <v>Maximo Thermo Ayous</v>
      </c>
      <c r="K274" t="str">
        <f>_xlfn.XLOOKUP(E274,'Base SKUs'!E:E,'Base SKUs'!H:H)</f>
        <v>VJoint - Square Back</v>
      </c>
      <c r="L274" t="str">
        <f>_xlfn.XLOOKUP(E274,'Base SKUs'!E:E,'Base SKUs'!I:I)</f>
        <v>-</v>
      </c>
      <c r="M274" t="str">
        <f>_xlfn.XLOOKUP(E274,'Base SKUs'!E:E,'Base SKUs'!J:J)</f>
        <v>1x6</v>
      </c>
      <c r="N274">
        <f>_xlfn.XLOOKUP(E274,'Base SKUs'!E:E,'Base SKUs'!K:K)</f>
        <v>6</v>
      </c>
      <c r="O274" t="str">
        <f>_xlfn.XLOOKUP(E274,'Base SKUs'!E:E,'Base SKUs'!C:C)</f>
        <v>Short</v>
      </c>
      <c r="P274" t="s">
        <v>4923</v>
      </c>
    </row>
    <row r="275" spans="1:16" hidden="1" x14ac:dyDescent="0.25">
      <c r="A275" t="s">
        <v>258</v>
      </c>
      <c r="B275" t="s">
        <v>7</v>
      </c>
      <c r="C275" t="s">
        <v>8</v>
      </c>
      <c r="D275">
        <v>9007</v>
      </c>
      <c r="E275" t="s">
        <v>44</v>
      </c>
      <c r="F275">
        <v>6</v>
      </c>
      <c r="G275" t="str">
        <f>_xlfn.XLOOKUP(E275,'Base SKUs'!E:E,'Base SKUs'!D:D)</f>
        <v>Thermowood</v>
      </c>
      <c r="H275" s="10">
        <f>_xlfn.XLOOKUP(E275,'Base SKUs'!E:E,'Base SKUs'!S:S)</f>
        <v>6.3839999999999999E-3</v>
      </c>
      <c r="I275" s="9">
        <f t="shared" si="4"/>
        <v>3.7999999999999999E-2</v>
      </c>
      <c r="J275" t="str">
        <f>_xlfn.XLOOKUP(E275,'Base SKUs'!E:E,'Base SKUs'!G:G)</f>
        <v>Maximo Thermo Ayous</v>
      </c>
      <c r="K275" t="str">
        <f>_xlfn.XLOOKUP(E275,'Base SKUs'!E:E,'Base SKUs'!H:H)</f>
        <v>VJoint - Square Back</v>
      </c>
      <c r="L275" t="str">
        <f>_xlfn.XLOOKUP(E275,'Base SKUs'!E:E,'Base SKUs'!I:I)</f>
        <v>-</v>
      </c>
      <c r="M275" t="str">
        <f>_xlfn.XLOOKUP(E275,'Base SKUs'!E:E,'Base SKUs'!J:J)</f>
        <v>1x6</v>
      </c>
      <c r="N275">
        <f>_xlfn.XLOOKUP(E275,'Base SKUs'!E:E,'Base SKUs'!K:K)</f>
        <v>8</v>
      </c>
      <c r="O275" t="str">
        <f>_xlfn.XLOOKUP(E275,'Base SKUs'!E:E,'Base SKUs'!C:C)</f>
        <v>Long</v>
      </c>
      <c r="P275" t="s">
        <v>4923</v>
      </c>
    </row>
    <row r="276" spans="1:16" hidden="1" x14ac:dyDescent="0.25">
      <c r="A276" t="s">
        <v>258</v>
      </c>
      <c r="B276" t="s">
        <v>7</v>
      </c>
      <c r="C276" t="s">
        <v>8</v>
      </c>
      <c r="D276">
        <v>9007</v>
      </c>
      <c r="E276" t="s">
        <v>46</v>
      </c>
      <c r="F276">
        <v>4</v>
      </c>
      <c r="G276" t="str">
        <f>_xlfn.XLOOKUP(E276,'Base SKUs'!E:E,'Base SKUs'!D:D)</f>
        <v>Thermowood</v>
      </c>
      <c r="H276" s="10">
        <f>_xlfn.XLOOKUP(E276,'Base SKUs'!E:E,'Base SKUs'!S:S)</f>
        <v>7.980000000000001E-3</v>
      </c>
      <c r="I276" s="9">
        <f t="shared" si="4"/>
        <v>3.2000000000000001E-2</v>
      </c>
      <c r="J276" t="str">
        <f>_xlfn.XLOOKUP(E276,'Base SKUs'!E:E,'Base SKUs'!G:G)</f>
        <v>Maximo Thermo Ayous</v>
      </c>
      <c r="K276" t="str">
        <f>_xlfn.XLOOKUP(E276,'Base SKUs'!E:E,'Base SKUs'!H:H)</f>
        <v>VJoint - Square Back</v>
      </c>
      <c r="L276" t="str">
        <f>_xlfn.XLOOKUP(E276,'Base SKUs'!E:E,'Base SKUs'!I:I)</f>
        <v>-</v>
      </c>
      <c r="M276" t="str">
        <f>_xlfn.XLOOKUP(E276,'Base SKUs'!E:E,'Base SKUs'!J:J)</f>
        <v>1x6</v>
      </c>
      <c r="N276">
        <f>_xlfn.XLOOKUP(E276,'Base SKUs'!E:E,'Base SKUs'!K:K)</f>
        <v>10</v>
      </c>
      <c r="O276" t="str">
        <f>_xlfn.XLOOKUP(E276,'Base SKUs'!E:E,'Base SKUs'!C:C)</f>
        <v>Long</v>
      </c>
      <c r="P276" t="s">
        <v>4923</v>
      </c>
    </row>
    <row r="277" spans="1:16" hidden="1" x14ac:dyDescent="0.25">
      <c r="A277" t="s">
        <v>258</v>
      </c>
      <c r="B277" t="s">
        <v>7</v>
      </c>
      <c r="C277" t="s">
        <v>8</v>
      </c>
      <c r="D277">
        <v>9007</v>
      </c>
      <c r="E277" t="s">
        <v>259</v>
      </c>
      <c r="F277">
        <v>1</v>
      </c>
      <c r="G277" t="str">
        <f>_xlfn.XLOOKUP(E277,'Base SKUs'!E:E,'Base SKUs'!D:D)</f>
        <v>Thermowood</v>
      </c>
      <c r="H277" s="10">
        <f>_xlfn.XLOOKUP(E277,'Base SKUs'!E:E,'Base SKUs'!S:S)</f>
        <v>1.0374000000000001E-2</v>
      </c>
      <c r="I277" s="9">
        <f t="shared" si="4"/>
        <v>0.01</v>
      </c>
      <c r="J277" t="str">
        <f>_xlfn.XLOOKUP(E277,'Base SKUs'!E:E,'Base SKUs'!G:G)</f>
        <v>Maximo Thermo Ayous</v>
      </c>
      <c r="K277" t="str">
        <f>_xlfn.XLOOKUP(E277,'Base SKUs'!E:E,'Base SKUs'!H:H)</f>
        <v>VJoint - Square Back</v>
      </c>
      <c r="L277" t="str">
        <f>_xlfn.XLOOKUP(E277,'Base SKUs'!E:E,'Base SKUs'!I:I)</f>
        <v>-</v>
      </c>
      <c r="M277" t="str">
        <f>_xlfn.XLOOKUP(E277,'Base SKUs'!E:E,'Base SKUs'!J:J)</f>
        <v>1x6</v>
      </c>
      <c r="N277">
        <f>_xlfn.XLOOKUP(E277,'Base SKUs'!E:E,'Base SKUs'!K:K)</f>
        <v>13</v>
      </c>
      <c r="O277" t="str">
        <f>_xlfn.XLOOKUP(E277,'Base SKUs'!E:E,'Base SKUs'!C:C)</f>
        <v>Long</v>
      </c>
      <c r="P277" t="s">
        <v>4923</v>
      </c>
    </row>
    <row r="278" spans="1:16" hidden="1" x14ac:dyDescent="0.25">
      <c r="A278" t="s">
        <v>258</v>
      </c>
      <c r="B278" t="s">
        <v>7</v>
      </c>
      <c r="C278" t="s">
        <v>8</v>
      </c>
      <c r="D278">
        <v>9007</v>
      </c>
      <c r="E278" t="s">
        <v>57</v>
      </c>
      <c r="F278">
        <v>7</v>
      </c>
      <c r="G278" t="str">
        <f>_xlfn.XLOOKUP(E278,'Base SKUs'!E:E,'Base SKUs'!D:D)</f>
        <v>Thermowood</v>
      </c>
      <c r="H278" s="10">
        <f>_xlfn.XLOOKUP(E278,'Base SKUs'!E:E,'Base SKUs'!S:S)</f>
        <v>1.2768E-2</v>
      </c>
      <c r="I278" s="9">
        <f t="shared" si="4"/>
        <v>8.8999999999999996E-2</v>
      </c>
      <c r="J278" t="str">
        <f>_xlfn.XLOOKUP(E278,'Base SKUs'!E:E,'Base SKUs'!G:G)</f>
        <v>Maximo Thermo Ayous</v>
      </c>
      <c r="K278" t="str">
        <f>_xlfn.XLOOKUP(E278,'Base SKUs'!E:E,'Base SKUs'!H:H)</f>
        <v>VJoint - Square Back</v>
      </c>
      <c r="L278" t="str">
        <f>_xlfn.XLOOKUP(E278,'Base SKUs'!E:E,'Base SKUs'!I:I)</f>
        <v>-</v>
      </c>
      <c r="M278" t="str">
        <f>_xlfn.XLOOKUP(E278,'Base SKUs'!E:E,'Base SKUs'!J:J)</f>
        <v>1x6</v>
      </c>
      <c r="N278">
        <f>_xlfn.XLOOKUP(E278,'Base SKUs'!E:E,'Base SKUs'!K:K)</f>
        <v>16</v>
      </c>
      <c r="O278" t="str">
        <f>_xlfn.XLOOKUP(E278,'Base SKUs'!E:E,'Base SKUs'!C:C)</f>
        <v>Long</v>
      </c>
      <c r="P278" t="s">
        <v>4923</v>
      </c>
    </row>
    <row r="279" spans="1:16" hidden="1" x14ac:dyDescent="0.25">
      <c r="A279" t="s">
        <v>258</v>
      </c>
      <c r="B279" t="s">
        <v>7</v>
      </c>
      <c r="C279" t="s">
        <v>8</v>
      </c>
      <c r="D279">
        <v>9007</v>
      </c>
      <c r="E279" t="s">
        <v>126</v>
      </c>
      <c r="F279">
        <v>3</v>
      </c>
      <c r="G279" t="str">
        <f>_xlfn.XLOOKUP(E279,'Base SKUs'!E:E,'Base SKUs'!D:D)</f>
        <v>Thermowood</v>
      </c>
      <c r="H279" s="10">
        <f>_xlfn.XLOOKUP(E279,'Base SKUs'!E:E,'Base SKUs'!S:S)</f>
        <v>1.3565999999999998E-2</v>
      </c>
      <c r="I279" s="9">
        <f t="shared" si="4"/>
        <v>4.1000000000000002E-2</v>
      </c>
      <c r="J279" t="str">
        <f>_xlfn.XLOOKUP(E279,'Base SKUs'!E:E,'Base SKUs'!G:G)</f>
        <v>Maximo Thermo Ayous</v>
      </c>
      <c r="K279" t="str">
        <f>_xlfn.XLOOKUP(E279,'Base SKUs'!E:E,'Base SKUs'!H:H)</f>
        <v>VJoint - Square Back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17</v>
      </c>
      <c r="O279" t="str">
        <f>_xlfn.XLOOKUP(E279,'Base SKUs'!E:E,'Base SKUs'!C:C)</f>
        <v>Long</v>
      </c>
      <c r="P279" t="s">
        <v>4923</v>
      </c>
    </row>
    <row r="280" spans="1:16" hidden="1" x14ac:dyDescent="0.25">
      <c r="A280" t="s">
        <v>258</v>
      </c>
      <c r="B280" t="s">
        <v>7</v>
      </c>
      <c r="C280" t="s">
        <v>8</v>
      </c>
      <c r="D280">
        <v>9007</v>
      </c>
      <c r="E280" t="s">
        <v>260</v>
      </c>
      <c r="F280">
        <v>7</v>
      </c>
      <c r="G280" t="str">
        <f>_xlfn.XLOOKUP(E280,'Base SKUs'!E:E,'Base SKUs'!D:D)</f>
        <v>Thermowood</v>
      </c>
      <c r="H280" s="10">
        <f>_xlfn.XLOOKUP(E280,'Base SKUs'!E:E,'Base SKUs'!S:S)</f>
        <v>1.4364E-2</v>
      </c>
      <c r="I280" s="9">
        <f t="shared" si="4"/>
        <v>0.10100000000000001</v>
      </c>
      <c r="J280" t="str">
        <f>_xlfn.XLOOKUP(E280,'Base SKUs'!E:E,'Base SKUs'!G:G)</f>
        <v>Maximo Thermo Ayous</v>
      </c>
      <c r="K280" t="str">
        <f>_xlfn.XLOOKUP(E280,'Base SKUs'!E:E,'Base SKUs'!H:H)</f>
        <v>VJoint - Square Back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18</v>
      </c>
      <c r="O280" t="str">
        <f>_xlfn.XLOOKUP(E280,'Base SKUs'!E:E,'Base SKUs'!C:C)</f>
        <v>Long</v>
      </c>
      <c r="P280" t="s">
        <v>4923</v>
      </c>
    </row>
    <row r="281" spans="1:16" hidden="1" x14ac:dyDescent="0.25">
      <c r="A281" t="s">
        <v>261</v>
      </c>
      <c r="B281" t="s">
        <v>7</v>
      </c>
      <c r="C281" t="s">
        <v>8</v>
      </c>
      <c r="D281">
        <v>9007</v>
      </c>
      <c r="E281" t="s">
        <v>23</v>
      </c>
      <c r="F281">
        <v>105</v>
      </c>
      <c r="G281" t="str">
        <f>_xlfn.XLOOKUP(E281,'Base SKUs'!E:E,'Base SKUs'!D:D)</f>
        <v>Thermowood</v>
      </c>
      <c r="H281" s="10">
        <f>_xlfn.XLOOKUP(E281,'Base SKUs'!E:E,'Base SKUs'!S:S)</f>
        <v>6.3839999999999999E-3</v>
      </c>
      <c r="I281" s="9">
        <f t="shared" si="4"/>
        <v>0.67</v>
      </c>
      <c r="J281" t="str">
        <f>_xlfn.XLOOKUP(E281,'Base SKUs'!E:E,'Base SKUs'!G:G)</f>
        <v>Maximo Thermo Ayous</v>
      </c>
      <c r="K281" t="str">
        <f>_xlfn.XLOOKUP(E281,'Base SKUs'!E:E,'Base SKUs'!H:H)</f>
        <v>VJoint - Nickel Gap</v>
      </c>
      <c r="L281" t="str">
        <f>_xlfn.XLOOKUP(E281,'Base SKUs'!E:E,'Base SKUs'!I:I)</f>
        <v>-</v>
      </c>
      <c r="M281" t="str">
        <f>_xlfn.XLOOKUP(E281,'Base SKUs'!E:E,'Base SKUs'!J:J)</f>
        <v>1x6</v>
      </c>
      <c r="N281">
        <f>_xlfn.XLOOKUP(E281,'Base SKUs'!E:E,'Base SKUs'!K:K)</f>
        <v>8</v>
      </c>
      <c r="O281" t="str">
        <f>_xlfn.XLOOKUP(E281,'Base SKUs'!E:E,'Base SKUs'!C:C)</f>
        <v>Long</v>
      </c>
      <c r="P281" t="s">
        <v>4923</v>
      </c>
    </row>
    <row r="282" spans="1:16" hidden="1" x14ac:dyDescent="0.25">
      <c r="A282" t="s">
        <v>262</v>
      </c>
      <c r="B282" t="s">
        <v>7</v>
      </c>
      <c r="C282" t="s">
        <v>8</v>
      </c>
      <c r="D282">
        <v>9007</v>
      </c>
      <c r="E282" t="s">
        <v>23</v>
      </c>
      <c r="F282">
        <v>123</v>
      </c>
      <c r="G282" t="str">
        <f>_xlfn.XLOOKUP(E282,'Base SKUs'!E:E,'Base SKUs'!D:D)</f>
        <v>Thermowood</v>
      </c>
      <c r="H282" s="10">
        <f>_xlfn.XLOOKUP(E282,'Base SKUs'!E:E,'Base SKUs'!S:S)</f>
        <v>6.3839999999999999E-3</v>
      </c>
      <c r="I282" s="9">
        <f t="shared" si="4"/>
        <v>0.78500000000000003</v>
      </c>
      <c r="J282" t="str">
        <f>_xlfn.XLOOKUP(E282,'Base SKUs'!E:E,'Base SKUs'!G:G)</f>
        <v>Maximo Thermo Ayous</v>
      </c>
      <c r="K282" t="str">
        <f>_xlfn.XLOOKUP(E282,'Base SKUs'!E:E,'Base SKUs'!H:H)</f>
        <v>VJoint - Nickel Gap</v>
      </c>
      <c r="L282" t="str">
        <f>_xlfn.XLOOKUP(E282,'Base SKUs'!E:E,'Base SKUs'!I:I)</f>
        <v>-</v>
      </c>
      <c r="M282" t="str">
        <f>_xlfn.XLOOKUP(E282,'Base SKUs'!E:E,'Base SKUs'!J:J)</f>
        <v>1x6</v>
      </c>
      <c r="N282">
        <f>_xlfn.XLOOKUP(E282,'Base SKUs'!E:E,'Base SKUs'!K:K)</f>
        <v>8</v>
      </c>
      <c r="O282" t="str">
        <f>_xlfn.XLOOKUP(E282,'Base SKUs'!E:E,'Base SKUs'!C:C)</f>
        <v>Long</v>
      </c>
      <c r="P282" t="s">
        <v>4923</v>
      </c>
    </row>
    <row r="283" spans="1:16" hidden="1" x14ac:dyDescent="0.25">
      <c r="A283" t="s">
        <v>262</v>
      </c>
      <c r="B283" t="s">
        <v>7</v>
      </c>
      <c r="C283" t="s">
        <v>8</v>
      </c>
      <c r="D283">
        <v>9007</v>
      </c>
      <c r="E283" t="s">
        <v>67</v>
      </c>
      <c r="F283">
        <v>155</v>
      </c>
      <c r="G283" t="str">
        <f>_xlfn.XLOOKUP(E283,'Base SKUs'!E:E,'Base SKUs'!D:D)</f>
        <v>Thermowood</v>
      </c>
      <c r="H283" s="10">
        <f>_xlfn.XLOOKUP(E283,'Base SKUs'!E:E,'Base SKUs'!S:S)</f>
        <v>7.980000000000001E-3</v>
      </c>
      <c r="I283" s="9">
        <f t="shared" si="4"/>
        <v>1.2370000000000001</v>
      </c>
      <c r="J283" t="str">
        <f>_xlfn.XLOOKUP(E283,'Base SKUs'!E:E,'Base SKUs'!G:G)</f>
        <v>Maximo Thermo Ayous</v>
      </c>
      <c r="K283" t="str">
        <f>_xlfn.XLOOKUP(E283,'Base SKUs'!E:E,'Base SKUs'!H:H)</f>
        <v>VJoint - Nickel Gap</v>
      </c>
      <c r="L283" t="str">
        <f>_xlfn.XLOOKUP(E283,'Base SKUs'!E:E,'Base SKUs'!I:I)</f>
        <v>-</v>
      </c>
      <c r="M283" t="str">
        <f>_xlfn.XLOOKUP(E283,'Base SKUs'!E:E,'Base SKUs'!J:J)</f>
        <v>1x6</v>
      </c>
      <c r="N283">
        <f>_xlfn.XLOOKUP(E283,'Base SKUs'!E:E,'Base SKUs'!K:K)</f>
        <v>10</v>
      </c>
      <c r="O283" t="str">
        <f>_xlfn.XLOOKUP(E283,'Base SKUs'!E:E,'Base SKUs'!C:C)</f>
        <v>Long</v>
      </c>
      <c r="P283" t="s">
        <v>4923</v>
      </c>
    </row>
    <row r="284" spans="1:16" hidden="1" x14ac:dyDescent="0.25">
      <c r="A284" t="s">
        <v>262</v>
      </c>
      <c r="B284" t="s">
        <v>7</v>
      </c>
      <c r="C284" t="s">
        <v>8</v>
      </c>
      <c r="D284">
        <v>9007</v>
      </c>
      <c r="E284" t="s">
        <v>150</v>
      </c>
      <c r="F284">
        <v>51</v>
      </c>
      <c r="G284" t="str">
        <f>_xlfn.XLOOKUP(E284,'Base SKUs'!E:E,'Base SKUs'!D:D)</f>
        <v>Thermowood</v>
      </c>
      <c r="H284" s="10">
        <f>_xlfn.XLOOKUP(E284,'Base SKUs'!E:E,'Base SKUs'!S:S)</f>
        <v>9.5760000000000012E-3</v>
      </c>
      <c r="I284" s="9">
        <f t="shared" si="4"/>
        <v>0.48799999999999999</v>
      </c>
      <c r="J284" t="str">
        <f>_xlfn.XLOOKUP(E284,'Base SKUs'!E:E,'Base SKUs'!G:G)</f>
        <v>Maximo Thermo Ayous</v>
      </c>
      <c r="K284" t="str">
        <f>_xlfn.XLOOKUP(E284,'Base SKUs'!E:E,'Base SKUs'!H:H)</f>
        <v>VJoint - Nickel Gap</v>
      </c>
      <c r="L284" t="str">
        <f>_xlfn.XLOOKUP(E284,'Base SKUs'!E:E,'Base SKUs'!I:I)</f>
        <v>-</v>
      </c>
      <c r="M284" t="str">
        <f>_xlfn.XLOOKUP(E284,'Base SKUs'!E:E,'Base SKUs'!J:J)</f>
        <v>1x6</v>
      </c>
      <c r="N284">
        <f>_xlfn.XLOOKUP(E284,'Base SKUs'!E:E,'Base SKUs'!K:K)</f>
        <v>12</v>
      </c>
      <c r="O284" t="str">
        <f>_xlfn.XLOOKUP(E284,'Base SKUs'!E:E,'Base SKUs'!C:C)</f>
        <v>Long</v>
      </c>
      <c r="P284" t="s">
        <v>4923</v>
      </c>
    </row>
    <row r="285" spans="1:16" hidden="1" x14ac:dyDescent="0.25">
      <c r="A285" t="s">
        <v>262</v>
      </c>
      <c r="B285" t="s">
        <v>7</v>
      </c>
      <c r="C285" t="s">
        <v>8</v>
      </c>
      <c r="D285">
        <v>9007</v>
      </c>
      <c r="E285" t="s">
        <v>24</v>
      </c>
      <c r="F285">
        <v>2</v>
      </c>
      <c r="G285" t="str">
        <f>_xlfn.XLOOKUP(E285,'Base SKUs'!E:E,'Base SKUs'!D:D)</f>
        <v>Thermowood</v>
      </c>
      <c r="H285" s="10">
        <f>_xlfn.XLOOKUP(E285,'Base SKUs'!E:E,'Base SKUs'!S:S)</f>
        <v>1.2768E-2</v>
      </c>
      <c r="I285" s="9">
        <f t="shared" si="4"/>
        <v>2.5999999999999999E-2</v>
      </c>
      <c r="J285" t="str">
        <f>_xlfn.XLOOKUP(E285,'Base SKUs'!E:E,'Base SKUs'!G:G)</f>
        <v>Maximo Thermo Ayous</v>
      </c>
      <c r="K285" t="str">
        <f>_xlfn.XLOOKUP(E285,'Base SKUs'!E:E,'Base SKUs'!H:H)</f>
        <v>VJoint - Nickel Gap</v>
      </c>
      <c r="L285" t="str">
        <f>_xlfn.XLOOKUP(E285,'Base SKUs'!E:E,'Base SKUs'!I:I)</f>
        <v>-</v>
      </c>
      <c r="M285" t="str">
        <f>_xlfn.XLOOKUP(E285,'Base SKUs'!E:E,'Base SKUs'!J:J)</f>
        <v>1x6</v>
      </c>
      <c r="N285">
        <f>_xlfn.XLOOKUP(E285,'Base SKUs'!E:E,'Base SKUs'!K:K)</f>
        <v>16</v>
      </c>
      <c r="O285" t="str">
        <f>_xlfn.XLOOKUP(E285,'Base SKUs'!E:E,'Base SKUs'!C:C)</f>
        <v>Long</v>
      </c>
      <c r="P285" t="s">
        <v>4923</v>
      </c>
    </row>
    <row r="286" spans="1:16" hidden="1" x14ac:dyDescent="0.25">
      <c r="A286" t="s">
        <v>262</v>
      </c>
      <c r="B286" t="s">
        <v>7</v>
      </c>
      <c r="C286" t="s">
        <v>8</v>
      </c>
      <c r="D286">
        <v>9007</v>
      </c>
      <c r="E286" t="s">
        <v>204</v>
      </c>
      <c r="F286">
        <v>16</v>
      </c>
      <c r="G286" t="str">
        <f>_xlfn.XLOOKUP(E286,'Base SKUs'!E:E,'Base SKUs'!D:D)</f>
        <v>Thermowood</v>
      </c>
      <c r="H286" s="10">
        <f>_xlfn.XLOOKUP(E286,'Base SKUs'!E:E,'Base SKUs'!S:S)</f>
        <v>3.9900000000000005E-3</v>
      </c>
      <c r="I286" s="9">
        <f t="shared" si="4"/>
        <v>6.4000000000000001E-2</v>
      </c>
      <c r="J286" t="str">
        <f>_xlfn.XLOOKUP(E286,'Base SKUs'!E:E,'Base SKUs'!G:G)</f>
        <v>Maximo Thermo Ayous</v>
      </c>
      <c r="K286" t="str">
        <f>_xlfn.XLOOKUP(E286,'Base SKUs'!E:E,'Base SKUs'!H:H)</f>
        <v>VJoint - Nickel Gap</v>
      </c>
      <c r="L286" t="str">
        <f>_xlfn.XLOOKUP(E286,'Base SKUs'!E:E,'Base SKUs'!I:I)</f>
        <v>-</v>
      </c>
      <c r="M286" t="str">
        <f>_xlfn.XLOOKUP(E286,'Base SKUs'!E:E,'Base SKUs'!J:J)</f>
        <v>1x6</v>
      </c>
      <c r="N286">
        <f>_xlfn.XLOOKUP(E286,'Base SKUs'!E:E,'Base SKUs'!K:K)</f>
        <v>5</v>
      </c>
      <c r="O286" t="str">
        <f>_xlfn.XLOOKUP(E286,'Base SKUs'!E:E,'Base SKUs'!C:C)</f>
        <v>Short</v>
      </c>
      <c r="P286" t="s">
        <v>4923</v>
      </c>
    </row>
    <row r="287" spans="1:16" hidden="1" x14ac:dyDescent="0.25">
      <c r="A287" t="s">
        <v>262</v>
      </c>
      <c r="B287" t="s">
        <v>7</v>
      </c>
      <c r="C287" t="s">
        <v>8</v>
      </c>
      <c r="D287">
        <v>9007</v>
      </c>
      <c r="E287" t="s">
        <v>122</v>
      </c>
      <c r="F287">
        <v>10</v>
      </c>
      <c r="G287" t="str">
        <f>_xlfn.XLOOKUP(E287,'Base SKUs'!E:E,'Base SKUs'!D:D)</f>
        <v>Thermowood</v>
      </c>
      <c r="H287" s="10">
        <f>_xlfn.XLOOKUP(E287,'Base SKUs'!E:E,'Base SKUs'!S:S)</f>
        <v>5.5859999999999998E-3</v>
      </c>
      <c r="I287" s="9">
        <f t="shared" si="4"/>
        <v>5.6000000000000001E-2</v>
      </c>
      <c r="J287" t="str">
        <f>_xlfn.XLOOKUP(E287,'Base SKUs'!E:E,'Base SKUs'!G:G)</f>
        <v>Maximo Thermo Ayous</v>
      </c>
      <c r="K287" t="str">
        <f>_xlfn.XLOOKUP(E287,'Base SKUs'!E:E,'Base SKUs'!H:H)</f>
        <v>VJoint - Nickel Gap</v>
      </c>
      <c r="L287" t="str">
        <f>_xlfn.XLOOKUP(E287,'Base SKUs'!E:E,'Base SKUs'!I:I)</f>
        <v>-</v>
      </c>
      <c r="M287" t="str">
        <f>_xlfn.XLOOKUP(E287,'Base SKUs'!E:E,'Base SKUs'!J:J)</f>
        <v>1x6</v>
      </c>
      <c r="N287">
        <f>_xlfn.XLOOKUP(E287,'Base SKUs'!E:E,'Base SKUs'!K:K)</f>
        <v>7</v>
      </c>
      <c r="O287" t="str">
        <f>_xlfn.XLOOKUP(E287,'Base SKUs'!E:E,'Base SKUs'!C:C)</f>
        <v>Short</v>
      </c>
      <c r="P287" t="s">
        <v>4923</v>
      </c>
    </row>
    <row r="288" spans="1:16" hidden="1" x14ac:dyDescent="0.25">
      <c r="A288" t="s">
        <v>262</v>
      </c>
      <c r="B288" t="s">
        <v>7</v>
      </c>
      <c r="C288" t="s">
        <v>8</v>
      </c>
      <c r="D288">
        <v>9007</v>
      </c>
      <c r="E288" t="s">
        <v>163</v>
      </c>
      <c r="F288">
        <v>39</v>
      </c>
      <c r="G288" t="str">
        <f>_xlfn.XLOOKUP(E288,'Base SKUs'!E:E,'Base SKUs'!D:D)</f>
        <v>Thermowood</v>
      </c>
      <c r="H288" s="10">
        <f>_xlfn.XLOOKUP(E288,'Base SKUs'!E:E,'Base SKUs'!S:S)</f>
        <v>1.0374000000000001E-2</v>
      </c>
      <c r="I288" s="9">
        <f t="shared" si="4"/>
        <v>0.40500000000000003</v>
      </c>
      <c r="J288" t="str">
        <f>_xlfn.XLOOKUP(E288,'Base SKUs'!E:E,'Base SKUs'!G:G)</f>
        <v>Maximo Thermo Ayous</v>
      </c>
      <c r="K288" t="str">
        <f>_xlfn.XLOOKUP(E288,'Base SKUs'!E:E,'Base SKUs'!H:H)</f>
        <v>VJoint - Nickel Gap</v>
      </c>
      <c r="L288" t="str">
        <f>_xlfn.XLOOKUP(E288,'Base SKUs'!E:E,'Base SKUs'!I:I)</f>
        <v>-</v>
      </c>
      <c r="M288" t="str">
        <f>_xlfn.XLOOKUP(E288,'Base SKUs'!E:E,'Base SKUs'!J:J)</f>
        <v>1x6</v>
      </c>
      <c r="N288">
        <f>_xlfn.XLOOKUP(E288,'Base SKUs'!E:E,'Base SKUs'!K:K)</f>
        <v>13</v>
      </c>
      <c r="O288" t="str">
        <f>_xlfn.XLOOKUP(E288,'Base SKUs'!E:E,'Base SKUs'!C:C)</f>
        <v>Long</v>
      </c>
      <c r="P288" t="s">
        <v>4923</v>
      </c>
    </row>
    <row r="289" spans="1:16" hidden="1" x14ac:dyDescent="0.25">
      <c r="A289" t="s">
        <v>262</v>
      </c>
      <c r="B289" t="s">
        <v>7</v>
      </c>
      <c r="C289" t="s">
        <v>8</v>
      </c>
      <c r="D289">
        <v>9007</v>
      </c>
      <c r="E289" t="s">
        <v>226</v>
      </c>
      <c r="F289">
        <v>11</v>
      </c>
      <c r="G289" t="str">
        <f>_xlfn.XLOOKUP(E289,'Base SKUs'!E:E,'Base SKUs'!D:D)</f>
        <v>Thermowood</v>
      </c>
      <c r="H289" s="10">
        <f>_xlfn.XLOOKUP(E289,'Base SKUs'!E:E,'Base SKUs'!S:S)</f>
        <v>1.1970000000000001E-2</v>
      </c>
      <c r="I289" s="9">
        <f t="shared" si="4"/>
        <v>0.13200000000000001</v>
      </c>
      <c r="J289" t="str">
        <f>_xlfn.XLOOKUP(E289,'Base SKUs'!E:E,'Base SKUs'!G:G)</f>
        <v>Maximo Thermo Ayous</v>
      </c>
      <c r="K289" t="str">
        <f>_xlfn.XLOOKUP(E289,'Base SKUs'!E:E,'Base SKUs'!H:H)</f>
        <v>VJoint - Nickel Gap</v>
      </c>
      <c r="L289" t="str">
        <f>_xlfn.XLOOKUP(E289,'Base SKUs'!E:E,'Base SKUs'!I:I)</f>
        <v>-</v>
      </c>
      <c r="M289" t="str">
        <f>_xlfn.XLOOKUP(E289,'Base SKUs'!E:E,'Base SKUs'!J:J)</f>
        <v>1x6</v>
      </c>
      <c r="N289">
        <f>_xlfn.XLOOKUP(E289,'Base SKUs'!E:E,'Base SKUs'!K:K)</f>
        <v>15</v>
      </c>
      <c r="O289" t="str">
        <f>_xlfn.XLOOKUP(E289,'Base SKUs'!E:E,'Base SKUs'!C:C)</f>
        <v>Long</v>
      </c>
      <c r="P289" t="s">
        <v>4923</v>
      </c>
    </row>
    <row r="290" spans="1:16" hidden="1" x14ac:dyDescent="0.25">
      <c r="A290" t="s">
        <v>262</v>
      </c>
      <c r="B290" t="s">
        <v>7</v>
      </c>
      <c r="C290" t="s">
        <v>8</v>
      </c>
      <c r="D290">
        <v>9007</v>
      </c>
      <c r="E290" t="s">
        <v>68</v>
      </c>
      <c r="F290">
        <v>5</v>
      </c>
      <c r="G290" t="str">
        <f>_xlfn.XLOOKUP(E290,'Base SKUs'!E:E,'Base SKUs'!D:D)</f>
        <v>Thermowood</v>
      </c>
      <c r="H290" s="10">
        <f>_xlfn.XLOOKUP(E290,'Base SKUs'!E:E,'Base SKUs'!S:S)</f>
        <v>8.7779999999999993E-3</v>
      </c>
      <c r="I290" s="9">
        <f t="shared" si="4"/>
        <v>4.3999999999999997E-2</v>
      </c>
      <c r="J290" t="str">
        <f>_xlfn.XLOOKUP(E290,'Base SKUs'!E:E,'Base SKUs'!G:G)</f>
        <v>Maximo Thermo Ayous</v>
      </c>
      <c r="K290" t="str">
        <f>_xlfn.XLOOKUP(E290,'Base SKUs'!E:E,'Base SKUs'!H:H)</f>
        <v>VJoint - Nickel Gap</v>
      </c>
      <c r="L290" t="str">
        <f>_xlfn.XLOOKUP(E290,'Base SKUs'!E:E,'Base SKUs'!I:I)</f>
        <v>-</v>
      </c>
      <c r="M290" t="str">
        <f>_xlfn.XLOOKUP(E290,'Base SKUs'!E:E,'Base SKUs'!J:J)</f>
        <v>1x6</v>
      </c>
      <c r="N290">
        <f>_xlfn.XLOOKUP(E290,'Base SKUs'!E:E,'Base SKUs'!K:K)</f>
        <v>11</v>
      </c>
      <c r="O290" t="str">
        <f>_xlfn.XLOOKUP(E290,'Base SKUs'!E:E,'Base SKUs'!C:C)</f>
        <v>Long</v>
      </c>
      <c r="P290" t="s">
        <v>4923</v>
      </c>
    </row>
    <row r="291" spans="1:16" x14ac:dyDescent="0.25">
      <c r="A291" t="s">
        <v>263</v>
      </c>
      <c r="B291" t="s">
        <v>19</v>
      </c>
      <c r="C291" t="s">
        <v>20</v>
      </c>
      <c r="D291">
        <v>9007</v>
      </c>
      <c r="E291" t="s">
        <v>237</v>
      </c>
      <c r="F291">
        <v>177</v>
      </c>
      <c r="G291" t="str">
        <f>_xlfn.XLOOKUP(E291,'Base SKUs'!E:E,'Base SKUs'!D:D)</f>
        <v>Thermowood</v>
      </c>
      <c r="H291" s="10">
        <f>_xlfn.XLOOKUP(E291,'Base SKUs'!E:E,'Base SKUs'!S:S)</f>
        <v>3.192E-3</v>
      </c>
      <c r="I291" s="9">
        <f t="shared" si="4"/>
        <v>0.56499999999999995</v>
      </c>
      <c r="J291" t="str">
        <f>_xlfn.XLOOKUP(E291,'Base SKUs'!E:E,'Base SKUs'!G:G)</f>
        <v>Maximo Thermo Ayous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1x6</v>
      </c>
      <c r="N291">
        <f>_xlfn.XLOOKUP(E291,'Base SKUs'!E:E,'Base SKUs'!K:K)</f>
        <v>4</v>
      </c>
      <c r="O291" t="str">
        <f>_xlfn.XLOOKUP(E291,'Base SKUs'!E:E,'Base SKUs'!C:C)</f>
        <v>Short</v>
      </c>
      <c r="P291" t="s">
        <v>4928</v>
      </c>
    </row>
    <row r="292" spans="1:16" x14ac:dyDescent="0.25">
      <c r="A292" t="s">
        <v>263</v>
      </c>
      <c r="B292" t="s">
        <v>19</v>
      </c>
      <c r="C292" t="s">
        <v>20</v>
      </c>
      <c r="D292">
        <v>9007</v>
      </c>
      <c r="E292" t="s">
        <v>264</v>
      </c>
      <c r="F292">
        <v>238</v>
      </c>
      <c r="G292" t="str">
        <f>_xlfn.XLOOKUP(E292,'Base SKUs'!E:E,'Base SKUs'!D:D)</f>
        <v>Thermowood</v>
      </c>
      <c r="H292" s="10">
        <f>_xlfn.XLOOKUP(E292,'Base SKUs'!E:E,'Base SKUs'!S:S)</f>
        <v>3.9900000000000005E-3</v>
      </c>
      <c r="I292" s="9">
        <f t="shared" si="4"/>
        <v>0.95</v>
      </c>
      <c r="J292" t="str">
        <f>_xlfn.XLOOKUP(E292,'Base SKUs'!E:E,'Base SKUs'!G:G)</f>
        <v>Maximo Thermo Ayous</v>
      </c>
      <c r="K292" t="str">
        <f>_xlfn.XLOOKUP(E292,'Base SKUs'!E:E,'Base SKUs'!H:H)</f>
        <v>S4S E4E</v>
      </c>
      <c r="L292" t="str">
        <f>_xlfn.XLOOKUP(E292,'Base SKUs'!E:E,'Base SKUs'!I:I)</f>
        <v>-</v>
      </c>
      <c r="M292" t="str">
        <f>_xlfn.XLOOKUP(E292,'Base SKUs'!E:E,'Base SKUs'!J:J)</f>
        <v>1x6</v>
      </c>
      <c r="N292">
        <f>_xlfn.XLOOKUP(E292,'Base SKUs'!E:E,'Base SKUs'!K:K)</f>
        <v>5</v>
      </c>
      <c r="O292" t="str">
        <f>_xlfn.XLOOKUP(E292,'Base SKUs'!E:E,'Base SKUs'!C:C)</f>
        <v>Short</v>
      </c>
      <c r="P292" t="s">
        <v>4928</v>
      </c>
    </row>
    <row r="293" spans="1:16" x14ac:dyDescent="0.25">
      <c r="A293" t="s">
        <v>263</v>
      </c>
      <c r="B293" t="s">
        <v>19</v>
      </c>
      <c r="C293" t="s">
        <v>20</v>
      </c>
      <c r="D293">
        <v>9007</v>
      </c>
      <c r="E293" t="s">
        <v>208</v>
      </c>
      <c r="F293">
        <v>441</v>
      </c>
      <c r="G293" t="str">
        <f>_xlfn.XLOOKUP(E293,'Base SKUs'!E:E,'Base SKUs'!D:D)</f>
        <v>Thermowood</v>
      </c>
      <c r="H293" s="10">
        <f>_xlfn.XLOOKUP(E293,'Base SKUs'!E:E,'Base SKUs'!S:S)</f>
        <v>4.7880000000000006E-3</v>
      </c>
      <c r="I293" s="9">
        <f t="shared" si="4"/>
        <v>2.1120000000000001</v>
      </c>
      <c r="J293" t="str">
        <f>_xlfn.XLOOKUP(E293,'Base SKUs'!E:E,'Base SKUs'!G:G)</f>
        <v>Maximo Thermo Ayous</v>
      </c>
      <c r="K293" t="str">
        <f>_xlfn.XLOOKUP(E293,'Base SKUs'!E:E,'Base SKUs'!H:H)</f>
        <v>S4S E4E</v>
      </c>
      <c r="L293" t="str">
        <f>_xlfn.XLOOKUP(E293,'Base SKUs'!E:E,'Base SKUs'!I:I)</f>
        <v>-</v>
      </c>
      <c r="M293" t="str">
        <f>_xlfn.XLOOKUP(E293,'Base SKUs'!E:E,'Base SKUs'!J:J)</f>
        <v>1x6</v>
      </c>
      <c r="N293">
        <f>_xlfn.XLOOKUP(E293,'Base SKUs'!E:E,'Base SKUs'!K:K)</f>
        <v>6</v>
      </c>
      <c r="O293" t="str">
        <f>_xlfn.XLOOKUP(E293,'Base SKUs'!E:E,'Base SKUs'!C:C)</f>
        <v>Short</v>
      </c>
      <c r="P293" t="s">
        <v>4928</v>
      </c>
    </row>
    <row r="294" spans="1:16" x14ac:dyDescent="0.25">
      <c r="A294" t="s">
        <v>263</v>
      </c>
      <c r="B294" t="s">
        <v>19</v>
      </c>
      <c r="C294" t="s">
        <v>20</v>
      </c>
      <c r="D294">
        <v>9007</v>
      </c>
      <c r="E294" t="s">
        <v>209</v>
      </c>
      <c r="F294">
        <v>205</v>
      </c>
      <c r="G294" t="str">
        <f>_xlfn.XLOOKUP(E294,'Base SKUs'!E:E,'Base SKUs'!D:D)</f>
        <v>Thermowood</v>
      </c>
      <c r="H294" s="10">
        <f>_xlfn.XLOOKUP(E294,'Base SKUs'!E:E,'Base SKUs'!S:S)</f>
        <v>5.5859999999999998E-3</v>
      </c>
      <c r="I294" s="9">
        <f t="shared" si="4"/>
        <v>1.145</v>
      </c>
      <c r="J294" t="str">
        <f>_xlfn.XLOOKUP(E294,'Base SKUs'!E:E,'Base SKUs'!G:G)</f>
        <v>Maximo Thermo Ayous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1x6</v>
      </c>
      <c r="N294">
        <f>_xlfn.XLOOKUP(E294,'Base SKUs'!E:E,'Base SKUs'!K:K)</f>
        <v>7</v>
      </c>
      <c r="O294" t="str">
        <f>_xlfn.XLOOKUP(E294,'Base SKUs'!E:E,'Base SKUs'!C:C)</f>
        <v>Short</v>
      </c>
      <c r="P294" t="s">
        <v>4928</v>
      </c>
    </row>
    <row r="295" spans="1:16" x14ac:dyDescent="0.25">
      <c r="A295" t="s">
        <v>263</v>
      </c>
      <c r="B295" t="s">
        <v>19</v>
      </c>
      <c r="C295" t="s">
        <v>20</v>
      </c>
      <c r="D295">
        <v>9007</v>
      </c>
      <c r="E295" t="s">
        <v>210</v>
      </c>
      <c r="F295">
        <v>99</v>
      </c>
      <c r="G295" t="str">
        <f>_xlfn.XLOOKUP(E295,'Base SKUs'!E:E,'Base SKUs'!D:D)</f>
        <v>Thermowood</v>
      </c>
      <c r="H295" s="10">
        <f>_xlfn.XLOOKUP(E295,'Base SKUs'!E:E,'Base SKUs'!S:S)</f>
        <v>6.3839999999999999E-3</v>
      </c>
      <c r="I295" s="9">
        <f t="shared" si="4"/>
        <v>0.63200000000000001</v>
      </c>
      <c r="J295" t="str">
        <f>_xlfn.XLOOKUP(E295,'Base SKUs'!E:E,'Base SKUs'!G:G)</f>
        <v>Maximo Thermo Ayous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1x6</v>
      </c>
      <c r="N295">
        <f>_xlfn.XLOOKUP(E295,'Base SKUs'!E:E,'Base SKUs'!K:K)</f>
        <v>8</v>
      </c>
      <c r="O295" t="str">
        <f>_xlfn.XLOOKUP(E295,'Base SKUs'!E:E,'Base SKUs'!C:C)</f>
        <v>Long</v>
      </c>
      <c r="P295" t="s">
        <v>4928</v>
      </c>
    </row>
    <row r="296" spans="1:16" x14ac:dyDescent="0.25">
      <c r="A296" t="s">
        <v>263</v>
      </c>
      <c r="B296" t="s">
        <v>19</v>
      </c>
      <c r="C296" t="s">
        <v>20</v>
      </c>
      <c r="D296">
        <v>9007</v>
      </c>
      <c r="E296" t="s">
        <v>211</v>
      </c>
      <c r="F296">
        <v>183</v>
      </c>
      <c r="G296" t="str">
        <f>_xlfn.XLOOKUP(E296,'Base SKUs'!E:E,'Base SKUs'!D:D)</f>
        <v>Thermowood</v>
      </c>
      <c r="H296" s="10">
        <f>_xlfn.XLOOKUP(E296,'Base SKUs'!E:E,'Base SKUs'!S:S)</f>
        <v>7.182E-3</v>
      </c>
      <c r="I296" s="9">
        <f t="shared" si="4"/>
        <v>1.3140000000000001</v>
      </c>
      <c r="J296" t="str">
        <f>_xlfn.XLOOKUP(E296,'Base SKUs'!E:E,'Base SKUs'!G:G)</f>
        <v>Maximo Thermo Ayous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1x6</v>
      </c>
      <c r="N296">
        <f>_xlfn.XLOOKUP(E296,'Base SKUs'!E:E,'Base SKUs'!K:K)</f>
        <v>9</v>
      </c>
      <c r="O296" t="str">
        <f>_xlfn.XLOOKUP(E296,'Base SKUs'!E:E,'Base SKUs'!C:C)</f>
        <v>Long</v>
      </c>
      <c r="P296" t="s">
        <v>4928</v>
      </c>
    </row>
    <row r="297" spans="1:16" x14ac:dyDescent="0.25">
      <c r="A297" t="s">
        <v>263</v>
      </c>
      <c r="B297" t="s">
        <v>19</v>
      </c>
      <c r="C297" t="s">
        <v>20</v>
      </c>
      <c r="D297">
        <v>9007</v>
      </c>
      <c r="E297" t="s">
        <v>212</v>
      </c>
      <c r="F297">
        <v>98</v>
      </c>
      <c r="G297" t="str">
        <f>_xlfn.XLOOKUP(E297,'Base SKUs'!E:E,'Base SKUs'!D:D)</f>
        <v>Thermowood</v>
      </c>
      <c r="H297" s="10">
        <f>_xlfn.XLOOKUP(E297,'Base SKUs'!E:E,'Base SKUs'!S:S)</f>
        <v>7.980000000000001E-3</v>
      </c>
      <c r="I297" s="9">
        <f t="shared" si="4"/>
        <v>0.78200000000000003</v>
      </c>
      <c r="J297" t="str">
        <f>_xlfn.XLOOKUP(E297,'Base SKUs'!E:E,'Base SKUs'!G:G)</f>
        <v>Maximo Thermo Ayous</v>
      </c>
      <c r="K297" t="str">
        <f>_xlfn.XLOOKUP(E297,'Base SKUs'!E:E,'Base SKUs'!H:H)</f>
        <v>S4S E4E</v>
      </c>
      <c r="L297" t="str">
        <f>_xlfn.XLOOKUP(E297,'Base SKUs'!E:E,'Base SKUs'!I:I)</f>
        <v>-</v>
      </c>
      <c r="M297" t="str">
        <f>_xlfn.XLOOKUP(E297,'Base SKUs'!E:E,'Base SKUs'!J:J)</f>
        <v>1x6</v>
      </c>
      <c r="N297">
        <f>_xlfn.XLOOKUP(E297,'Base SKUs'!E:E,'Base SKUs'!K:K)</f>
        <v>10</v>
      </c>
      <c r="O297" t="str">
        <f>_xlfn.XLOOKUP(E297,'Base SKUs'!E:E,'Base SKUs'!C:C)</f>
        <v>Long</v>
      </c>
      <c r="P297" t="s">
        <v>4928</v>
      </c>
    </row>
    <row r="298" spans="1:16" x14ac:dyDescent="0.25">
      <c r="A298" t="s">
        <v>263</v>
      </c>
      <c r="B298" t="s">
        <v>19</v>
      </c>
      <c r="C298" t="s">
        <v>20</v>
      </c>
      <c r="D298">
        <v>9007</v>
      </c>
      <c r="E298" t="s">
        <v>235</v>
      </c>
      <c r="F298">
        <v>354</v>
      </c>
      <c r="G298" t="str">
        <f>_xlfn.XLOOKUP(E298,'Base SKUs'!E:E,'Base SKUs'!D:D)</f>
        <v>Thermowood</v>
      </c>
      <c r="H298" s="10">
        <f>_xlfn.XLOOKUP(E298,'Base SKUs'!E:E,'Base SKUs'!S:S)</f>
        <v>8.7779999999999993E-3</v>
      </c>
      <c r="I298" s="9">
        <f t="shared" si="4"/>
        <v>3.1070000000000002</v>
      </c>
      <c r="J298" t="str">
        <f>_xlfn.XLOOKUP(E298,'Base SKUs'!E:E,'Base SKUs'!G:G)</f>
        <v>Maximo Thermo Ayous</v>
      </c>
      <c r="K298" t="str">
        <f>_xlfn.XLOOKUP(E298,'Base SKUs'!E:E,'Base SKUs'!H:H)</f>
        <v>S4S E4E</v>
      </c>
      <c r="L298" t="str">
        <f>_xlfn.XLOOKUP(E298,'Base SKUs'!E:E,'Base SKUs'!I:I)</f>
        <v>-</v>
      </c>
      <c r="M298" t="str">
        <f>_xlfn.XLOOKUP(E298,'Base SKUs'!E:E,'Base SKUs'!J:J)</f>
        <v>1x6</v>
      </c>
      <c r="N298">
        <f>_xlfn.XLOOKUP(E298,'Base SKUs'!E:E,'Base SKUs'!K:K)</f>
        <v>11</v>
      </c>
      <c r="O298" t="str">
        <f>_xlfn.XLOOKUP(E298,'Base SKUs'!E:E,'Base SKUs'!C:C)</f>
        <v>Long</v>
      </c>
      <c r="P298" t="s">
        <v>4928</v>
      </c>
    </row>
    <row r="299" spans="1:16" x14ac:dyDescent="0.25">
      <c r="A299" t="s">
        <v>263</v>
      </c>
      <c r="B299" t="s">
        <v>19</v>
      </c>
      <c r="C299" t="s">
        <v>20</v>
      </c>
      <c r="D299">
        <v>9007</v>
      </c>
      <c r="E299" t="s">
        <v>236</v>
      </c>
      <c r="F299">
        <v>60</v>
      </c>
      <c r="G299" t="str">
        <f>_xlfn.XLOOKUP(E299,'Base SKUs'!E:E,'Base SKUs'!D:D)</f>
        <v>Thermowood</v>
      </c>
      <c r="H299" s="10">
        <f>_xlfn.XLOOKUP(E299,'Base SKUs'!E:E,'Base SKUs'!S:S)</f>
        <v>9.5760000000000012E-3</v>
      </c>
      <c r="I299" s="9">
        <f t="shared" si="4"/>
        <v>0.57499999999999996</v>
      </c>
      <c r="J299" t="str">
        <f>_xlfn.XLOOKUP(E299,'Base SKUs'!E:E,'Base SKUs'!G:G)</f>
        <v>Maximo Thermo Ayous</v>
      </c>
      <c r="K299" t="str">
        <f>_xlfn.XLOOKUP(E299,'Base SKUs'!E:E,'Base SKUs'!H:H)</f>
        <v>S4S E4E</v>
      </c>
      <c r="L299" t="str">
        <f>_xlfn.XLOOKUP(E299,'Base SKUs'!E:E,'Base SKUs'!I:I)</f>
        <v>-</v>
      </c>
      <c r="M299" t="str">
        <f>_xlfn.XLOOKUP(E299,'Base SKUs'!E:E,'Base SKUs'!J:J)</f>
        <v>1x6</v>
      </c>
      <c r="N299">
        <f>_xlfn.XLOOKUP(E299,'Base SKUs'!E:E,'Base SKUs'!K:K)</f>
        <v>12</v>
      </c>
      <c r="O299" t="str">
        <f>_xlfn.XLOOKUP(E299,'Base SKUs'!E:E,'Base SKUs'!C:C)</f>
        <v>Long</v>
      </c>
      <c r="P299" t="s">
        <v>4928</v>
      </c>
    </row>
    <row r="300" spans="1:16" x14ac:dyDescent="0.25">
      <c r="A300" t="s">
        <v>263</v>
      </c>
      <c r="B300" t="s">
        <v>19</v>
      </c>
      <c r="C300" t="s">
        <v>20</v>
      </c>
      <c r="D300">
        <v>9007</v>
      </c>
      <c r="E300" t="s">
        <v>213</v>
      </c>
      <c r="F300">
        <v>70</v>
      </c>
      <c r="G300" t="str">
        <f>_xlfn.XLOOKUP(E300,'Base SKUs'!E:E,'Base SKUs'!D:D)</f>
        <v>Thermowood</v>
      </c>
      <c r="H300" s="10">
        <f>_xlfn.XLOOKUP(E300,'Base SKUs'!E:E,'Base SKUs'!S:S)</f>
        <v>1.0374000000000001E-2</v>
      </c>
      <c r="I300" s="9">
        <f t="shared" si="4"/>
        <v>0.72599999999999998</v>
      </c>
      <c r="J300" t="str">
        <f>_xlfn.XLOOKUP(E300,'Base SKUs'!E:E,'Base SKUs'!G:G)</f>
        <v>Maximo Thermo Ayous</v>
      </c>
      <c r="K300" t="str">
        <f>_xlfn.XLOOKUP(E300,'Base SKUs'!E:E,'Base SKUs'!H:H)</f>
        <v>S4S E4E</v>
      </c>
      <c r="L300" t="str">
        <f>_xlfn.XLOOKUP(E300,'Base SKUs'!E:E,'Base SKUs'!I:I)</f>
        <v>-</v>
      </c>
      <c r="M300" t="str">
        <f>_xlfn.XLOOKUP(E300,'Base SKUs'!E:E,'Base SKUs'!J:J)</f>
        <v>1x6</v>
      </c>
      <c r="N300">
        <f>_xlfn.XLOOKUP(E300,'Base SKUs'!E:E,'Base SKUs'!K:K)</f>
        <v>13</v>
      </c>
      <c r="O300" t="str">
        <f>_xlfn.XLOOKUP(E300,'Base SKUs'!E:E,'Base SKUs'!C:C)</f>
        <v>Long</v>
      </c>
      <c r="P300" t="s">
        <v>4928</v>
      </c>
    </row>
    <row r="301" spans="1:16" x14ac:dyDescent="0.25">
      <c r="A301" t="s">
        <v>263</v>
      </c>
      <c r="B301" t="s">
        <v>19</v>
      </c>
      <c r="C301" t="s">
        <v>20</v>
      </c>
      <c r="D301">
        <v>9007</v>
      </c>
      <c r="E301" t="s">
        <v>215</v>
      </c>
      <c r="F301">
        <v>46</v>
      </c>
      <c r="G301" t="str">
        <f>_xlfn.XLOOKUP(E301,'Base SKUs'!E:E,'Base SKUs'!D:D)</f>
        <v>Thermowood</v>
      </c>
      <c r="H301" s="10">
        <f>_xlfn.XLOOKUP(E301,'Base SKUs'!E:E,'Base SKUs'!S:S)</f>
        <v>1.1970000000000001E-2</v>
      </c>
      <c r="I301" s="9">
        <f t="shared" si="4"/>
        <v>0.55100000000000005</v>
      </c>
      <c r="J301" t="str">
        <f>_xlfn.XLOOKUP(E301,'Base SKUs'!E:E,'Base SKUs'!G:G)</f>
        <v>Maximo Thermo Ayous</v>
      </c>
      <c r="K301" t="str">
        <f>_xlfn.XLOOKUP(E301,'Base SKUs'!E:E,'Base SKUs'!H:H)</f>
        <v>S4S E4E</v>
      </c>
      <c r="L301" t="str">
        <f>_xlfn.XLOOKUP(E301,'Base SKUs'!E:E,'Base SKUs'!I:I)</f>
        <v>-</v>
      </c>
      <c r="M301" t="str">
        <f>_xlfn.XLOOKUP(E301,'Base SKUs'!E:E,'Base SKUs'!J:J)</f>
        <v>1x6</v>
      </c>
      <c r="N301">
        <f>_xlfn.XLOOKUP(E301,'Base SKUs'!E:E,'Base SKUs'!K:K)</f>
        <v>15</v>
      </c>
      <c r="O301" t="str">
        <f>_xlfn.XLOOKUP(E301,'Base SKUs'!E:E,'Base SKUs'!C:C)</f>
        <v>Long</v>
      </c>
      <c r="P301" t="s">
        <v>4928</v>
      </c>
    </row>
    <row r="302" spans="1:16" x14ac:dyDescent="0.25">
      <c r="A302" t="s">
        <v>265</v>
      </c>
      <c r="B302" t="s">
        <v>19</v>
      </c>
      <c r="C302" t="s">
        <v>20</v>
      </c>
      <c r="D302">
        <v>9007</v>
      </c>
      <c r="E302" t="s">
        <v>213</v>
      </c>
      <c r="F302">
        <v>77</v>
      </c>
      <c r="G302" t="str">
        <f>_xlfn.XLOOKUP(E302,'Base SKUs'!E:E,'Base SKUs'!D:D)</f>
        <v>Thermowood</v>
      </c>
      <c r="H302" s="10">
        <f>_xlfn.XLOOKUP(E302,'Base SKUs'!E:E,'Base SKUs'!S:S)</f>
        <v>1.0374000000000001E-2</v>
      </c>
      <c r="I302" s="9">
        <f t="shared" si="4"/>
        <v>0.79900000000000004</v>
      </c>
      <c r="J302" t="str">
        <f>_xlfn.XLOOKUP(E302,'Base SKUs'!E:E,'Base SKUs'!G:G)</f>
        <v>Maximo Thermo Ayous</v>
      </c>
      <c r="K302" t="str">
        <f>_xlfn.XLOOKUP(E302,'Base SKUs'!E:E,'Base SKUs'!H:H)</f>
        <v>S4S E4E</v>
      </c>
      <c r="L302" t="str">
        <f>_xlfn.XLOOKUP(E302,'Base SKUs'!E:E,'Base SKUs'!I:I)</f>
        <v>-</v>
      </c>
      <c r="M302" t="str">
        <f>_xlfn.XLOOKUP(E302,'Base SKUs'!E:E,'Base SKUs'!J:J)</f>
        <v>1x6</v>
      </c>
      <c r="N302">
        <f>_xlfn.XLOOKUP(E302,'Base SKUs'!E:E,'Base SKUs'!K:K)</f>
        <v>13</v>
      </c>
      <c r="O302" t="str">
        <f>_xlfn.XLOOKUP(E302,'Base SKUs'!E:E,'Base SKUs'!C:C)</f>
        <v>Long</v>
      </c>
      <c r="P302" t="s">
        <v>4928</v>
      </c>
    </row>
    <row r="303" spans="1:16" hidden="1" x14ac:dyDescent="0.25">
      <c r="A303" t="s">
        <v>302</v>
      </c>
      <c r="B303" t="s">
        <v>303</v>
      </c>
      <c r="C303" t="s">
        <v>304</v>
      </c>
      <c r="D303">
        <v>9008</v>
      </c>
      <c r="E303" t="s">
        <v>250</v>
      </c>
      <c r="F303">
        <v>308</v>
      </c>
      <c r="G303" t="str">
        <f>_xlfn.XLOOKUP(E303,'Base SKUs'!E:E,'Base SKUs'!D:D)</f>
        <v>Hardwoods</v>
      </c>
      <c r="H303" s="10">
        <f>_xlfn.XLOOKUP(E303,'Base SKUs'!E:E,'Base SKUs'!S:S)</f>
        <v>8.259080256000001E-3</v>
      </c>
      <c r="I303" s="9">
        <f t="shared" si="4"/>
        <v>2.544</v>
      </c>
      <c r="J303" t="str">
        <f>_xlfn.XLOOKUP(E303,'Base SKUs'!E:E,'Base SKUs'!G:G)</f>
        <v>Ipe</v>
      </c>
      <c r="K303" t="str">
        <f>_xlfn.XLOOKUP(E303,'Base SKUs'!E:E,'Base SKUs'!H:H)</f>
        <v>S4S E4E</v>
      </c>
      <c r="L303" t="str">
        <f>_xlfn.XLOOKUP(E303,'Base SKUs'!E:E,'Base SKUs'!I:I)</f>
        <v>-</v>
      </c>
      <c r="M303" t="str">
        <f>_xlfn.XLOOKUP(E303,'Base SKUs'!E:E,'Base SKUs'!J:J)</f>
        <v>2x4</v>
      </c>
      <c r="N303">
        <f>_xlfn.XLOOKUP(E303,'Base SKUs'!E:E,'Base SKUs'!K:K)</f>
        <v>8</v>
      </c>
      <c r="O303" t="str">
        <f>_xlfn.XLOOKUP(E303,'Base SKUs'!E:E,'Base SKUs'!C:C)</f>
        <v>Long</v>
      </c>
      <c r="P303" t="s">
        <v>4926</v>
      </c>
    </row>
    <row r="304" spans="1:16" hidden="1" x14ac:dyDescent="0.25">
      <c r="A304" t="s">
        <v>302</v>
      </c>
      <c r="B304" t="s">
        <v>303</v>
      </c>
      <c r="C304" t="s">
        <v>304</v>
      </c>
      <c r="D304">
        <v>9008</v>
      </c>
      <c r="E304" t="s">
        <v>168</v>
      </c>
      <c r="F304">
        <v>242</v>
      </c>
      <c r="G304" t="str">
        <f>_xlfn.XLOOKUP(E304,'Base SKUs'!E:E,'Base SKUs'!D:D)</f>
        <v>Hardwoods</v>
      </c>
      <c r="H304" s="10">
        <f>_xlfn.XLOOKUP(E304,'Base SKUs'!E:E,'Base SKUs'!S:S)</f>
        <v>1.0323850320000001E-2</v>
      </c>
      <c r="I304" s="9">
        <f t="shared" si="4"/>
        <v>2.4980000000000002</v>
      </c>
      <c r="J304" t="str">
        <f>_xlfn.XLOOKUP(E304,'Base SKUs'!E:E,'Base SKUs'!G:G)</f>
        <v>Ipe</v>
      </c>
      <c r="K304" t="str">
        <f>_xlfn.XLOOKUP(E304,'Base SKUs'!E:E,'Base SKUs'!H:H)</f>
        <v>S4S E4E</v>
      </c>
      <c r="L304" t="str">
        <f>_xlfn.XLOOKUP(E304,'Base SKUs'!E:E,'Base SKUs'!I:I)</f>
        <v>-</v>
      </c>
      <c r="M304" t="str">
        <f>_xlfn.XLOOKUP(E304,'Base SKUs'!E:E,'Base SKUs'!J:J)</f>
        <v>2x4</v>
      </c>
      <c r="N304">
        <f>_xlfn.XLOOKUP(E304,'Base SKUs'!E:E,'Base SKUs'!K:K)</f>
        <v>10</v>
      </c>
      <c r="O304" t="str">
        <f>_xlfn.XLOOKUP(E304,'Base SKUs'!E:E,'Base SKUs'!C:C)</f>
        <v>Long</v>
      </c>
      <c r="P304" t="s">
        <v>4926</v>
      </c>
    </row>
    <row r="305" spans="1:16" hidden="1" x14ac:dyDescent="0.25">
      <c r="A305" t="s">
        <v>302</v>
      </c>
      <c r="B305" t="s">
        <v>303</v>
      </c>
      <c r="C305" t="s">
        <v>304</v>
      </c>
      <c r="D305">
        <v>9008</v>
      </c>
      <c r="E305" t="s">
        <v>169</v>
      </c>
      <c r="F305">
        <v>205</v>
      </c>
      <c r="G305" t="str">
        <f>_xlfn.XLOOKUP(E305,'Base SKUs'!E:E,'Base SKUs'!D:D)</f>
        <v>Hardwoods</v>
      </c>
      <c r="H305" s="10">
        <f>_xlfn.XLOOKUP(E305,'Base SKUs'!E:E,'Base SKUs'!S:S)</f>
        <v>1.4453390448E-2</v>
      </c>
      <c r="I305" s="9">
        <f t="shared" si="4"/>
        <v>2.9630000000000001</v>
      </c>
      <c r="J305" t="str">
        <f>_xlfn.XLOOKUP(E305,'Base SKUs'!E:E,'Base SKUs'!G:G)</f>
        <v>Ipe</v>
      </c>
      <c r="K305" t="str">
        <f>_xlfn.XLOOKUP(E305,'Base SKUs'!E:E,'Base SKUs'!H:H)</f>
        <v>S4S E4E</v>
      </c>
      <c r="L305" t="str">
        <f>_xlfn.XLOOKUP(E305,'Base SKUs'!E:E,'Base SKUs'!I:I)</f>
        <v>-</v>
      </c>
      <c r="M305" t="str">
        <f>_xlfn.XLOOKUP(E305,'Base SKUs'!E:E,'Base SKUs'!J:J)</f>
        <v>2x4</v>
      </c>
      <c r="N305">
        <f>_xlfn.XLOOKUP(E305,'Base SKUs'!E:E,'Base SKUs'!K:K)</f>
        <v>14</v>
      </c>
      <c r="O305" t="str">
        <f>_xlfn.XLOOKUP(E305,'Base SKUs'!E:E,'Base SKUs'!C:C)</f>
        <v>Long</v>
      </c>
      <c r="P305" t="s">
        <v>4926</v>
      </c>
    </row>
    <row r="306" spans="1:16" hidden="1" x14ac:dyDescent="0.25">
      <c r="A306" t="s">
        <v>302</v>
      </c>
      <c r="B306" t="s">
        <v>303</v>
      </c>
      <c r="C306" t="s">
        <v>304</v>
      </c>
      <c r="D306">
        <v>9008</v>
      </c>
      <c r="E306" t="s">
        <v>256</v>
      </c>
      <c r="F306">
        <v>121</v>
      </c>
      <c r="G306" t="str">
        <f>_xlfn.XLOOKUP(E306,'Base SKUs'!E:E,'Base SKUs'!D:D)</f>
        <v>Hardwoods</v>
      </c>
      <c r="H306" s="10">
        <f>_xlfn.XLOOKUP(E306,'Base SKUs'!E:E,'Base SKUs'!S:S)</f>
        <v>1.8582930576000002E-2</v>
      </c>
      <c r="I306" s="9">
        <f t="shared" si="4"/>
        <v>2.2490000000000001</v>
      </c>
      <c r="J306" t="str">
        <f>_xlfn.XLOOKUP(E306,'Base SKUs'!E:E,'Base SKUs'!G:G)</f>
        <v>Ipe</v>
      </c>
      <c r="K306" t="str">
        <f>_xlfn.XLOOKUP(E306,'Base SKUs'!E:E,'Base SKUs'!H:H)</f>
        <v>S4S E4E</v>
      </c>
      <c r="L306" t="str">
        <f>_xlfn.XLOOKUP(E306,'Base SKUs'!E:E,'Base SKUs'!I:I)</f>
        <v>-</v>
      </c>
      <c r="M306" t="str">
        <f>_xlfn.XLOOKUP(E306,'Base SKUs'!E:E,'Base SKUs'!J:J)</f>
        <v>2x4</v>
      </c>
      <c r="N306">
        <f>_xlfn.XLOOKUP(E306,'Base SKUs'!E:E,'Base SKUs'!K:K)</f>
        <v>18</v>
      </c>
      <c r="O306" t="str">
        <f>_xlfn.XLOOKUP(E306,'Base SKUs'!E:E,'Base SKUs'!C:C)</f>
        <v>Long</v>
      </c>
      <c r="P306" t="s">
        <v>4926</v>
      </c>
    </row>
    <row r="307" spans="1:16" hidden="1" x14ac:dyDescent="0.25">
      <c r="A307" t="s">
        <v>302</v>
      </c>
      <c r="B307" t="s">
        <v>303</v>
      </c>
      <c r="C307" t="s">
        <v>304</v>
      </c>
      <c r="D307">
        <v>9008</v>
      </c>
      <c r="E307" t="s">
        <v>257</v>
      </c>
      <c r="F307">
        <v>14</v>
      </c>
      <c r="G307" t="str">
        <f>_xlfn.XLOOKUP(E307,'Base SKUs'!E:E,'Base SKUs'!D:D)</f>
        <v>Hardwoods</v>
      </c>
      <c r="H307" s="10">
        <f>_xlfn.XLOOKUP(E307,'Base SKUs'!E:E,'Base SKUs'!S:S)</f>
        <v>2.0647700640000002E-2</v>
      </c>
      <c r="I307" s="9">
        <f t="shared" si="4"/>
        <v>0.28899999999999998</v>
      </c>
      <c r="J307" t="str">
        <f>_xlfn.XLOOKUP(E307,'Base SKUs'!E:E,'Base SKUs'!G:G)</f>
        <v>Ipe</v>
      </c>
      <c r="K307" t="str">
        <f>_xlfn.XLOOKUP(E307,'Base SKUs'!E:E,'Base SKUs'!H:H)</f>
        <v>S4S E4E</v>
      </c>
      <c r="L307" t="str">
        <f>_xlfn.XLOOKUP(E307,'Base SKUs'!E:E,'Base SKUs'!I:I)</f>
        <v>-</v>
      </c>
      <c r="M307" t="str">
        <f>_xlfn.XLOOKUP(E307,'Base SKUs'!E:E,'Base SKUs'!J:J)</f>
        <v>2x4</v>
      </c>
      <c r="N307">
        <f>_xlfn.XLOOKUP(E307,'Base SKUs'!E:E,'Base SKUs'!K:K)</f>
        <v>20</v>
      </c>
      <c r="O307" t="str">
        <f>_xlfn.XLOOKUP(E307,'Base SKUs'!E:E,'Base SKUs'!C:C)</f>
        <v>Long</v>
      </c>
      <c r="P307" t="s">
        <v>4926</v>
      </c>
    </row>
    <row r="308" spans="1:16" hidden="1" x14ac:dyDescent="0.25">
      <c r="A308" t="s">
        <v>317</v>
      </c>
      <c r="B308" t="s">
        <v>318</v>
      </c>
      <c r="C308" t="s">
        <v>319</v>
      </c>
      <c r="D308">
        <v>9011</v>
      </c>
      <c r="E308" t="s">
        <v>91</v>
      </c>
      <c r="F308">
        <v>143</v>
      </c>
      <c r="G308" t="str">
        <f>_xlfn.XLOOKUP(E308,'Base SKUs'!E:E,'Base SKUs'!D:D)</f>
        <v>Thermowood</v>
      </c>
      <c r="H308" s="10">
        <f>_xlfn.XLOOKUP(E308,'Base SKUs'!E:E,'Base SKUs'!S:S)</f>
        <v>5.2439999999999995E-3</v>
      </c>
      <c r="I308" s="9">
        <f t="shared" si="4"/>
        <v>0.75</v>
      </c>
      <c r="J308" t="str">
        <f>_xlfn.XLOOKUP(E308,'Base SKUs'!E:E,'Base SKUs'!G:G)</f>
        <v>Maximo Thermo Ayous</v>
      </c>
      <c r="K308" t="str">
        <f>_xlfn.XLOOKUP(E308,'Base SKUs'!E:E,'Base SKUs'!H:H)</f>
        <v>VJoint - Square Back</v>
      </c>
      <c r="L308" t="str">
        <f>_xlfn.XLOOKUP(E308,'Base SKUs'!E:E,'Base SKUs'!I:I)</f>
        <v>-</v>
      </c>
      <c r="M308" t="str">
        <f>_xlfn.XLOOKUP(E308,'Base SKUs'!E:E,'Base SKUs'!J:J)</f>
        <v>1x4</v>
      </c>
      <c r="N308">
        <f>_xlfn.XLOOKUP(E308,'Base SKUs'!E:E,'Base SKUs'!K:K)</f>
        <v>10</v>
      </c>
      <c r="O308" t="str">
        <f>_xlfn.XLOOKUP(E308,'Base SKUs'!E:E,'Base SKUs'!C:C)</f>
        <v>Long</v>
      </c>
      <c r="P308" t="s">
        <v>4926</v>
      </c>
    </row>
    <row r="309" spans="1:16" hidden="1" x14ac:dyDescent="0.25">
      <c r="A309" t="s">
        <v>317</v>
      </c>
      <c r="B309" t="s">
        <v>318</v>
      </c>
      <c r="C309" t="s">
        <v>319</v>
      </c>
      <c r="D309">
        <v>9011</v>
      </c>
      <c r="E309" t="s">
        <v>108</v>
      </c>
      <c r="F309">
        <v>132</v>
      </c>
      <c r="G309" t="str">
        <f>_xlfn.XLOOKUP(E309,'Base SKUs'!E:E,'Base SKUs'!D:D)</f>
        <v>Thermowood</v>
      </c>
      <c r="H309" s="10">
        <f>_xlfn.XLOOKUP(E309,'Base SKUs'!E:E,'Base SKUs'!S:S)</f>
        <v>7.8659999999999997E-3</v>
      </c>
      <c r="I309" s="9">
        <f t="shared" si="4"/>
        <v>1.038</v>
      </c>
      <c r="J309" t="str">
        <f>_xlfn.XLOOKUP(E309,'Base SKUs'!E:E,'Base SKUs'!G:G)</f>
        <v>Maximo Thermo Ayous</v>
      </c>
      <c r="K309" t="str">
        <f>_xlfn.XLOOKUP(E309,'Base SKUs'!E:E,'Base SKUs'!H:H)</f>
        <v>VJoint - Square Back</v>
      </c>
      <c r="L309" t="str">
        <f>_xlfn.XLOOKUP(E309,'Base SKUs'!E:E,'Base SKUs'!I:I)</f>
        <v>-</v>
      </c>
      <c r="M309" t="str">
        <f>_xlfn.XLOOKUP(E309,'Base SKUs'!E:E,'Base SKUs'!J:J)</f>
        <v>1x4</v>
      </c>
      <c r="N309">
        <f>_xlfn.XLOOKUP(E309,'Base SKUs'!E:E,'Base SKUs'!K:K)</f>
        <v>15</v>
      </c>
      <c r="O309" t="str">
        <f>_xlfn.XLOOKUP(E309,'Base SKUs'!E:E,'Base SKUs'!C:C)</f>
        <v>Long</v>
      </c>
      <c r="P309" t="s">
        <v>4926</v>
      </c>
    </row>
    <row r="310" spans="1:16" hidden="1" x14ac:dyDescent="0.25">
      <c r="A310" t="s">
        <v>326</v>
      </c>
      <c r="B310" t="s">
        <v>19</v>
      </c>
      <c r="C310" t="s">
        <v>20</v>
      </c>
      <c r="D310">
        <v>9008</v>
      </c>
      <c r="E310" t="s">
        <v>161</v>
      </c>
      <c r="F310">
        <v>1000</v>
      </c>
      <c r="G310" t="str">
        <f>_xlfn.XLOOKUP(E310,'Base SKUs'!E:E,'Base SKUs'!D:D)</f>
        <v>Hardwoods</v>
      </c>
      <c r="H310" s="10">
        <f>_xlfn.XLOOKUP(E310,'Base SKUs'!E:E,'Base SKUs'!S:S)</f>
        <v>8.1803360000000012E-4</v>
      </c>
      <c r="I310" s="9">
        <f t="shared" si="4"/>
        <v>1000</v>
      </c>
      <c r="J310" t="str">
        <f>_xlfn.XLOOKUP(E310,'Base SKUs'!E:E,'Base SKUs'!G:G)</f>
        <v>IpeB</v>
      </c>
      <c r="K310" t="str">
        <f>_xlfn.XLOOKUP(E310,'Base SKUs'!E:E,'Base SKUs'!H:H)</f>
        <v>Tiles</v>
      </c>
      <c r="L310" t="str">
        <f>_xlfn.XLOOKUP(E310,'Base SKUs'!E:E,'Base SKUs'!I:I)</f>
        <v>-</v>
      </c>
      <c r="M310" t="str">
        <f>_xlfn.XLOOKUP(E310,'Base SKUs'!E:E,'Base SKUs'!J:J)</f>
        <v>24x24</v>
      </c>
      <c r="N310">
        <f>_xlfn.XLOOKUP(E310,'Base SKUs'!E:E,'Base SKUs'!K:K)</f>
        <v>24</v>
      </c>
      <c r="O310" t="str">
        <f>_xlfn.XLOOKUP(E310,'Base SKUs'!E:E,'Base SKUs'!C:C)</f>
        <v>Tiles</v>
      </c>
      <c r="P310" t="s">
        <v>4926</v>
      </c>
    </row>
    <row r="311" spans="1:16" hidden="1" x14ac:dyDescent="0.25">
      <c r="A311" t="s">
        <v>327</v>
      </c>
      <c r="B311" t="s">
        <v>19</v>
      </c>
      <c r="C311" t="s">
        <v>20</v>
      </c>
      <c r="D311">
        <v>9007</v>
      </c>
      <c r="E311" t="s">
        <v>214</v>
      </c>
      <c r="F311">
        <v>490</v>
      </c>
      <c r="G311" t="str">
        <f>_xlfn.XLOOKUP(E311,'Base SKUs'!E:E,'Base SKUs'!D:D)</f>
        <v>Thermowood</v>
      </c>
      <c r="H311" s="10">
        <f>_xlfn.XLOOKUP(E311,'Base SKUs'!E:E,'Base SKUs'!S:S)</f>
        <v>1.1172E-2</v>
      </c>
      <c r="I311" s="9">
        <f t="shared" si="4"/>
        <v>5.4740000000000002</v>
      </c>
      <c r="J311" t="str">
        <f>_xlfn.XLOOKUP(E311,'Base SKUs'!E:E,'Base SKUs'!G:G)</f>
        <v>Maximo Thermo Ayous</v>
      </c>
      <c r="K311" t="str">
        <f>_xlfn.XLOOKUP(E311,'Base SKUs'!E:E,'Base SKUs'!H:H)</f>
        <v>S4S E4E</v>
      </c>
      <c r="L311" t="str">
        <f>_xlfn.XLOOKUP(E311,'Base SKUs'!E:E,'Base SKUs'!I:I)</f>
        <v>-</v>
      </c>
      <c r="M311" t="str">
        <f>_xlfn.XLOOKUP(E311,'Base SKUs'!E:E,'Base SKUs'!J:J)</f>
        <v>1x6</v>
      </c>
      <c r="N311">
        <f>_xlfn.XLOOKUP(E311,'Base SKUs'!E:E,'Base SKUs'!K:K)</f>
        <v>14</v>
      </c>
      <c r="O311" t="str">
        <f>_xlfn.XLOOKUP(E311,'Base SKUs'!E:E,'Base SKUs'!C:C)</f>
        <v>Long</v>
      </c>
      <c r="P311" t="s">
        <v>4926</v>
      </c>
    </row>
    <row r="312" spans="1:16" hidden="1" x14ac:dyDescent="0.25">
      <c r="A312" t="s">
        <v>327</v>
      </c>
      <c r="B312" t="s">
        <v>19</v>
      </c>
      <c r="C312" t="s">
        <v>20</v>
      </c>
      <c r="D312">
        <v>9007</v>
      </c>
      <c r="E312" t="s">
        <v>215</v>
      </c>
      <c r="F312">
        <v>77</v>
      </c>
      <c r="G312" t="str">
        <f>_xlfn.XLOOKUP(E312,'Base SKUs'!E:E,'Base SKUs'!D:D)</f>
        <v>Thermowood</v>
      </c>
      <c r="H312" s="10">
        <f>_xlfn.XLOOKUP(E312,'Base SKUs'!E:E,'Base SKUs'!S:S)</f>
        <v>1.1970000000000001E-2</v>
      </c>
      <c r="I312" s="9">
        <f t="shared" si="4"/>
        <v>0.92200000000000004</v>
      </c>
      <c r="J312" t="str">
        <f>_xlfn.XLOOKUP(E312,'Base SKUs'!E:E,'Base SKUs'!G:G)</f>
        <v>Maximo Thermo Ayous</v>
      </c>
      <c r="K312" t="str">
        <f>_xlfn.XLOOKUP(E312,'Base SKUs'!E:E,'Base SKUs'!H:H)</f>
        <v>S4S E4E</v>
      </c>
      <c r="L312" t="str">
        <f>_xlfn.XLOOKUP(E312,'Base SKUs'!E:E,'Base SKUs'!I:I)</f>
        <v>-</v>
      </c>
      <c r="M312" t="str">
        <f>_xlfn.XLOOKUP(E312,'Base SKUs'!E:E,'Base SKUs'!J:J)</f>
        <v>1x6</v>
      </c>
      <c r="N312">
        <f>_xlfn.XLOOKUP(E312,'Base SKUs'!E:E,'Base SKUs'!K:K)</f>
        <v>15</v>
      </c>
      <c r="O312" t="str">
        <f>_xlfn.XLOOKUP(E312,'Base SKUs'!E:E,'Base SKUs'!C:C)</f>
        <v>Long</v>
      </c>
      <c r="P312" t="s">
        <v>4926</v>
      </c>
    </row>
    <row r="313" spans="1:16" hidden="1" x14ac:dyDescent="0.25">
      <c r="A313" t="s">
        <v>328</v>
      </c>
      <c r="B313" t="s">
        <v>7</v>
      </c>
      <c r="C313" t="s">
        <v>246</v>
      </c>
      <c r="D313">
        <v>9007</v>
      </c>
      <c r="E313" t="s">
        <v>196</v>
      </c>
      <c r="F313">
        <v>11</v>
      </c>
      <c r="G313" t="str">
        <f>_xlfn.XLOOKUP(E313,'Base SKUs'!E:E,'Base SKUs'!D:D)</f>
        <v>Thermowood</v>
      </c>
      <c r="H313" s="10">
        <f>_xlfn.XLOOKUP(E313,'Base SKUs'!E:E,'Base SKUs'!S:S)</f>
        <v>7.182E-3</v>
      </c>
      <c r="I313" s="9">
        <f t="shared" si="4"/>
        <v>7.9000000000000001E-2</v>
      </c>
      <c r="J313" t="str">
        <f>_xlfn.XLOOKUP(E313,'Base SKUs'!E:E,'Base SKUs'!G:G)</f>
        <v>Maximo Thermo Scandinavian Pine</v>
      </c>
      <c r="K313" t="str">
        <f>_xlfn.XLOOKUP(E313,'Base SKUs'!E:E,'Base SKUs'!H:H)</f>
        <v>VJoint - Nickel Gap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9</v>
      </c>
      <c r="O313" t="str">
        <f>_xlfn.XLOOKUP(E313,'Base SKUs'!E:E,'Base SKUs'!C:C)</f>
        <v>Long</v>
      </c>
      <c r="P313" t="s">
        <v>4926</v>
      </c>
    </row>
    <row r="314" spans="1:16" hidden="1" x14ac:dyDescent="0.25">
      <c r="A314" t="s">
        <v>339</v>
      </c>
      <c r="B314" t="s">
        <v>340</v>
      </c>
      <c r="C314" t="s">
        <v>341</v>
      </c>
      <c r="D314">
        <v>9009</v>
      </c>
      <c r="E314" t="s">
        <v>342</v>
      </c>
      <c r="F314">
        <v>4</v>
      </c>
      <c r="G314" t="str">
        <f>_xlfn.XLOOKUP(E314,'Base SKUs'!E:E,'Base SKUs'!D:D)</f>
        <v>Hardwoods</v>
      </c>
      <c r="H314" s="10">
        <f>_xlfn.XLOOKUP(E314,'Base SKUs'!E:E,'Base SKUs'!S:S)</f>
        <v>3.3724577712000006E-2</v>
      </c>
      <c r="I314" s="9">
        <f t="shared" si="4"/>
        <v>0.13500000000000001</v>
      </c>
      <c r="J314" t="str">
        <f>_xlfn.XLOOKUP(E314,'Base SKUs'!E:E,'Base SKUs'!G:G)</f>
        <v>Ipe</v>
      </c>
      <c r="K314" t="str">
        <f>_xlfn.XLOOKUP(E314,'Base SKUs'!E:E,'Base SKUs'!H:H)</f>
        <v>S4S E4E</v>
      </c>
      <c r="L314" t="str">
        <f>_xlfn.XLOOKUP(E314,'Base SKUs'!E:E,'Base SKUs'!I:I)</f>
        <v>-</v>
      </c>
      <c r="M314" t="str">
        <f>_xlfn.XLOOKUP(E314,'Base SKUs'!E:E,'Base SKUs'!J:J)</f>
        <v>4x4</v>
      </c>
      <c r="N314">
        <f>_xlfn.XLOOKUP(E314,'Base SKUs'!E:E,'Base SKUs'!K:K)</f>
        <v>14</v>
      </c>
      <c r="O314" t="str">
        <f>_xlfn.XLOOKUP(E314,'Base SKUs'!E:E,'Base SKUs'!C:C)</f>
        <v>Long</v>
      </c>
      <c r="P314" t="s">
        <v>4926</v>
      </c>
    </row>
    <row r="315" spans="1:16" hidden="1" x14ac:dyDescent="0.25">
      <c r="A315" t="s">
        <v>4929</v>
      </c>
      <c r="B315" t="s">
        <v>340</v>
      </c>
      <c r="C315" t="s">
        <v>341</v>
      </c>
      <c r="D315">
        <v>9007</v>
      </c>
      <c r="E315" t="s">
        <v>276</v>
      </c>
      <c r="F315">
        <v>20</v>
      </c>
      <c r="G315" t="str">
        <f>_xlfn.XLOOKUP(E315,'Base SKUs'!E:E,'Base SKUs'!D:D)</f>
        <v>Hardwoods</v>
      </c>
      <c r="H315" s="10">
        <f>_xlfn.XLOOKUP(E315,'Base SKUs'!E:E,'Base SKUs'!S:S)</f>
        <v>9.7339160159999986E-3</v>
      </c>
      <c r="I315" s="9">
        <f t="shared" si="4"/>
        <v>0.19500000000000001</v>
      </c>
      <c r="J315" t="str">
        <f>_xlfn.XLOOKUP(E315,'Base SKUs'!E:E,'Base SKUs'!G:G)</f>
        <v>Ipe</v>
      </c>
      <c r="K315" t="str">
        <f>_xlfn.XLOOKUP(E315,'Base SKUs'!E:E,'Base SKUs'!H:H)</f>
        <v>S4S E4E</v>
      </c>
      <c r="L315" t="str">
        <f>_xlfn.XLOOKUP(E315,'Base SKUs'!E:E,'Base SKUs'!I:I)</f>
        <v>-</v>
      </c>
      <c r="M315" t="str">
        <f>_xlfn.XLOOKUP(E315,'Base SKUs'!E:E,'Base SKUs'!J:J)</f>
        <v>1x6</v>
      </c>
      <c r="N315">
        <f>_xlfn.XLOOKUP(E315,'Base SKUs'!E:E,'Base SKUs'!K:K)</f>
        <v>12</v>
      </c>
      <c r="O315" t="str">
        <f>_xlfn.XLOOKUP(E315,'Base SKUs'!E:E,'Base SKUs'!C:C)</f>
        <v>Long</v>
      </c>
      <c r="P315" t="s">
        <v>4925</v>
      </c>
    </row>
    <row r="316" spans="1:16" hidden="1" x14ac:dyDescent="0.25">
      <c r="A316" t="s">
        <v>4930</v>
      </c>
      <c r="B316" t="s">
        <v>340</v>
      </c>
      <c r="C316" t="s">
        <v>341</v>
      </c>
      <c r="D316">
        <v>9009</v>
      </c>
      <c r="E316" t="s">
        <v>3917</v>
      </c>
      <c r="F316">
        <v>45</v>
      </c>
      <c r="G316" t="str">
        <f>_xlfn.XLOOKUP(E316,'Base SKUs'!E:E,'Base SKUs'!D:D)</f>
        <v>Thermowood</v>
      </c>
      <c r="H316" s="10">
        <f>_xlfn.XLOOKUP(E316,'Base SKUs'!E:E,'Base SKUs'!S:S)</f>
        <v>4.0499999999999998E-3</v>
      </c>
      <c r="I316" s="9">
        <f t="shared" si="4"/>
        <v>0.182</v>
      </c>
      <c r="J316" t="str">
        <f>_xlfn.XLOOKUP(E316,'Base SKUs'!E:E,'Base SKUs'!G:G)</f>
        <v>Maximo Thermo Ayous</v>
      </c>
      <c r="K316" t="str">
        <f>_xlfn.XLOOKUP(E316,'Base SKUs'!E:E,'Base SKUs'!H:H)</f>
        <v>S4S E4E</v>
      </c>
      <c r="L316" t="str">
        <f>_xlfn.XLOOKUP(E316,'Base SKUs'!E:E,'Base SKUs'!I:I)</f>
        <v>-</v>
      </c>
      <c r="M316" t="str">
        <f>_xlfn.XLOOKUP(E316,'Base SKUs'!E:E,'Base SKUs'!J:J)</f>
        <v>5/4x4</v>
      </c>
      <c r="N316">
        <f>_xlfn.XLOOKUP(E316,'Base SKUs'!E:E,'Base SKUs'!K:K)</f>
        <v>6</v>
      </c>
      <c r="O316" t="str">
        <f>_xlfn.XLOOKUP(E316,'Base SKUs'!E:E,'Base SKUs'!C:C)</f>
        <v>Short</v>
      </c>
      <c r="P316" t="s">
        <v>4925</v>
      </c>
    </row>
    <row r="317" spans="1:16" hidden="1" x14ac:dyDescent="0.25">
      <c r="A317" t="s">
        <v>4930</v>
      </c>
      <c r="B317" t="s">
        <v>340</v>
      </c>
      <c r="C317" t="s">
        <v>341</v>
      </c>
      <c r="D317">
        <v>9009</v>
      </c>
      <c r="E317" t="s">
        <v>3906</v>
      </c>
      <c r="F317">
        <v>63</v>
      </c>
      <c r="G317" t="str">
        <f>_xlfn.XLOOKUP(E317,'Base SKUs'!E:E,'Base SKUs'!D:D)</f>
        <v>Thermowood</v>
      </c>
      <c r="H317" s="10">
        <f>_xlfn.XLOOKUP(E317,'Base SKUs'!E:E,'Base SKUs'!S:S)</f>
        <v>6.7499999999999999E-3</v>
      </c>
      <c r="I317" s="9">
        <f t="shared" si="4"/>
        <v>0.42499999999999999</v>
      </c>
      <c r="J317" t="str">
        <f>_xlfn.XLOOKUP(E317,'Base SKUs'!E:E,'Base SKUs'!G:G)</f>
        <v>Maximo Thermo Ayous</v>
      </c>
      <c r="K317" t="str">
        <f>_xlfn.XLOOKUP(E317,'Base SKUs'!E:E,'Base SKUs'!H:H)</f>
        <v>S4S E4E</v>
      </c>
      <c r="L317" t="str">
        <f>_xlfn.XLOOKUP(E317,'Base SKUs'!E:E,'Base SKUs'!I:I)</f>
        <v>-</v>
      </c>
      <c r="M317" t="str">
        <f>_xlfn.XLOOKUP(E317,'Base SKUs'!E:E,'Base SKUs'!J:J)</f>
        <v>5/4x4</v>
      </c>
      <c r="N317">
        <f>_xlfn.XLOOKUP(E317,'Base SKUs'!E:E,'Base SKUs'!K:K)</f>
        <v>10</v>
      </c>
      <c r="O317" t="str">
        <f>_xlfn.XLOOKUP(E317,'Base SKUs'!E:E,'Base SKUs'!C:C)</f>
        <v>Long</v>
      </c>
      <c r="P317" t="s">
        <v>4925</v>
      </c>
    </row>
    <row r="318" spans="1:16" hidden="1" x14ac:dyDescent="0.25">
      <c r="A318" t="s">
        <v>4930</v>
      </c>
      <c r="B318" t="s">
        <v>340</v>
      </c>
      <c r="C318" t="s">
        <v>341</v>
      </c>
      <c r="D318">
        <v>9009</v>
      </c>
      <c r="E318" t="s">
        <v>3799</v>
      </c>
      <c r="F318">
        <v>252</v>
      </c>
      <c r="G318" t="str">
        <f>_xlfn.XLOOKUP(E318,'Base SKUs'!E:E,'Base SKUs'!D:D)</f>
        <v>Thermowood</v>
      </c>
      <c r="H318" s="10">
        <f>_xlfn.XLOOKUP(E318,'Base SKUs'!E:E,'Base SKUs'!S:S)</f>
        <v>1.0500000000000001E-2</v>
      </c>
      <c r="I318" s="9">
        <f t="shared" si="4"/>
        <v>2.6459999999999999</v>
      </c>
      <c r="J318" t="str">
        <f>_xlfn.XLOOKUP(E318,'Base SKUs'!E:E,'Base SKUs'!G:G)</f>
        <v>Maximo Thermo Ayous</v>
      </c>
      <c r="K318" t="str">
        <f>_xlfn.XLOOKUP(E318,'Base SKUs'!E:E,'Base SKUs'!H:H)</f>
        <v>S4S E4E</v>
      </c>
      <c r="L318" t="str">
        <f>_xlfn.XLOOKUP(E318,'Base SKUs'!E:E,'Base SKUs'!I:I)</f>
        <v>-</v>
      </c>
      <c r="M318" t="str">
        <f>_xlfn.XLOOKUP(E318,'Base SKUs'!E:E,'Base SKUs'!J:J)</f>
        <v>1x11</v>
      </c>
      <c r="N318">
        <f>_xlfn.XLOOKUP(E318,'Base SKUs'!E:E,'Base SKUs'!K:K)</f>
        <v>7</v>
      </c>
      <c r="O318" t="str">
        <f>_xlfn.XLOOKUP(E318,'Base SKUs'!E:E,'Base SKUs'!C:C)</f>
        <v>Short</v>
      </c>
      <c r="P318" t="s">
        <v>4925</v>
      </c>
    </row>
    <row r="319" spans="1:16" hidden="1" x14ac:dyDescent="0.25">
      <c r="A319" t="s">
        <v>4930</v>
      </c>
      <c r="B319" t="s">
        <v>340</v>
      </c>
      <c r="C319" t="s">
        <v>341</v>
      </c>
      <c r="D319">
        <v>9009</v>
      </c>
      <c r="E319" t="s">
        <v>3800</v>
      </c>
      <c r="F319">
        <v>121</v>
      </c>
      <c r="G319" t="str">
        <f>_xlfn.XLOOKUP(E319,'Base SKUs'!E:E,'Base SKUs'!D:D)</f>
        <v>Thermowood</v>
      </c>
      <c r="H319" s="10">
        <f>_xlfn.XLOOKUP(E319,'Base SKUs'!E:E,'Base SKUs'!S:S)</f>
        <v>1.2E-2</v>
      </c>
      <c r="I319" s="9">
        <f t="shared" si="4"/>
        <v>1.452</v>
      </c>
      <c r="J319" t="str">
        <f>_xlfn.XLOOKUP(E319,'Base SKUs'!E:E,'Base SKUs'!G:G)</f>
        <v>Maximo Thermo Ayous</v>
      </c>
      <c r="K319" t="str">
        <f>_xlfn.XLOOKUP(E319,'Base SKUs'!E:E,'Base SKUs'!H:H)</f>
        <v>S4S E4E</v>
      </c>
      <c r="L319" t="str">
        <f>_xlfn.XLOOKUP(E319,'Base SKUs'!E:E,'Base SKUs'!I:I)</f>
        <v>-</v>
      </c>
      <c r="M319" t="str">
        <f>_xlfn.XLOOKUP(E319,'Base SKUs'!E:E,'Base SKUs'!J:J)</f>
        <v>1x11</v>
      </c>
      <c r="N319">
        <f>_xlfn.XLOOKUP(E319,'Base SKUs'!E:E,'Base SKUs'!K:K)</f>
        <v>8</v>
      </c>
      <c r="O319" t="str">
        <f>_xlfn.XLOOKUP(E319,'Base SKUs'!E:E,'Base SKUs'!C:C)</f>
        <v>Long</v>
      </c>
      <c r="P319" t="s">
        <v>4925</v>
      </c>
    </row>
    <row r="320" spans="1:16" hidden="1" x14ac:dyDescent="0.25">
      <c r="A320" t="s">
        <v>4930</v>
      </c>
      <c r="B320" t="s">
        <v>340</v>
      </c>
      <c r="C320" t="s">
        <v>341</v>
      </c>
      <c r="D320">
        <v>9009</v>
      </c>
      <c r="E320" t="s">
        <v>212</v>
      </c>
      <c r="F320">
        <v>249</v>
      </c>
      <c r="G320" t="str">
        <f>_xlfn.XLOOKUP(E320,'Base SKUs'!E:E,'Base SKUs'!D:D)</f>
        <v>Thermowood</v>
      </c>
      <c r="H320" s="10">
        <f>_xlfn.XLOOKUP(E320,'Base SKUs'!E:E,'Base SKUs'!S:S)</f>
        <v>7.980000000000001E-3</v>
      </c>
      <c r="I320" s="9">
        <f t="shared" si="4"/>
        <v>1.9870000000000001</v>
      </c>
      <c r="J320" t="str">
        <f>_xlfn.XLOOKUP(E320,'Base SKUs'!E:E,'Base SKUs'!G:G)</f>
        <v>Maximo Thermo Ayous</v>
      </c>
      <c r="K320" t="str">
        <f>_xlfn.XLOOKUP(E320,'Base SKUs'!E:E,'Base SKUs'!H:H)</f>
        <v>S4S E4E</v>
      </c>
      <c r="L320" t="str">
        <f>_xlfn.XLOOKUP(E320,'Base SKUs'!E:E,'Base SKUs'!I:I)</f>
        <v>-</v>
      </c>
      <c r="M320" t="str">
        <f>_xlfn.XLOOKUP(E320,'Base SKUs'!E:E,'Base SKUs'!J:J)</f>
        <v>1x6</v>
      </c>
      <c r="N320">
        <f>_xlfn.XLOOKUP(E320,'Base SKUs'!E:E,'Base SKUs'!K:K)</f>
        <v>10</v>
      </c>
      <c r="O320" t="str">
        <f>_xlfn.XLOOKUP(E320,'Base SKUs'!E:E,'Base SKUs'!C:C)</f>
        <v>Long</v>
      </c>
      <c r="P320" t="s">
        <v>4925</v>
      </c>
    </row>
    <row r="321" spans="1:16" hidden="1" x14ac:dyDescent="0.25">
      <c r="A321" t="s">
        <v>4930</v>
      </c>
      <c r="B321" t="s">
        <v>340</v>
      </c>
      <c r="C321" t="s">
        <v>341</v>
      </c>
      <c r="D321">
        <v>9009</v>
      </c>
      <c r="E321" t="s">
        <v>235</v>
      </c>
      <c r="F321">
        <v>11</v>
      </c>
      <c r="G321" t="str">
        <f>_xlfn.XLOOKUP(E321,'Base SKUs'!E:E,'Base SKUs'!D:D)</f>
        <v>Thermowood</v>
      </c>
      <c r="H321" s="10">
        <f>_xlfn.XLOOKUP(E321,'Base SKUs'!E:E,'Base SKUs'!S:S)</f>
        <v>8.7779999999999993E-3</v>
      </c>
      <c r="I321" s="9">
        <f t="shared" si="4"/>
        <v>9.7000000000000003E-2</v>
      </c>
      <c r="J321" t="str">
        <f>_xlfn.XLOOKUP(E321,'Base SKUs'!E:E,'Base SKUs'!G:G)</f>
        <v>Maximo Thermo Ayous</v>
      </c>
      <c r="K321" t="str">
        <f>_xlfn.XLOOKUP(E321,'Base SKUs'!E:E,'Base SKUs'!H:H)</f>
        <v>S4S E4E</v>
      </c>
      <c r="L321" t="str">
        <f>_xlfn.XLOOKUP(E321,'Base SKUs'!E:E,'Base SKUs'!I:I)</f>
        <v>-</v>
      </c>
      <c r="M321" t="str">
        <f>_xlfn.XLOOKUP(E321,'Base SKUs'!E:E,'Base SKUs'!J:J)</f>
        <v>1x6</v>
      </c>
      <c r="N321">
        <f>_xlfn.XLOOKUP(E321,'Base SKUs'!E:E,'Base SKUs'!K:K)</f>
        <v>11</v>
      </c>
      <c r="O321" t="str">
        <f>_xlfn.XLOOKUP(E321,'Base SKUs'!E:E,'Base SKUs'!C:C)</f>
        <v>Long</v>
      </c>
      <c r="P321" t="s">
        <v>4925</v>
      </c>
    </row>
    <row r="322" spans="1:16" hidden="1" x14ac:dyDescent="0.25">
      <c r="A322" t="s">
        <v>4930</v>
      </c>
      <c r="B322" t="s">
        <v>340</v>
      </c>
      <c r="C322" t="s">
        <v>341</v>
      </c>
      <c r="D322">
        <v>9009</v>
      </c>
      <c r="E322" t="s">
        <v>236</v>
      </c>
      <c r="F322">
        <v>115</v>
      </c>
      <c r="G322" t="str">
        <f>_xlfn.XLOOKUP(E322,'Base SKUs'!E:E,'Base SKUs'!D:D)</f>
        <v>Thermowood</v>
      </c>
      <c r="H322" s="10">
        <f>_xlfn.XLOOKUP(E322,'Base SKUs'!E:E,'Base SKUs'!S:S)</f>
        <v>9.5760000000000012E-3</v>
      </c>
      <c r="I322" s="9">
        <f t="shared" ref="I322:I385" si="5">IF(OR(G322="Norx",K322="Tiles"),ROUND(F322,3),ROUND(F322*H322,3))</f>
        <v>1.101</v>
      </c>
      <c r="J322" t="str">
        <f>_xlfn.XLOOKUP(E322,'Base SKUs'!E:E,'Base SKUs'!G:G)</f>
        <v>Maximo Thermo Ayous</v>
      </c>
      <c r="K322" t="str">
        <f>_xlfn.XLOOKUP(E322,'Base SKUs'!E:E,'Base SKUs'!H:H)</f>
        <v>S4S E4E</v>
      </c>
      <c r="L322" t="str">
        <f>_xlfn.XLOOKUP(E322,'Base SKUs'!E:E,'Base SKUs'!I:I)</f>
        <v>-</v>
      </c>
      <c r="M322" t="str">
        <f>_xlfn.XLOOKUP(E322,'Base SKUs'!E:E,'Base SKUs'!J:J)</f>
        <v>1x6</v>
      </c>
      <c r="N322">
        <f>_xlfn.XLOOKUP(E322,'Base SKUs'!E:E,'Base SKUs'!K:K)</f>
        <v>12</v>
      </c>
      <c r="O322" t="str">
        <f>_xlfn.XLOOKUP(E322,'Base SKUs'!E:E,'Base SKUs'!C:C)</f>
        <v>Long</v>
      </c>
      <c r="P322" t="s">
        <v>4925</v>
      </c>
    </row>
    <row r="323" spans="1:16" hidden="1" x14ac:dyDescent="0.25">
      <c r="A323" t="s">
        <v>4930</v>
      </c>
      <c r="B323" t="s">
        <v>340</v>
      </c>
      <c r="C323" t="s">
        <v>341</v>
      </c>
      <c r="D323">
        <v>9009</v>
      </c>
      <c r="E323" t="s">
        <v>214</v>
      </c>
      <c r="F323">
        <v>4</v>
      </c>
      <c r="G323" t="str">
        <f>_xlfn.XLOOKUP(E323,'Base SKUs'!E:E,'Base SKUs'!D:D)</f>
        <v>Thermowood</v>
      </c>
      <c r="H323" s="10">
        <f>_xlfn.XLOOKUP(E323,'Base SKUs'!E:E,'Base SKUs'!S:S)</f>
        <v>1.1172E-2</v>
      </c>
      <c r="I323" s="9">
        <f t="shared" si="5"/>
        <v>4.4999999999999998E-2</v>
      </c>
      <c r="J323" t="str">
        <f>_xlfn.XLOOKUP(E323,'Base SKUs'!E:E,'Base SKUs'!G:G)</f>
        <v>Maximo Thermo Ayous</v>
      </c>
      <c r="K323" t="str">
        <f>_xlfn.XLOOKUP(E323,'Base SKUs'!E:E,'Base SKUs'!H:H)</f>
        <v>S4S E4E</v>
      </c>
      <c r="L323" t="str">
        <f>_xlfn.XLOOKUP(E323,'Base SKUs'!E:E,'Base SKUs'!I:I)</f>
        <v>-</v>
      </c>
      <c r="M323" t="str">
        <f>_xlfn.XLOOKUP(E323,'Base SKUs'!E:E,'Base SKUs'!J:J)</f>
        <v>1x6</v>
      </c>
      <c r="N323">
        <f>_xlfn.XLOOKUP(E323,'Base SKUs'!E:E,'Base SKUs'!K:K)</f>
        <v>14</v>
      </c>
      <c r="O323" t="str">
        <f>_xlfn.XLOOKUP(E323,'Base SKUs'!E:E,'Base SKUs'!C:C)</f>
        <v>Long</v>
      </c>
      <c r="P323" t="s">
        <v>4925</v>
      </c>
    </row>
    <row r="324" spans="1:16" hidden="1" x14ac:dyDescent="0.25">
      <c r="A324" t="s">
        <v>4930</v>
      </c>
      <c r="B324" t="s">
        <v>340</v>
      </c>
      <c r="C324" t="s">
        <v>341</v>
      </c>
      <c r="D324">
        <v>9009</v>
      </c>
      <c r="E324" t="s">
        <v>210</v>
      </c>
      <c r="F324">
        <v>105</v>
      </c>
      <c r="G324" t="str">
        <f>_xlfn.XLOOKUP(E324,'Base SKUs'!E:E,'Base SKUs'!D:D)</f>
        <v>Thermowood</v>
      </c>
      <c r="H324" s="10">
        <f>_xlfn.XLOOKUP(E324,'Base SKUs'!E:E,'Base SKUs'!S:S)</f>
        <v>6.3839999999999999E-3</v>
      </c>
      <c r="I324" s="9">
        <f t="shared" si="5"/>
        <v>0.67</v>
      </c>
      <c r="J324" t="str">
        <f>_xlfn.XLOOKUP(E324,'Base SKUs'!E:E,'Base SKUs'!G:G)</f>
        <v>Maximo Thermo Ayous</v>
      </c>
      <c r="K324" t="str">
        <f>_xlfn.XLOOKUP(E324,'Base SKUs'!E:E,'Base SKUs'!H:H)</f>
        <v>S4S E4E</v>
      </c>
      <c r="L324" t="str">
        <f>_xlfn.XLOOKUP(E324,'Base SKUs'!E:E,'Base SKUs'!I:I)</f>
        <v>-</v>
      </c>
      <c r="M324" t="str">
        <f>_xlfn.XLOOKUP(E324,'Base SKUs'!E:E,'Base SKUs'!J:J)</f>
        <v>1x6</v>
      </c>
      <c r="N324">
        <f>_xlfn.XLOOKUP(E324,'Base SKUs'!E:E,'Base SKUs'!K:K)</f>
        <v>8</v>
      </c>
      <c r="O324" t="str">
        <f>_xlfn.XLOOKUP(E324,'Base SKUs'!E:E,'Base SKUs'!C:C)</f>
        <v>Long</v>
      </c>
      <c r="P324" t="s">
        <v>4925</v>
      </c>
    </row>
    <row r="325" spans="1:16" hidden="1" x14ac:dyDescent="0.25">
      <c r="A325" t="s">
        <v>4930</v>
      </c>
      <c r="B325" t="s">
        <v>340</v>
      </c>
      <c r="C325" t="s">
        <v>341</v>
      </c>
      <c r="D325">
        <v>9009</v>
      </c>
      <c r="E325" t="s">
        <v>237</v>
      </c>
      <c r="F325">
        <v>49</v>
      </c>
      <c r="G325" t="str">
        <f>_xlfn.XLOOKUP(E325,'Base SKUs'!E:E,'Base SKUs'!D:D)</f>
        <v>Thermowood</v>
      </c>
      <c r="H325" s="10">
        <f>_xlfn.XLOOKUP(E325,'Base SKUs'!E:E,'Base SKUs'!S:S)</f>
        <v>3.192E-3</v>
      </c>
      <c r="I325" s="9">
        <f t="shared" si="5"/>
        <v>0.156</v>
      </c>
      <c r="J325" t="str">
        <f>_xlfn.XLOOKUP(E325,'Base SKUs'!E:E,'Base SKUs'!G:G)</f>
        <v>Maximo Thermo Ayous</v>
      </c>
      <c r="K325" t="str">
        <f>_xlfn.XLOOKUP(E325,'Base SKUs'!E:E,'Base SKUs'!H:H)</f>
        <v>S4S E4E</v>
      </c>
      <c r="L325" t="str">
        <f>_xlfn.XLOOKUP(E325,'Base SKUs'!E:E,'Base SKUs'!I:I)</f>
        <v>-</v>
      </c>
      <c r="M325" t="str">
        <f>_xlfn.XLOOKUP(E325,'Base SKUs'!E:E,'Base SKUs'!J:J)</f>
        <v>1x6</v>
      </c>
      <c r="N325">
        <f>_xlfn.XLOOKUP(E325,'Base SKUs'!E:E,'Base SKUs'!K:K)</f>
        <v>4</v>
      </c>
      <c r="O325" t="str">
        <f>_xlfn.XLOOKUP(E325,'Base SKUs'!E:E,'Base SKUs'!C:C)</f>
        <v>Short</v>
      </c>
      <c r="P325" t="s">
        <v>4925</v>
      </c>
    </row>
    <row r="326" spans="1:16" hidden="1" x14ac:dyDescent="0.25">
      <c r="A326" t="s">
        <v>4930</v>
      </c>
      <c r="B326" t="s">
        <v>340</v>
      </c>
      <c r="C326" t="s">
        <v>341</v>
      </c>
      <c r="D326">
        <v>9009</v>
      </c>
      <c r="E326" t="s">
        <v>3823</v>
      </c>
      <c r="F326">
        <v>7</v>
      </c>
      <c r="G326" t="str">
        <f>_xlfn.XLOOKUP(E326,'Base SKUs'!E:E,'Base SKUs'!D:D)</f>
        <v>Thermowood</v>
      </c>
      <c r="H326" s="10">
        <f>_xlfn.XLOOKUP(E326,'Base SKUs'!E:E,'Base SKUs'!S:S)</f>
        <v>1.0799999999999999E-2</v>
      </c>
      <c r="I326" s="9">
        <f t="shared" si="5"/>
        <v>7.5999999999999998E-2</v>
      </c>
      <c r="J326" t="str">
        <f>_xlfn.XLOOKUP(E326,'Base SKUs'!E:E,'Base SKUs'!G:G)</f>
        <v>Maximo Thermo Ayous</v>
      </c>
      <c r="K326" t="str">
        <f>_xlfn.XLOOKUP(E326,'Base SKUs'!E:E,'Base SKUs'!H:H)</f>
        <v>S4S E4E</v>
      </c>
      <c r="L326" t="str">
        <f>_xlfn.XLOOKUP(E326,'Base SKUs'!E:E,'Base SKUs'!I:I)</f>
        <v>-</v>
      </c>
      <c r="M326" t="str">
        <f>_xlfn.XLOOKUP(E326,'Base SKUs'!E:E,'Base SKUs'!J:J)</f>
        <v>1x8</v>
      </c>
      <c r="N326">
        <f>_xlfn.XLOOKUP(E326,'Base SKUs'!E:E,'Base SKUs'!K:K)</f>
        <v>10</v>
      </c>
      <c r="O326" t="str">
        <f>_xlfn.XLOOKUP(E326,'Base SKUs'!E:E,'Base SKUs'!C:C)</f>
        <v>Long</v>
      </c>
      <c r="P326" t="s">
        <v>4925</v>
      </c>
    </row>
    <row r="327" spans="1:16" hidden="1" x14ac:dyDescent="0.25">
      <c r="A327" t="s">
        <v>4930</v>
      </c>
      <c r="B327" t="s">
        <v>340</v>
      </c>
      <c r="C327" t="s">
        <v>341</v>
      </c>
      <c r="D327">
        <v>9009</v>
      </c>
      <c r="E327" t="s">
        <v>3825</v>
      </c>
      <c r="F327">
        <v>70</v>
      </c>
      <c r="G327" t="str">
        <f>_xlfn.XLOOKUP(E327,'Base SKUs'!E:E,'Base SKUs'!D:D)</f>
        <v>Thermowood</v>
      </c>
      <c r="H327" s="10">
        <f>_xlfn.XLOOKUP(E327,'Base SKUs'!E:E,'Base SKUs'!S:S)</f>
        <v>1.188E-2</v>
      </c>
      <c r="I327" s="9">
        <f t="shared" si="5"/>
        <v>0.83199999999999996</v>
      </c>
      <c r="J327" t="str">
        <f>_xlfn.XLOOKUP(E327,'Base SKUs'!E:E,'Base SKUs'!G:G)</f>
        <v>Maximo Thermo Ayous</v>
      </c>
      <c r="K327" t="str">
        <f>_xlfn.XLOOKUP(E327,'Base SKUs'!E:E,'Base SKUs'!H:H)</f>
        <v>S4S E4E</v>
      </c>
      <c r="L327" t="str">
        <f>_xlfn.XLOOKUP(E327,'Base SKUs'!E:E,'Base SKUs'!I:I)</f>
        <v>-</v>
      </c>
      <c r="M327" t="str">
        <f>_xlfn.XLOOKUP(E327,'Base SKUs'!E:E,'Base SKUs'!J:J)</f>
        <v>1x8</v>
      </c>
      <c r="N327">
        <f>_xlfn.XLOOKUP(E327,'Base SKUs'!E:E,'Base SKUs'!K:K)</f>
        <v>11</v>
      </c>
      <c r="O327" t="str">
        <f>_xlfn.XLOOKUP(E327,'Base SKUs'!E:E,'Base SKUs'!C:C)</f>
        <v>Long</v>
      </c>
      <c r="P327" t="s">
        <v>4925</v>
      </c>
    </row>
    <row r="328" spans="1:16" hidden="1" x14ac:dyDescent="0.25">
      <c r="A328" t="s">
        <v>4930</v>
      </c>
      <c r="B328" t="s">
        <v>340</v>
      </c>
      <c r="C328" t="s">
        <v>341</v>
      </c>
      <c r="D328">
        <v>9009</v>
      </c>
      <c r="E328" t="s">
        <v>3838</v>
      </c>
      <c r="F328">
        <v>375</v>
      </c>
      <c r="G328" t="str">
        <f>_xlfn.XLOOKUP(E328,'Base SKUs'!E:E,'Base SKUs'!D:D)</f>
        <v>Thermowood</v>
      </c>
      <c r="H328" s="10">
        <f>_xlfn.XLOOKUP(E328,'Base SKUs'!E:E,'Base SKUs'!S:S)</f>
        <v>9.7200000000000012E-3</v>
      </c>
      <c r="I328" s="9">
        <f t="shared" si="5"/>
        <v>3.645</v>
      </c>
      <c r="J328" t="str">
        <f>_xlfn.XLOOKUP(E328,'Base SKUs'!E:E,'Base SKUs'!G:G)</f>
        <v>Maximo Thermo Ayous</v>
      </c>
      <c r="K328" t="str">
        <f>_xlfn.XLOOKUP(E328,'Base SKUs'!E:E,'Base SKUs'!H:H)</f>
        <v>S4S E4E</v>
      </c>
      <c r="L328" t="str">
        <f>_xlfn.XLOOKUP(E328,'Base SKUs'!E:E,'Base SKUs'!I:I)</f>
        <v>-</v>
      </c>
      <c r="M328" t="str">
        <f>_xlfn.XLOOKUP(E328,'Base SKUs'!E:E,'Base SKUs'!J:J)</f>
        <v>1x8</v>
      </c>
      <c r="N328">
        <f>_xlfn.XLOOKUP(E328,'Base SKUs'!E:E,'Base SKUs'!K:K)</f>
        <v>9</v>
      </c>
      <c r="O328" t="str">
        <f>_xlfn.XLOOKUP(E328,'Base SKUs'!E:E,'Base SKUs'!C:C)</f>
        <v>Long</v>
      </c>
      <c r="P328" t="s">
        <v>4925</v>
      </c>
    </row>
    <row r="329" spans="1:16" hidden="1" x14ac:dyDescent="0.25">
      <c r="A329" t="s">
        <v>4930</v>
      </c>
      <c r="B329" t="s">
        <v>340</v>
      </c>
      <c r="C329" t="s">
        <v>341</v>
      </c>
      <c r="D329">
        <v>9009</v>
      </c>
      <c r="E329" t="s">
        <v>125</v>
      </c>
      <c r="F329">
        <v>15</v>
      </c>
      <c r="G329" t="str">
        <f>_xlfn.XLOOKUP(E329,'Base SKUs'!E:E,'Base SKUs'!D:D)</f>
        <v>Thermowood</v>
      </c>
      <c r="H329" s="10">
        <f>_xlfn.XLOOKUP(E329,'Base SKUs'!E:E,'Base SKUs'!S:S)</f>
        <v>1.1970000000000001E-2</v>
      </c>
      <c r="I329" s="9">
        <f t="shared" si="5"/>
        <v>0.18</v>
      </c>
      <c r="J329" t="str">
        <f>_xlfn.XLOOKUP(E329,'Base SKUs'!E:E,'Base SKUs'!G:G)</f>
        <v>Maximo Thermo Ayous</v>
      </c>
      <c r="K329" t="str">
        <f>_xlfn.XLOOKUP(E329,'Base SKUs'!E:E,'Base SKUs'!H:H)</f>
        <v>VJoint - Square Back</v>
      </c>
      <c r="L329" t="str">
        <f>_xlfn.XLOOKUP(E329,'Base SKUs'!E:E,'Base SKUs'!I:I)</f>
        <v>-</v>
      </c>
      <c r="M329" t="str">
        <f>_xlfn.XLOOKUP(E329,'Base SKUs'!E:E,'Base SKUs'!J:J)</f>
        <v>1x6</v>
      </c>
      <c r="N329">
        <f>_xlfn.XLOOKUP(E329,'Base SKUs'!E:E,'Base SKUs'!K:K)</f>
        <v>15</v>
      </c>
      <c r="O329" t="str">
        <f>_xlfn.XLOOKUP(E329,'Base SKUs'!E:E,'Base SKUs'!C:C)</f>
        <v>Long</v>
      </c>
      <c r="P329" t="s">
        <v>4925</v>
      </c>
    </row>
    <row r="330" spans="1:16" hidden="1" x14ac:dyDescent="0.25">
      <c r="A330" t="s">
        <v>4930</v>
      </c>
      <c r="B330" t="s">
        <v>340</v>
      </c>
      <c r="C330" t="s">
        <v>341</v>
      </c>
      <c r="D330">
        <v>9009</v>
      </c>
      <c r="E330" t="s">
        <v>57</v>
      </c>
      <c r="F330">
        <v>35</v>
      </c>
      <c r="G330" t="str">
        <f>_xlfn.XLOOKUP(E330,'Base SKUs'!E:E,'Base SKUs'!D:D)</f>
        <v>Thermowood</v>
      </c>
      <c r="H330" s="10">
        <f>_xlfn.XLOOKUP(E330,'Base SKUs'!E:E,'Base SKUs'!S:S)</f>
        <v>1.2768E-2</v>
      </c>
      <c r="I330" s="9">
        <f t="shared" si="5"/>
        <v>0.44700000000000001</v>
      </c>
      <c r="J330" t="str">
        <f>_xlfn.XLOOKUP(E330,'Base SKUs'!E:E,'Base SKUs'!G:G)</f>
        <v>Maximo Thermo Ayous</v>
      </c>
      <c r="K330" t="str">
        <f>_xlfn.XLOOKUP(E330,'Base SKUs'!E:E,'Base SKUs'!H:H)</f>
        <v>VJoint - Square Back</v>
      </c>
      <c r="L330" t="str">
        <f>_xlfn.XLOOKUP(E330,'Base SKUs'!E:E,'Base SKUs'!I:I)</f>
        <v>-</v>
      </c>
      <c r="M330" t="str">
        <f>_xlfn.XLOOKUP(E330,'Base SKUs'!E:E,'Base SKUs'!J:J)</f>
        <v>1x6</v>
      </c>
      <c r="N330">
        <f>_xlfn.XLOOKUP(E330,'Base SKUs'!E:E,'Base SKUs'!K:K)</f>
        <v>16</v>
      </c>
      <c r="O330" t="str">
        <f>_xlfn.XLOOKUP(E330,'Base SKUs'!E:E,'Base SKUs'!C:C)</f>
        <v>Long</v>
      </c>
      <c r="P330" t="s">
        <v>4925</v>
      </c>
    </row>
    <row r="331" spans="1:16" hidden="1" x14ac:dyDescent="0.25">
      <c r="A331" t="s">
        <v>4930</v>
      </c>
      <c r="B331" t="s">
        <v>340</v>
      </c>
      <c r="C331" t="s">
        <v>341</v>
      </c>
      <c r="D331">
        <v>9009</v>
      </c>
      <c r="E331" t="s">
        <v>126</v>
      </c>
      <c r="F331">
        <v>30</v>
      </c>
      <c r="G331" t="str">
        <f>_xlfn.XLOOKUP(E331,'Base SKUs'!E:E,'Base SKUs'!D:D)</f>
        <v>Thermowood</v>
      </c>
      <c r="H331" s="10">
        <f>_xlfn.XLOOKUP(E331,'Base SKUs'!E:E,'Base SKUs'!S:S)</f>
        <v>1.3565999999999998E-2</v>
      </c>
      <c r="I331" s="9">
        <f t="shared" si="5"/>
        <v>0.40699999999999997</v>
      </c>
      <c r="J331" t="str">
        <f>_xlfn.XLOOKUP(E331,'Base SKUs'!E:E,'Base SKUs'!G:G)</f>
        <v>Maximo Thermo Ayous</v>
      </c>
      <c r="K331" t="str">
        <f>_xlfn.XLOOKUP(E331,'Base SKUs'!E:E,'Base SKUs'!H:H)</f>
        <v>VJoint - Square Back</v>
      </c>
      <c r="L331" t="str">
        <f>_xlfn.XLOOKUP(E331,'Base SKUs'!E:E,'Base SKUs'!I:I)</f>
        <v>-</v>
      </c>
      <c r="M331" t="str">
        <f>_xlfn.XLOOKUP(E331,'Base SKUs'!E:E,'Base SKUs'!J:J)</f>
        <v>1x6</v>
      </c>
      <c r="N331">
        <f>_xlfn.XLOOKUP(E331,'Base SKUs'!E:E,'Base SKUs'!K:K)</f>
        <v>17</v>
      </c>
      <c r="O331" t="str">
        <f>_xlfn.XLOOKUP(E331,'Base SKUs'!E:E,'Base SKUs'!C:C)</f>
        <v>Long</v>
      </c>
      <c r="P331" t="s">
        <v>4925</v>
      </c>
    </row>
    <row r="332" spans="1:16" hidden="1" x14ac:dyDescent="0.25">
      <c r="A332" t="s">
        <v>4930</v>
      </c>
      <c r="B332" t="s">
        <v>340</v>
      </c>
      <c r="C332" t="s">
        <v>341</v>
      </c>
      <c r="D332">
        <v>9009</v>
      </c>
      <c r="E332" t="s">
        <v>44</v>
      </c>
      <c r="F332">
        <v>49</v>
      </c>
      <c r="G332" t="str">
        <f>_xlfn.XLOOKUP(E332,'Base SKUs'!E:E,'Base SKUs'!D:D)</f>
        <v>Thermowood</v>
      </c>
      <c r="H332" s="10">
        <f>_xlfn.XLOOKUP(E332,'Base SKUs'!E:E,'Base SKUs'!S:S)</f>
        <v>6.3839999999999999E-3</v>
      </c>
      <c r="I332" s="9">
        <f t="shared" si="5"/>
        <v>0.313</v>
      </c>
      <c r="J332" t="str">
        <f>_xlfn.XLOOKUP(E332,'Base SKUs'!E:E,'Base SKUs'!G:G)</f>
        <v>Maximo Thermo Ayous</v>
      </c>
      <c r="K332" t="str">
        <f>_xlfn.XLOOKUP(E332,'Base SKUs'!E:E,'Base SKUs'!H:H)</f>
        <v>VJoint - Square Back</v>
      </c>
      <c r="L332" t="str">
        <f>_xlfn.XLOOKUP(E332,'Base SKUs'!E:E,'Base SKUs'!I:I)</f>
        <v>-</v>
      </c>
      <c r="M332" t="str">
        <f>_xlfn.XLOOKUP(E332,'Base SKUs'!E:E,'Base SKUs'!J:J)</f>
        <v>1x6</v>
      </c>
      <c r="N332">
        <f>_xlfn.XLOOKUP(E332,'Base SKUs'!E:E,'Base SKUs'!K:K)</f>
        <v>8</v>
      </c>
      <c r="O332" t="str">
        <f>_xlfn.XLOOKUP(E332,'Base SKUs'!E:E,'Base SKUs'!C:C)</f>
        <v>Long</v>
      </c>
      <c r="P332" t="s">
        <v>4925</v>
      </c>
    </row>
    <row r="333" spans="1:16" hidden="1" x14ac:dyDescent="0.25">
      <c r="A333" t="s">
        <v>4930</v>
      </c>
      <c r="B333" t="s">
        <v>340</v>
      </c>
      <c r="C333" t="s">
        <v>341</v>
      </c>
      <c r="D333">
        <v>9009</v>
      </c>
      <c r="E333" t="s">
        <v>110</v>
      </c>
      <c r="F333">
        <v>210</v>
      </c>
      <c r="G333" t="str">
        <f>_xlfn.XLOOKUP(E333,'Base SKUs'!E:E,'Base SKUs'!D:D)</f>
        <v>Thermowood</v>
      </c>
      <c r="H333" s="10">
        <f>_xlfn.XLOOKUP(E333,'Base SKUs'!E:E,'Base SKUs'!S:S)</f>
        <v>7.983854999999998E-3</v>
      </c>
      <c r="I333" s="9">
        <f t="shared" si="5"/>
        <v>1.677</v>
      </c>
      <c r="J333" t="str">
        <f>_xlfn.XLOOKUP(E333,'Base SKUs'!E:E,'Base SKUs'!G:G)</f>
        <v>Wawa</v>
      </c>
      <c r="K333" t="str">
        <f>_xlfn.XLOOKUP(E333,'Base SKUs'!E:E,'Base SKUs'!H:H)</f>
        <v>S4S Tongue &amp; Grooved</v>
      </c>
      <c r="L333" t="str">
        <f>_xlfn.XLOOKUP(E333,'Base SKUs'!E:E,'Base SKUs'!I:I)</f>
        <v>-</v>
      </c>
      <c r="M333" t="str">
        <f>_xlfn.XLOOKUP(E333,'Base SKUs'!E:E,'Base SKUs'!J:J)</f>
        <v>1x6</v>
      </c>
      <c r="N333">
        <f>_xlfn.XLOOKUP(E333,'Base SKUs'!E:E,'Base SKUs'!K:K)</f>
        <v>10</v>
      </c>
      <c r="O333" t="str">
        <f>_xlfn.XLOOKUP(E333,'Base SKUs'!E:E,'Base SKUs'!C:C)</f>
        <v>Long</v>
      </c>
      <c r="P333" t="s">
        <v>4925</v>
      </c>
    </row>
    <row r="334" spans="1:16" hidden="1" x14ac:dyDescent="0.25">
      <c r="A334" t="s">
        <v>4930</v>
      </c>
      <c r="B334" t="s">
        <v>340</v>
      </c>
      <c r="C334" t="s">
        <v>341</v>
      </c>
      <c r="D334">
        <v>9009</v>
      </c>
      <c r="E334" t="s">
        <v>111</v>
      </c>
      <c r="F334">
        <v>311</v>
      </c>
      <c r="G334" t="str">
        <f>_xlfn.XLOOKUP(E334,'Base SKUs'!E:E,'Base SKUs'!D:D)</f>
        <v>Thermowood</v>
      </c>
      <c r="H334" s="10">
        <f>_xlfn.XLOOKUP(E334,'Base SKUs'!E:E,'Base SKUs'!S:S)</f>
        <v>9.5806259999999983E-3</v>
      </c>
      <c r="I334" s="9">
        <f t="shared" si="5"/>
        <v>2.98</v>
      </c>
      <c r="J334" t="str">
        <f>_xlfn.XLOOKUP(E334,'Base SKUs'!E:E,'Base SKUs'!G:G)</f>
        <v>Wawa</v>
      </c>
      <c r="K334" t="str">
        <f>_xlfn.XLOOKUP(E334,'Base SKUs'!E:E,'Base SKUs'!H:H)</f>
        <v>S4S Tongue &amp; Grooved</v>
      </c>
      <c r="L334" t="str">
        <f>_xlfn.XLOOKUP(E334,'Base SKUs'!E:E,'Base SKUs'!I:I)</f>
        <v>-</v>
      </c>
      <c r="M334" t="str">
        <f>_xlfn.XLOOKUP(E334,'Base SKUs'!E:E,'Base SKUs'!J:J)</f>
        <v>1x6</v>
      </c>
      <c r="N334">
        <f>_xlfn.XLOOKUP(E334,'Base SKUs'!E:E,'Base SKUs'!K:K)</f>
        <v>12</v>
      </c>
      <c r="O334" t="str">
        <f>_xlfn.XLOOKUP(E334,'Base SKUs'!E:E,'Base SKUs'!C:C)</f>
        <v>Long</v>
      </c>
      <c r="P334" t="s">
        <v>4925</v>
      </c>
    </row>
    <row r="335" spans="1:16" hidden="1" x14ac:dyDescent="0.25">
      <c r="A335" t="s">
        <v>4930</v>
      </c>
      <c r="B335" t="s">
        <v>340</v>
      </c>
      <c r="C335" t="s">
        <v>341</v>
      </c>
      <c r="D335">
        <v>9009</v>
      </c>
      <c r="E335" t="s">
        <v>3889</v>
      </c>
      <c r="F335">
        <v>190</v>
      </c>
      <c r="G335" t="str">
        <f>_xlfn.XLOOKUP(E335,'Base SKUs'!E:E,'Base SKUs'!D:D)</f>
        <v>Thermowood</v>
      </c>
      <c r="H335" s="10">
        <f>_xlfn.XLOOKUP(E335,'Base SKUs'!E:E,'Base SKUs'!S:S)</f>
        <v>8.6400000000000001E-3</v>
      </c>
      <c r="I335" s="9">
        <f t="shared" si="5"/>
        <v>1.6419999999999999</v>
      </c>
      <c r="J335" t="str">
        <f>_xlfn.XLOOKUP(E335,'Base SKUs'!E:E,'Base SKUs'!G:G)</f>
        <v>Maximo Thermo Ayous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2x4</v>
      </c>
      <c r="N335">
        <f>_xlfn.XLOOKUP(E335,'Base SKUs'!E:E,'Base SKUs'!K:K)</f>
        <v>8</v>
      </c>
      <c r="O335" t="str">
        <f>_xlfn.XLOOKUP(E335,'Base SKUs'!E:E,'Base SKUs'!C:C)</f>
        <v>Long</v>
      </c>
      <c r="P335" t="s">
        <v>4925</v>
      </c>
    </row>
    <row r="336" spans="1:16" hidden="1" x14ac:dyDescent="0.25">
      <c r="A336" t="s">
        <v>4930</v>
      </c>
      <c r="B336" t="s">
        <v>340</v>
      </c>
      <c r="C336" t="s">
        <v>341</v>
      </c>
      <c r="D336">
        <v>9009</v>
      </c>
      <c r="E336" t="s">
        <v>3904</v>
      </c>
      <c r="F336">
        <v>7</v>
      </c>
      <c r="G336" t="str">
        <f>_xlfn.XLOOKUP(E336,'Base SKUs'!E:E,'Base SKUs'!D:D)</f>
        <v>Thermowood</v>
      </c>
      <c r="H336" s="10">
        <f>_xlfn.XLOOKUP(E336,'Base SKUs'!E:E,'Base SKUs'!S:S)</f>
        <v>1.3439999999999999E-2</v>
      </c>
      <c r="I336" s="9">
        <f t="shared" si="5"/>
        <v>9.4E-2</v>
      </c>
      <c r="J336" t="str">
        <f>_xlfn.XLOOKUP(E336,'Base SKUs'!E:E,'Base SKUs'!G:G)</f>
        <v>Maximo Thermo Ayous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2x6</v>
      </c>
      <c r="N336">
        <f>_xlfn.XLOOKUP(E336,'Base SKUs'!E:E,'Base SKUs'!K:K)</f>
        <v>8</v>
      </c>
      <c r="O336" t="str">
        <f>_xlfn.XLOOKUP(E336,'Base SKUs'!E:E,'Base SKUs'!C:C)</f>
        <v>Long</v>
      </c>
      <c r="P336" t="s">
        <v>4925</v>
      </c>
    </row>
    <row r="337" spans="1:16" hidden="1" x14ac:dyDescent="0.25">
      <c r="A337" t="s">
        <v>4931</v>
      </c>
      <c r="B337" t="s">
        <v>245</v>
      </c>
      <c r="C337" t="s">
        <v>246</v>
      </c>
      <c r="D337">
        <v>9007</v>
      </c>
      <c r="E337" t="s">
        <v>236</v>
      </c>
      <c r="F337">
        <v>60</v>
      </c>
      <c r="G337" t="str">
        <f>_xlfn.XLOOKUP(E337,'Base SKUs'!E:E,'Base SKUs'!D:D)</f>
        <v>Thermowood</v>
      </c>
      <c r="H337" s="10">
        <f>_xlfn.XLOOKUP(E337,'Base SKUs'!E:E,'Base SKUs'!S:S)</f>
        <v>9.5760000000000012E-3</v>
      </c>
      <c r="I337" s="9">
        <f t="shared" si="5"/>
        <v>0.57499999999999996</v>
      </c>
      <c r="J337" t="str">
        <f>_xlfn.XLOOKUP(E337,'Base SKUs'!E:E,'Base SKUs'!G:G)</f>
        <v>Maximo Thermo Ayous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1x6</v>
      </c>
      <c r="N337">
        <f>_xlfn.XLOOKUP(E337,'Base SKUs'!E:E,'Base SKUs'!K:K)</f>
        <v>12</v>
      </c>
      <c r="O337" t="str">
        <f>_xlfn.XLOOKUP(E337,'Base SKUs'!E:E,'Base SKUs'!C:C)</f>
        <v>Long</v>
      </c>
      <c r="P337" t="s">
        <v>4926</v>
      </c>
    </row>
    <row r="338" spans="1:16" hidden="1" x14ac:dyDescent="0.25">
      <c r="A338" t="s">
        <v>4931</v>
      </c>
      <c r="B338" t="s">
        <v>245</v>
      </c>
      <c r="C338" t="s">
        <v>246</v>
      </c>
      <c r="D338">
        <v>9007</v>
      </c>
      <c r="E338" t="s">
        <v>150</v>
      </c>
      <c r="F338">
        <v>80</v>
      </c>
      <c r="G338" t="str">
        <f>_xlfn.XLOOKUP(E338,'Base SKUs'!E:E,'Base SKUs'!D:D)</f>
        <v>Thermowood</v>
      </c>
      <c r="H338" s="10">
        <f>_xlfn.XLOOKUP(E338,'Base SKUs'!E:E,'Base SKUs'!S:S)</f>
        <v>9.5760000000000012E-3</v>
      </c>
      <c r="I338" s="9">
        <f t="shared" si="5"/>
        <v>0.76600000000000001</v>
      </c>
      <c r="J338" t="str">
        <f>_xlfn.XLOOKUP(E338,'Base SKUs'!E:E,'Base SKUs'!G:G)</f>
        <v>Maximo Thermo Ayous</v>
      </c>
      <c r="K338" t="str">
        <f>_xlfn.XLOOKUP(E338,'Base SKUs'!E:E,'Base SKUs'!H:H)</f>
        <v>VJoint - Nickel Gap</v>
      </c>
      <c r="L338" t="str">
        <f>_xlfn.XLOOKUP(E338,'Base SKUs'!E:E,'Base SKUs'!I:I)</f>
        <v>-</v>
      </c>
      <c r="M338" t="str">
        <f>_xlfn.XLOOKUP(E338,'Base SKUs'!E:E,'Base SKUs'!J:J)</f>
        <v>1x6</v>
      </c>
      <c r="N338">
        <f>_xlfn.XLOOKUP(E338,'Base SKUs'!E:E,'Base SKUs'!K:K)</f>
        <v>12</v>
      </c>
      <c r="O338" t="str">
        <f>_xlfn.XLOOKUP(E338,'Base SKUs'!E:E,'Base SKUs'!C:C)</f>
        <v>Long</v>
      </c>
      <c r="P338" t="s">
        <v>4926</v>
      </c>
    </row>
    <row r="339" spans="1:16" hidden="1" x14ac:dyDescent="0.25">
      <c r="A339" t="s">
        <v>4931</v>
      </c>
      <c r="B339" t="s">
        <v>245</v>
      </c>
      <c r="C339" t="s">
        <v>246</v>
      </c>
      <c r="D339">
        <v>9007</v>
      </c>
      <c r="E339" t="s">
        <v>214</v>
      </c>
      <c r="F339">
        <v>91</v>
      </c>
      <c r="G339" t="str">
        <f>_xlfn.XLOOKUP(E339,'Base SKUs'!E:E,'Base SKUs'!D:D)</f>
        <v>Thermowood</v>
      </c>
      <c r="H339" s="10">
        <f>_xlfn.XLOOKUP(E339,'Base SKUs'!E:E,'Base SKUs'!S:S)</f>
        <v>1.1172E-2</v>
      </c>
      <c r="I339" s="9">
        <f t="shared" si="5"/>
        <v>1.0169999999999999</v>
      </c>
      <c r="J339" t="str">
        <f>_xlfn.XLOOKUP(E339,'Base SKUs'!E:E,'Base SKUs'!G:G)</f>
        <v>Maximo Thermo Ayous</v>
      </c>
      <c r="K339" t="str">
        <f>_xlfn.XLOOKUP(E339,'Base SKUs'!E:E,'Base SKUs'!H:H)</f>
        <v>S4S E4E</v>
      </c>
      <c r="L339" t="str">
        <f>_xlfn.XLOOKUP(E339,'Base SKUs'!E:E,'Base SKUs'!I:I)</f>
        <v>-</v>
      </c>
      <c r="M339" t="str">
        <f>_xlfn.XLOOKUP(E339,'Base SKUs'!E:E,'Base SKUs'!J:J)</f>
        <v>1x6</v>
      </c>
      <c r="N339">
        <f>_xlfn.XLOOKUP(E339,'Base SKUs'!E:E,'Base SKUs'!K:K)</f>
        <v>14</v>
      </c>
      <c r="O339" t="str">
        <f>_xlfn.XLOOKUP(E339,'Base SKUs'!E:E,'Base SKUs'!C:C)</f>
        <v>Long</v>
      </c>
      <c r="P339" t="s">
        <v>4926</v>
      </c>
    </row>
    <row r="340" spans="1:16" hidden="1" x14ac:dyDescent="0.25">
      <c r="A340" t="s">
        <v>4931</v>
      </c>
      <c r="B340" t="s">
        <v>245</v>
      </c>
      <c r="C340" t="s">
        <v>246</v>
      </c>
      <c r="D340">
        <v>9007</v>
      </c>
      <c r="E340" t="s">
        <v>3938</v>
      </c>
      <c r="F340">
        <v>63</v>
      </c>
      <c r="G340" t="str">
        <f>_xlfn.XLOOKUP(E340,'Base SKUs'!E:E,'Base SKUs'!D:D)</f>
        <v>Thermowood</v>
      </c>
      <c r="H340" s="10">
        <f>_xlfn.XLOOKUP(E340,'Base SKUs'!E:E,'Base SKUs'!S:S)</f>
        <v>8.7779999999999993E-3</v>
      </c>
      <c r="I340" s="9">
        <f t="shared" si="5"/>
        <v>0.55300000000000005</v>
      </c>
      <c r="J340" t="str">
        <f>_xlfn.XLOOKUP(E340,'Base SKUs'!E:E,'Base SKUs'!G:G)</f>
        <v>Maximo Thermo Ayous</v>
      </c>
      <c r="K340" t="str">
        <f>_xlfn.XLOOKUP(E340,'Base SKUs'!E:E,'Base SKUs'!H:H)</f>
        <v>VJoint - Nickel Gap</v>
      </c>
      <c r="L340" t="str">
        <f>_xlfn.XLOOKUP(E340,'Base SKUs'!E:E,'Base SKUs'!I:I)</f>
        <v>Burn Blocked</v>
      </c>
      <c r="M340" t="str">
        <f>_xlfn.XLOOKUP(E340,'Base SKUs'!E:E,'Base SKUs'!J:J)</f>
        <v>1x6</v>
      </c>
      <c r="N340">
        <f>_xlfn.XLOOKUP(E340,'Base SKUs'!E:E,'Base SKUs'!K:K)</f>
        <v>11</v>
      </c>
      <c r="O340" t="str">
        <f>_xlfn.XLOOKUP(E340,'Base SKUs'!E:E,'Base SKUs'!C:C)</f>
        <v>Long</v>
      </c>
      <c r="P340" t="s">
        <v>4926</v>
      </c>
    </row>
    <row r="341" spans="1:16" hidden="1" x14ac:dyDescent="0.25">
      <c r="A341" t="s">
        <v>4932</v>
      </c>
      <c r="B341" t="s">
        <v>340</v>
      </c>
      <c r="C341" t="s">
        <v>341</v>
      </c>
      <c r="D341">
        <v>9009</v>
      </c>
      <c r="E341" t="s">
        <v>2089</v>
      </c>
      <c r="F341">
        <v>1</v>
      </c>
      <c r="G341" t="str">
        <f>_xlfn.XLOOKUP(E341,'Base SKUs'!E:E,'Base SKUs'!D:D)</f>
        <v>Hardwoods</v>
      </c>
      <c r="H341" s="10">
        <f>_xlfn.XLOOKUP(E341,'Base SKUs'!E:E,'Base SKUs'!S:S)</f>
        <v>5.5060535040000001E-3</v>
      </c>
      <c r="I341" s="9">
        <f t="shared" si="5"/>
        <v>6.0000000000000001E-3</v>
      </c>
      <c r="J341" t="str">
        <f>_xlfn.XLOOKUP(E341,'Base SKUs'!E:E,'Base SKUs'!G:G)</f>
        <v>Ipe</v>
      </c>
      <c r="K341" t="str">
        <f>_xlfn.XLOOKUP(E341,'Base SKUs'!E:E,'Base SKUs'!H:H)</f>
        <v>S4S E4E</v>
      </c>
      <c r="L341" t="str">
        <f>_xlfn.XLOOKUP(E341,'Base SKUs'!E:E,'Base SKUs'!I:I)</f>
        <v>-</v>
      </c>
      <c r="M341" t="str">
        <f>_xlfn.XLOOKUP(E341,'Base SKUs'!E:E,'Base SKUs'!J:J)</f>
        <v>5/4x4</v>
      </c>
      <c r="N341">
        <f>_xlfn.XLOOKUP(E341,'Base SKUs'!E:E,'Base SKUs'!K:K)</f>
        <v>8</v>
      </c>
      <c r="O341" t="str">
        <f>_xlfn.XLOOKUP(E341,'Base SKUs'!E:E,'Base SKUs'!C:C)</f>
        <v>Long</v>
      </c>
      <c r="P341" t="s">
        <v>4925</v>
      </c>
    </row>
    <row r="342" spans="1:16" hidden="1" x14ac:dyDescent="0.25">
      <c r="A342" t="s">
        <v>4933</v>
      </c>
      <c r="B342" t="s">
        <v>19</v>
      </c>
      <c r="C342" t="s">
        <v>20</v>
      </c>
      <c r="D342">
        <v>9011</v>
      </c>
      <c r="E342" t="s">
        <v>2620</v>
      </c>
      <c r="F342">
        <v>138</v>
      </c>
      <c r="G342" t="str">
        <f>_xlfn.XLOOKUP(E342,'Base SKUs'!E:E,'Base SKUs'!D:D)</f>
        <v>Norx</v>
      </c>
      <c r="H342" s="10">
        <f>_xlfn.XLOOKUP(E342,'Base SKUs'!E:E,'Base SKUs'!S:S)</f>
        <v>0</v>
      </c>
      <c r="I342" s="9">
        <f t="shared" si="5"/>
        <v>138</v>
      </c>
      <c r="J342" t="str">
        <f>_xlfn.XLOOKUP(E342,'Base SKUs'!E:E,'Base SKUs'!G:G)</f>
        <v>Colosseum</v>
      </c>
      <c r="K342" t="str">
        <f>_xlfn.XLOOKUP(E342,'Base SKUs'!E:E,'Base SKUs'!H:H)</f>
        <v>Profile</v>
      </c>
      <c r="L342" t="str">
        <f>_xlfn.XLOOKUP(E342,'Base SKUs'!E:E,'Base SKUs'!I:I)</f>
        <v>-</v>
      </c>
      <c r="M342" t="str">
        <f>_xlfn.XLOOKUP(E342,'Base SKUs'!E:E,'Base SKUs'!J:J)</f>
        <v>1x7</v>
      </c>
      <c r="N342">
        <f>_xlfn.XLOOKUP(E342,'Base SKUs'!E:E,'Base SKUs'!K:K)</f>
        <v>16</v>
      </c>
      <c r="O342" t="str">
        <f>_xlfn.XLOOKUP(E342,'Base SKUs'!E:E,'Base SKUs'!C:C)</f>
        <v>Long</v>
      </c>
      <c r="P342" t="s">
        <v>4927</v>
      </c>
    </row>
    <row r="343" spans="1:16" hidden="1" x14ac:dyDescent="0.25">
      <c r="A343" t="s">
        <v>4933</v>
      </c>
      <c r="B343" t="s">
        <v>19</v>
      </c>
      <c r="C343" t="s">
        <v>20</v>
      </c>
      <c r="D343">
        <v>9011</v>
      </c>
      <c r="E343" t="s">
        <v>2620</v>
      </c>
      <c r="F343">
        <v>138</v>
      </c>
      <c r="G343" t="str">
        <f>_xlfn.XLOOKUP(E343,'Base SKUs'!E:E,'Base SKUs'!D:D)</f>
        <v>Norx</v>
      </c>
      <c r="H343" s="10">
        <f>_xlfn.XLOOKUP(E343,'Base SKUs'!E:E,'Base SKUs'!S:S)</f>
        <v>0</v>
      </c>
      <c r="I343" s="9">
        <f t="shared" si="5"/>
        <v>138</v>
      </c>
      <c r="J343" t="str">
        <f>_xlfn.XLOOKUP(E343,'Base SKUs'!E:E,'Base SKUs'!G:G)</f>
        <v>Colosseum</v>
      </c>
      <c r="K343" t="str">
        <f>_xlfn.XLOOKUP(E343,'Base SKUs'!E:E,'Base SKUs'!H:H)</f>
        <v>Profile</v>
      </c>
      <c r="L343" t="str">
        <f>_xlfn.XLOOKUP(E343,'Base SKUs'!E:E,'Base SKUs'!I:I)</f>
        <v>-</v>
      </c>
      <c r="M343" t="str">
        <f>_xlfn.XLOOKUP(E343,'Base SKUs'!E:E,'Base SKUs'!J:J)</f>
        <v>1x7</v>
      </c>
      <c r="N343">
        <f>_xlfn.XLOOKUP(E343,'Base SKUs'!E:E,'Base SKUs'!K:K)</f>
        <v>16</v>
      </c>
      <c r="O343" t="str">
        <f>_xlfn.XLOOKUP(E343,'Base SKUs'!E:E,'Base SKUs'!C:C)</f>
        <v>Long</v>
      </c>
      <c r="P343" t="s">
        <v>4927</v>
      </c>
    </row>
    <row r="344" spans="1:16" hidden="1" x14ac:dyDescent="0.25">
      <c r="A344" t="s">
        <v>4933</v>
      </c>
      <c r="B344" t="s">
        <v>19</v>
      </c>
      <c r="C344" t="s">
        <v>20</v>
      </c>
      <c r="D344">
        <v>9011</v>
      </c>
      <c r="E344" t="s">
        <v>2620</v>
      </c>
      <c r="F344">
        <v>138</v>
      </c>
      <c r="G344" t="str">
        <f>_xlfn.XLOOKUP(E344,'Base SKUs'!E:E,'Base SKUs'!D:D)</f>
        <v>Norx</v>
      </c>
      <c r="H344" s="10">
        <f>_xlfn.XLOOKUP(E344,'Base SKUs'!E:E,'Base SKUs'!S:S)</f>
        <v>0</v>
      </c>
      <c r="I344" s="9">
        <f t="shared" si="5"/>
        <v>138</v>
      </c>
      <c r="J344" t="str">
        <f>_xlfn.XLOOKUP(E344,'Base SKUs'!E:E,'Base SKUs'!G:G)</f>
        <v>Colosseum</v>
      </c>
      <c r="K344" t="str">
        <f>_xlfn.XLOOKUP(E344,'Base SKUs'!E:E,'Base SKUs'!H:H)</f>
        <v>Profile</v>
      </c>
      <c r="L344" t="str">
        <f>_xlfn.XLOOKUP(E344,'Base SKUs'!E:E,'Base SKUs'!I:I)</f>
        <v>-</v>
      </c>
      <c r="M344" t="str">
        <f>_xlfn.XLOOKUP(E344,'Base SKUs'!E:E,'Base SKUs'!J:J)</f>
        <v>1x7</v>
      </c>
      <c r="N344">
        <f>_xlfn.XLOOKUP(E344,'Base SKUs'!E:E,'Base SKUs'!K:K)</f>
        <v>16</v>
      </c>
      <c r="O344" t="str">
        <f>_xlfn.XLOOKUP(E344,'Base SKUs'!E:E,'Base SKUs'!C:C)</f>
        <v>Long</v>
      </c>
      <c r="P344" t="s">
        <v>4927</v>
      </c>
    </row>
    <row r="345" spans="1:16" hidden="1" x14ac:dyDescent="0.25">
      <c r="A345" t="s">
        <v>4933</v>
      </c>
      <c r="B345" t="s">
        <v>19</v>
      </c>
      <c r="C345" t="s">
        <v>20</v>
      </c>
      <c r="D345">
        <v>9011</v>
      </c>
      <c r="E345" t="s">
        <v>2620</v>
      </c>
      <c r="F345">
        <v>138</v>
      </c>
      <c r="G345" t="str">
        <f>_xlfn.XLOOKUP(E345,'Base SKUs'!E:E,'Base SKUs'!D:D)</f>
        <v>Norx</v>
      </c>
      <c r="H345" s="10">
        <f>_xlfn.XLOOKUP(E345,'Base SKUs'!E:E,'Base SKUs'!S:S)</f>
        <v>0</v>
      </c>
      <c r="I345" s="9">
        <f t="shared" si="5"/>
        <v>138</v>
      </c>
      <c r="J345" t="str">
        <f>_xlfn.XLOOKUP(E345,'Base SKUs'!E:E,'Base SKUs'!G:G)</f>
        <v>Colosseum</v>
      </c>
      <c r="K345" t="str">
        <f>_xlfn.XLOOKUP(E345,'Base SKUs'!E:E,'Base SKUs'!H:H)</f>
        <v>Profile</v>
      </c>
      <c r="L345" t="str">
        <f>_xlfn.XLOOKUP(E345,'Base SKUs'!E:E,'Base SKUs'!I:I)</f>
        <v>-</v>
      </c>
      <c r="M345" t="str">
        <f>_xlfn.XLOOKUP(E345,'Base SKUs'!E:E,'Base SKUs'!J:J)</f>
        <v>1x7</v>
      </c>
      <c r="N345">
        <f>_xlfn.XLOOKUP(E345,'Base SKUs'!E:E,'Base SKUs'!K:K)</f>
        <v>16</v>
      </c>
      <c r="O345" t="str">
        <f>_xlfn.XLOOKUP(E345,'Base SKUs'!E:E,'Base SKUs'!C:C)</f>
        <v>Long</v>
      </c>
      <c r="P345" t="s">
        <v>4927</v>
      </c>
    </row>
    <row r="346" spans="1:16" hidden="1" x14ac:dyDescent="0.25">
      <c r="A346" t="s">
        <v>4933</v>
      </c>
      <c r="B346" t="s">
        <v>19</v>
      </c>
      <c r="C346" t="s">
        <v>20</v>
      </c>
      <c r="D346">
        <v>9011</v>
      </c>
      <c r="E346" t="s">
        <v>2620</v>
      </c>
      <c r="F346">
        <v>138</v>
      </c>
      <c r="G346" t="str">
        <f>_xlfn.XLOOKUP(E346,'Base SKUs'!E:E,'Base SKUs'!D:D)</f>
        <v>Norx</v>
      </c>
      <c r="H346" s="10">
        <f>_xlfn.XLOOKUP(E346,'Base SKUs'!E:E,'Base SKUs'!S:S)</f>
        <v>0</v>
      </c>
      <c r="I346" s="9">
        <f t="shared" si="5"/>
        <v>138</v>
      </c>
      <c r="J346" t="str">
        <f>_xlfn.XLOOKUP(E346,'Base SKUs'!E:E,'Base SKUs'!G:G)</f>
        <v>Colosseum</v>
      </c>
      <c r="K346" t="str">
        <f>_xlfn.XLOOKUP(E346,'Base SKUs'!E:E,'Base SKUs'!H:H)</f>
        <v>Profile</v>
      </c>
      <c r="L346" t="str">
        <f>_xlfn.XLOOKUP(E346,'Base SKUs'!E:E,'Base SKUs'!I:I)</f>
        <v>-</v>
      </c>
      <c r="M346" t="str">
        <f>_xlfn.XLOOKUP(E346,'Base SKUs'!E:E,'Base SKUs'!J:J)</f>
        <v>1x7</v>
      </c>
      <c r="N346">
        <f>_xlfn.XLOOKUP(E346,'Base SKUs'!E:E,'Base SKUs'!K:K)</f>
        <v>16</v>
      </c>
      <c r="O346" t="str">
        <f>_xlfn.XLOOKUP(E346,'Base SKUs'!E:E,'Base SKUs'!C:C)</f>
        <v>Long</v>
      </c>
      <c r="P346" t="s">
        <v>4927</v>
      </c>
    </row>
    <row r="347" spans="1:16" hidden="1" x14ac:dyDescent="0.25">
      <c r="A347" t="s">
        <v>4933</v>
      </c>
      <c r="B347" t="s">
        <v>19</v>
      </c>
      <c r="C347" t="s">
        <v>20</v>
      </c>
      <c r="D347">
        <v>9011</v>
      </c>
      <c r="E347" t="s">
        <v>338</v>
      </c>
      <c r="F347">
        <v>105</v>
      </c>
      <c r="G347" t="str">
        <f>_xlfn.XLOOKUP(E347,'Base SKUs'!E:E,'Base SKUs'!D:D)</f>
        <v>Norx</v>
      </c>
      <c r="H347" s="10">
        <f>_xlfn.XLOOKUP(E347,'Base SKUs'!E:E,'Base SKUs'!S:S)</f>
        <v>0</v>
      </c>
      <c r="I347" s="9">
        <f t="shared" si="5"/>
        <v>105</v>
      </c>
      <c r="J347" t="str">
        <f>_xlfn.XLOOKUP(E347,'Base SKUs'!E:E,'Base SKUs'!G:G)</f>
        <v>Teak</v>
      </c>
      <c r="K347" t="str">
        <f>_xlfn.XLOOKUP(E347,'Base SKUs'!E:E,'Base SKUs'!H:H)</f>
        <v>Profile</v>
      </c>
      <c r="L347" t="str">
        <f>_xlfn.XLOOKUP(E347,'Base SKUs'!E:E,'Base SKUs'!I:I)</f>
        <v>-</v>
      </c>
      <c r="M347" t="str">
        <f>_xlfn.XLOOKUP(E347,'Base SKUs'!E:E,'Base SKUs'!J:J)</f>
        <v>1x6</v>
      </c>
      <c r="N347">
        <f>_xlfn.XLOOKUP(E347,'Base SKUs'!E:E,'Base SKUs'!K:K)</f>
        <v>16</v>
      </c>
      <c r="O347" t="str">
        <f>_xlfn.XLOOKUP(E347,'Base SKUs'!E:E,'Base SKUs'!C:C)</f>
        <v>Long</v>
      </c>
      <c r="P347" t="s">
        <v>4927</v>
      </c>
    </row>
    <row r="348" spans="1:16" hidden="1" x14ac:dyDescent="0.25">
      <c r="A348" t="s">
        <v>4933</v>
      </c>
      <c r="B348" t="s">
        <v>19</v>
      </c>
      <c r="C348" t="s">
        <v>20</v>
      </c>
      <c r="D348">
        <v>9011</v>
      </c>
      <c r="E348" t="s">
        <v>338</v>
      </c>
      <c r="F348">
        <v>105</v>
      </c>
      <c r="G348" t="str">
        <f>_xlfn.XLOOKUP(E348,'Base SKUs'!E:E,'Base SKUs'!D:D)</f>
        <v>Norx</v>
      </c>
      <c r="H348" s="10">
        <f>_xlfn.XLOOKUP(E348,'Base SKUs'!E:E,'Base SKUs'!S:S)</f>
        <v>0</v>
      </c>
      <c r="I348" s="9">
        <f t="shared" si="5"/>
        <v>105</v>
      </c>
      <c r="J348" t="str">
        <f>_xlfn.XLOOKUP(E348,'Base SKUs'!E:E,'Base SKUs'!G:G)</f>
        <v>Teak</v>
      </c>
      <c r="K348" t="str">
        <f>_xlfn.XLOOKUP(E348,'Base SKUs'!E:E,'Base SKUs'!H:H)</f>
        <v>Profile</v>
      </c>
      <c r="L348" t="str">
        <f>_xlfn.XLOOKUP(E348,'Base SKUs'!E:E,'Base SKUs'!I:I)</f>
        <v>-</v>
      </c>
      <c r="M348" t="str">
        <f>_xlfn.XLOOKUP(E348,'Base SKUs'!E:E,'Base SKUs'!J:J)</f>
        <v>1x6</v>
      </c>
      <c r="N348">
        <f>_xlfn.XLOOKUP(E348,'Base SKUs'!E:E,'Base SKUs'!K:K)</f>
        <v>16</v>
      </c>
      <c r="O348" t="str">
        <f>_xlfn.XLOOKUP(E348,'Base SKUs'!E:E,'Base SKUs'!C:C)</f>
        <v>Long</v>
      </c>
      <c r="P348" t="s">
        <v>4927</v>
      </c>
    </row>
    <row r="349" spans="1:16" hidden="1" x14ac:dyDescent="0.25">
      <c r="A349" t="s">
        <v>4933</v>
      </c>
      <c r="B349" t="s">
        <v>19</v>
      </c>
      <c r="C349" t="s">
        <v>20</v>
      </c>
      <c r="D349">
        <v>9011</v>
      </c>
      <c r="E349" t="s">
        <v>338</v>
      </c>
      <c r="F349">
        <v>147</v>
      </c>
      <c r="G349" t="str">
        <f>_xlfn.XLOOKUP(E349,'Base SKUs'!E:E,'Base SKUs'!D:D)</f>
        <v>Norx</v>
      </c>
      <c r="H349" s="10">
        <f>_xlfn.XLOOKUP(E349,'Base SKUs'!E:E,'Base SKUs'!S:S)</f>
        <v>0</v>
      </c>
      <c r="I349" s="9">
        <f t="shared" si="5"/>
        <v>147</v>
      </c>
      <c r="J349" t="str">
        <f>_xlfn.XLOOKUP(E349,'Base SKUs'!E:E,'Base SKUs'!G:G)</f>
        <v>Teak</v>
      </c>
      <c r="K349" t="str">
        <f>_xlfn.XLOOKUP(E349,'Base SKUs'!E:E,'Base SKUs'!H:H)</f>
        <v>Profile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16</v>
      </c>
      <c r="O349" t="str">
        <f>_xlfn.XLOOKUP(E349,'Base SKUs'!E:E,'Base SKUs'!C:C)</f>
        <v>Long</v>
      </c>
      <c r="P349" t="s">
        <v>4927</v>
      </c>
    </row>
    <row r="350" spans="1:16" hidden="1" x14ac:dyDescent="0.25">
      <c r="A350" t="s">
        <v>4933</v>
      </c>
      <c r="B350" t="s">
        <v>19</v>
      </c>
      <c r="C350" t="s">
        <v>20</v>
      </c>
      <c r="D350">
        <v>9011</v>
      </c>
      <c r="E350" t="s">
        <v>338</v>
      </c>
      <c r="F350">
        <v>147</v>
      </c>
      <c r="G350" t="str">
        <f>_xlfn.XLOOKUP(E350,'Base SKUs'!E:E,'Base SKUs'!D:D)</f>
        <v>Norx</v>
      </c>
      <c r="H350" s="10">
        <f>_xlfn.XLOOKUP(E350,'Base SKUs'!E:E,'Base SKUs'!S:S)</f>
        <v>0</v>
      </c>
      <c r="I350" s="9">
        <f t="shared" si="5"/>
        <v>147</v>
      </c>
      <c r="J350" t="str">
        <f>_xlfn.XLOOKUP(E350,'Base SKUs'!E:E,'Base SKUs'!G:G)</f>
        <v>Teak</v>
      </c>
      <c r="K350" t="str">
        <f>_xlfn.XLOOKUP(E350,'Base SKUs'!E:E,'Base SKUs'!H:H)</f>
        <v>Profile</v>
      </c>
      <c r="L350" t="str">
        <f>_xlfn.XLOOKUP(E350,'Base SKUs'!E:E,'Base SKUs'!I:I)</f>
        <v>-</v>
      </c>
      <c r="M350" t="str">
        <f>_xlfn.XLOOKUP(E350,'Base SKUs'!E:E,'Base SKUs'!J:J)</f>
        <v>1x6</v>
      </c>
      <c r="N350">
        <f>_xlfn.XLOOKUP(E350,'Base SKUs'!E:E,'Base SKUs'!K:K)</f>
        <v>16</v>
      </c>
      <c r="O350" t="str">
        <f>_xlfn.XLOOKUP(E350,'Base SKUs'!E:E,'Base SKUs'!C:C)</f>
        <v>Long</v>
      </c>
      <c r="P350" t="s">
        <v>4927</v>
      </c>
    </row>
    <row r="351" spans="1:16" hidden="1" x14ac:dyDescent="0.25">
      <c r="A351" t="s">
        <v>4933</v>
      </c>
      <c r="B351" t="s">
        <v>19</v>
      </c>
      <c r="C351" t="s">
        <v>20</v>
      </c>
      <c r="D351">
        <v>9011</v>
      </c>
      <c r="E351" t="s">
        <v>2786</v>
      </c>
      <c r="F351">
        <v>11</v>
      </c>
      <c r="G351" t="str">
        <f>_xlfn.XLOOKUP(E351,'Base SKUs'!E:E,'Base SKUs'!D:D)</f>
        <v>Norx</v>
      </c>
      <c r="H351" s="10">
        <f>_xlfn.XLOOKUP(E351,'Base SKUs'!E:E,'Base SKUs'!S:S)</f>
        <v>0</v>
      </c>
      <c r="I351" s="9">
        <f t="shared" si="5"/>
        <v>11</v>
      </c>
      <c r="J351" t="str">
        <f>_xlfn.XLOOKUP(E351,'Base SKUs'!E:E,'Base SKUs'!G:G)</f>
        <v>Ipe</v>
      </c>
      <c r="K351" t="str">
        <f>_xlfn.XLOOKUP(E351,'Base SKUs'!E:E,'Base SKUs'!H:H)</f>
        <v>L Trim</v>
      </c>
      <c r="L351" t="str">
        <f>_xlfn.XLOOKUP(E351,'Base SKUs'!E:E,'Base SKUs'!I:I)</f>
        <v>-</v>
      </c>
      <c r="M351" t="str">
        <f>_xlfn.XLOOKUP(E351,'Base SKUs'!E:E,'Base SKUs'!J:J)</f>
        <v>2x2</v>
      </c>
      <c r="N351">
        <f>_xlfn.XLOOKUP(E351,'Base SKUs'!E:E,'Base SKUs'!K:K)</f>
        <v>16</v>
      </c>
      <c r="O351" t="str">
        <f>_xlfn.XLOOKUP(E351,'Base SKUs'!E:E,'Base SKUs'!C:C)</f>
        <v>Long</v>
      </c>
      <c r="P351" t="s">
        <v>4927</v>
      </c>
    </row>
    <row r="352" spans="1:16" hidden="1" x14ac:dyDescent="0.25">
      <c r="A352" t="s">
        <v>4933</v>
      </c>
      <c r="B352" t="s">
        <v>19</v>
      </c>
      <c r="C352" t="s">
        <v>20</v>
      </c>
      <c r="D352">
        <v>9011</v>
      </c>
      <c r="E352" t="s">
        <v>113</v>
      </c>
      <c r="F352">
        <v>9</v>
      </c>
      <c r="G352" t="str">
        <f>_xlfn.XLOOKUP(E352,'Base SKUs'!E:E,'Base SKUs'!D:D)</f>
        <v>Norx</v>
      </c>
      <c r="H352" s="10">
        <f>_xlfn.XLOOKUP(E352,'Base SKUs'!E:E,'Base SKUs'!S:S)</f>
        <v>0</v>
      </c>
      <c r="I352" s="9">
        <f t="shared" si="5"/>
        <v>9</v>
      </c>
      <c r="J352" t="str">
        <f>_xlfn.XLOOKUP(E352,'Base SKUs'!E:E,'Base SKUs'!G:G)</f>
        <v>Teak</v>
      </c>
      <c r="K352" t="str">
        <f>_xlfn.XLOOKUP(E352,'Base SKUs'!E:E,'Base SKUs'!H:H)</f>
        <v>L Trim</v>
      </c>
      <c r="L352" t="str">
        <f>_xlfn.XLOOKUP(E352,'Base SKUs'!E:E,'Base SKUs'!I:I)</f>
        <v>-</v>
      </c>
      <c r="M352" t="str">
        <f>_xlfn.XLOOKUP(E352,'Base SKUs'!E:E,'Base SKUs'!J:J)</f>
        <v>2x2</v>
      </c>
      <c r="N352">
        <f>_xlfn.XLOOKUP(E352,'Base SKUs'!E:E,'Base SKUs'!K:K)</f>
        <v>16</v>
      </c>
      <c r="O352" t="str">
        <f>_xlfn.XLOOKUP(E352,'Base SKUs'!E:E,'Base SKUs'!C:C)</f>
        <v>Long</v>
      </c>
      <c r="P352" t="s">
        <v>4927</v>
      </c>
    </row>
    <row r="353" spans="1:16" hidden="1" x14ac:dyDescent="0.25">
      <c r="A353" t="s">
        <v>4933</v>
      </c>
      <c r="B353" t="s">
        <v>19</v>
      </c>
      <c r="C353" t="s">
        <v>20</v>
      </c>
      <c r="D353">
        <v>9011</v>
      </c>
      <c r="E353" t="s">
        <v>2636</v>
      </c>
      <c r="F353">
        <v>5</v>
      </c>
      <c r="G353" t="str">
        <f>_xlfn.XLOOKUP(E353,'Base SKUs'!E:E,'Base SKUs'!D:D)</f>
        <v>Norx</v>
      </c>
      <c r="H353" s="10">
        <f>_xlfn.XLOOKUP(E353,'Base SKUs'!E:E,'Base SKUs'!S:S)</f>
        <v>0</v>
      </c>
      <c r="I353" s="9">
        <f t="shared" si="5"/>
        <v>5</v>
      </c>
      <c r="J353" t="str">
        <f>_xlfn.XLOOKUP(E353,'Base SKUs'!E:E,'Base SKUs'!G:G)</f>
        <v>Dark Brown</v>
      </c>
      <c r="K353" t="str">
        <f>_xlfn.XLOOKUP(E353,'Base SKUs'!E:E,'Base SKUs'!H:H)</f>
        <v>L Trim</v>
      </c>
      <c r="L353" t="str">
        <f>_xlfn.XLOOKUP(E353,'Base SKUs'!E:E,'Base SKUs'!I:I)</f>
        <v>-</v>
      </c>
      <c r="M353" t="str">
        <f>_xlfn.XLOOKUP(E353,'Base SKUs'!E:E,'Base SKUs'!J:J)</f>
        <v>2x2</v>
      </c>
      <c r="N353">
        <f>_xlfn.XLOOKUP(E353,'Base SKUs'!E:E,'Base SKUs'!K:K)</f>
        <v>16</v>
      </c>
      <c r="O353" t="str">
        <f>_xlfn.XLOOKUP(E353,'Base SKUs'!E:E,'Base SKUs'!C:C)</f>
        <v>Long</v>
      </c>
      <c r="P353" t="s">
        <v>4927</v>
      </c>
    </row>
    <row r="354" spans="1:16" hidden="1" x14ac:dyDescent="0.25">
      <c r="A354" t="s">
        <v>4933</v>
      </c>
      <c r="B354" t="s">
        <v>19</v>
      </c>
      <c r="C354" t="s">
        <v>20</v>
      </c>
      <c r="D354">
        <v>9011</v>
      </c>
      <c r="E354" t="s">
        <v>2804</v>
      </c>
      <c r="F354">
        <v>10</v>
      </c>
      <c r="G354" t="str">
        <f>_xlfn.XLOOKUP(E354,'Base SKUs'!E:E,'Base SKUs'!D:D)</f>
        <v>Norx</v>
      </c>
      <c r="H354" s="10">
        <f>_xlfn.XLOOKUP(E354,'Base SKUs'!E:E,'Base SKUs'!S:S)</f>
        <v>0</v>
      </c>
      <c r="I354" s="9">
        <f t="shared" si="5"/>
        <v>10</v>
      </c>
      <c r="J354" t="str">
        <f>_xlfn.XLOOKUP(E354,'Base SKUs'!E:E,'Base SKUs'!G:G)</f>
        <v>Light Brown</v>
      </c>
      <c r="K354" t="str">
        <f>_xlfn.XLOOKUP(E354,'Base SKUs'!E:E,'Base SKUs'!H:H)</f>
        <v>L Trim</v>
      </c>
      <c r="L354" t="str">
        <f>_xlfn.XLOOKUP(E354,'Base SKUs'!E:E,'Base SKUs'!I:I)</f>
        <v>-</v>
      </c>
      <c r="M354" t="str">
        <f>_xlfn.XLOOKUP(E354,'Base SKUs'!E:E,'Base SKUs'!J:J)</f>
        <v>2x2</v>
      </c>
      <c r="N354">
        <f>_xlfn.XLOOKUP(E354,'Base SKUs'!E:E,'Base SKUs'!K:K)</f>
        <v>16</v>
      </c>
      <c r="O354" t="str">
        <f>_xlfn.XLOOKUP(E354,'Base SKUs'!E:E,'Base SKUs'!C:C)</f>
        <v>Long</v>
      </c>
      <c r="P354" t="s">
        <v>4927</v>
      </c>
    </row>
    <row r="355" spans="1:16" hidden="1" x14ac:dyDescent="0.25">
      <c r="A355" t="s">
        <v>4933</v>
      </c>
      <c r="B355" t="s">
        <v>19</v>
      </c>
      <c r="C355" t="s">
        <v>20</v>
      </c>
      <c r="D355">
        <v>9011</v>
      </c>
      <c r="E355" t="s">
        <v>332</v>
      </c>
      <c r="F355">
        <v>147</v>
      </c>
      <c r="G355" t="str">
        <f>_xlfn.XLOOKUP(E355,'Base SKUs'!E:E,'Base SKUs'!D:D)</f>
        <v>Norx</v>
      </c>
      <c r="H355" s="10">
        <f>_xlfn.XLOOKUP(E355,'Base SKUs'!E:E,'Base SKUs'!S:S)</f>
        <v>0</v>
      </c>
      <c r="I355" s="9">
        <f t="shared" si="5"/>
        <v>147</v>
      </c>
      <c r="J355" t="str">
        <f>_xlfn.XLOOKUP(E355,'Base SKUs'!E:E,'Base SKUs'!G:G)</f>
        <v>Ipe</v>
      </c>
      <c r="K355" t="str">
        <f>_xlfn.XLOOKUP(E355,'Base SKUs'!E:E,'Base SKUs'!H:H)</f>
        <v>Profile</v>
      </c>
      <c r="L355" t="str">
        <f>_xlfn.XLOOKUP(E355,'Base SKUs'!E:E,'Base SKUs'!I:I)</f>
        <v>-</v>
      </c>
      <c r="M355" t="str">
        <f>_xlfn.XLOOKUP(E355,'Base SKUs'!E:E,'Base SKUs'!J:J)</f>
        <v>1x6</v>
      </c>
      <c r="N355">
        <f>_xlfn.XLOOKUP(E355,'Base SKUs'!E:E,'Base SKUs'!K:K)</f>
        <v>16</v>
      </c>
      <c r="O355" t="str">
        <f>_xlfn.XLOOKUP(E355,'Base SKUs'!E:E,'Base SKUs'!C:C)</f>
        <v>Long</v>
      </c>
      <c r="P355" t="s">
        <v>4927</v>
      </c>
    </row>
    <row r="356" spans="1:16" hidden="1" x14ac:dyDescent="0.25">
      <c r="A356" t="s">
        <v>4933</v>
      </c>
      <c r="B356" t="s">
        <v>19</v>
      </c>
      <c r="C356" t="s">
        <v>20</v>
      </c>
      <c r="D356">
        <v>9011</v>
      </c>
      <c r="E356" t="s">
        <v>177</v>
      </c>
      <c r="F356">
        <v>224</v>
      </c>
      <c r="G356" t="str">
        <f>_xlfn.XLOOKUP(E356,'Base SKUs'!E:E,'Base SKUs'!D:D)</f>
        <v>Norx</v>
      </c>
      <c r="H356" s="10">
        <f>_xlfn.XLOOKUP(E356,'Base SKUs'!E:E,'Base SKUs'!S:S)</f>
        <v>0</v>
      </c>
      <c r="I356" s="9">
        <f t="shared" si="5"/>
        <v>224</v>
      </c>
      <c r="J356" t="str">
        <f>_xlfn.XLOOKUP(E356,'Base SKUs'!E:E,'Base SKUs'!G:G)</f>
        <v>Rockefeller</v>
      </c>
      <c r="K356" t="str">
        <f>_xlfn.XLOOKUP(E356,'Base SKUs'!E:E,'Base SKUs'!H:H)</f>
        <v>Profile</v>
      </c>
      <c r="L356" t="str">
        <f>_xlfn.XLOOKUP(E356,'Base SKUs'!E:E,'Base SKUs'!I:I)</f>
        <v>-</v>
      </c>
      <c r="M356" t="str">
        <f>_xlfn.XLOOKUP(E356,'Base SKUs'!E:E,'Base SKUs'!J:J)</f>
        <v>1x6</v>
      </c>
      <c r="N356">
        <f>_xlfn.XLOOKUP(E356,'Base SKUs'!E:E,'Base SKUs'!K:K)</f>
        <v>16</v>
      </c>
      <c r="O356" t="str">
        <f>_xlfn.XLOOKUP(E356,'Base SKUs'!E:E,'Base SKUs'!C:C)</f>
        <v>Long</v>
      </c>
      <c r="P356" t="s">
        <v>4927</v>
      </c>
    </row>
    <row r="357" spans="1:16" hidden="1" x14ac:dyDescent="0.25">
      <c r="A357" t="s">
        <v>4934</v>
      </c>
      <c r="B357" t="s">
        <v>7</v>
      </c>
      <c r="C357" t="s">
        <v>8</v>
      </c>
      <c r="D357">
        <v>9008</v>
      </c>
      <c r="E357" t="s">
        <v>2602</v>
      </c>
      <c r="F357">
        <v>96</v>
      </c>
      <c r="G357" t="str">
        <f>_xlfn.XLOOKUP(E357,'Base SKUs'!E:E,'Base SKUs'!D:D)</f>
        <v>Norx</v>
      </c>
      <c r="H357" s="10">
        <f>_xlfn.XLOOKUP(E357,'Base SKUs'!E:E,'Base SKUs'!S:S)</f>
        <v>0</v>
      </c>
      <c r="I357" s="9">
        <f t="shared" si="5"/>
        <v>96</v>
      </c>
      <c r="J357" t="str">
        <f>_xlfn.XLOOKUP(E357,'Base SKUs'!E:E,'Base SKUs'!G:G)</f>
        <v>Brooklyn</v>
      </c>
      <c r="K357" t="str">
        <f>_xlfn.XLOOKUP(E357,'Base SKUs'!E:E,'Base SKUs'!H:H)</f>
        <v>Profile</v>
      </c>
      <c r="L357" t="str">
        <f>_xlfn.XLOOKUP(E357,'Base SKUs'!E:E,'Base SKUs'!I:I)</f>
        <v>-</v>
      </c>
      <c r="M357" t="str">
        <f>_xlfn.XLOOKUP(E357,'Base SKUs'!E:E,'Base SKUs'!J:J)</f>
        <v>1x6</v>
      </c>
      <c r="N357">
        <f>_xlfn.XLOOKUP(E357,'Base SKUs'!E:E,'Base SKUs'!K:K)</f>
        <v>16</v>
      </c>
      <c r="O357" t="str">
        <f>_xlfn.XLOOKUP(E357,'Base SKUs'!E:E,'Base SKUs'!C:C)</f>
        <v>Long</v>
      </c>
      <c r="P357" t="s">
        <v>4923</v>
      </c>
    </row>
    <row r="358" spans="1:16" hidden="1" x14ac:dyDescent="0.25">
      <c r="A358" t="s">
        <v>4934</v>
      </c>
      <c r="B358" t="s">
        <v>7</v>
      </c>
      <c r="C358" t="s">
        <v>8</v>
      </c>
      <c r="D358">
        <v>9008</v>
      </c>
      <c r="E358" t="s">
        <v>2602</v>
      </c>
      <c r="F358">
        <v>51</v>
      </c>
      <c r="G358" t="str">
        <f>_xlfn.XLOOKUP(E358,'Base SKUs'!E:E,'Base SKUs'!D:D)</f>
        <v>Norx</v>
      </c>
      <c r="H358" s="10">
        <f>_xlfn.XLOOKUP(E358,'Base SKUs'!E:E,'Base SKUs'!S:S)</f>
        <v>0</v>
      </c>
      <c r="I358" s="9">
        <f t="shared" si="5"/>
        <v>51</v>
      </c>
      <c r="J358" t="str">
        <f>_xlfn.XLOOKUP(E358,'Base SKUs'!E:E,'Base SKUs'!G:G)</f>
        <v>Brooklyn</v>
      </c>
      <c r="K358" t="str">
        <f>_xlfn.XLOOKUP(E358,'Base SKUs'!E:E,'Base SKUs'!H:H)</f>
        <v>Profile</v>
      </c>
      <c r="L358" t="str">
        <f>_xlfn.XLOOKUP(E358,'Base SKUs'!E:E,'Base SKUs'!I:I)</f>
        <v>-</v>
      </c>
      <c r="M358" t="str">
        <f>_xlfn.XLOOKUP(E358,'Base SKUs'!E:E,'Base SKUs'!J:J)</f>
        <v>1x6</v>
      </c>
      <c r="N358">
        <f>_xlfn.XLOOKUP(E358,'Base SKUs'!E:E,'Base SKUs'!K:K)</f>
        <v>16</v>
      </c>
      <c r="O358" t="str">
        <f>_xlfn.XLOOKUP(E358,'Base SKUs'!E:E,'Base SKUs'!C:C)</f>
        <v>Long</v>
      </c>
      <c r="P358" t="s">
        <v>4923</v>
      </c>
    </row>
    <row r="359" spans="1:16" hidden="1" x14ac:dyDescent="0.25">
      <c r="A359" t="s">
        <v>4935</v>
      </c>
      <c r="B359" t="s">
        <v>7</v>
      </c>
      <c r="C359" t="s">
        <v>8</v>
      </c>
      <c r="D359">
        <v>9007</v>
      </c>
      <c r="E359" t="s">
        <v>2602</v>
      </c>
      <c r="F359">
        <v>104</v>
      </c>
      <c r="G359" t="str">
        <f>_xlfn.XLOOKUP(E359,'Base SKUs'!E:E,'Base SKUs'!D:D)</f>
        <v>Norx</v>
      </c>
      <c r="H359" s="10">
        <f>_xlfn.XLOOKUP(E359,'Base SKUs'!E:E,'Base SKUs'!S:S)</f>
        <v>0</v>
      </c>
      <c r="I359" s="9">
        <f t="shared" si="5"/>
        <v>104</v>
      </c>
      <c r="J359" t="str">
        <f>_xlfn.XLOOKUP(E359,'Base SKUs'!E:E,'Base SKUs'!G:G)</f>
        <v>Brooklyn</v>
      </c>
      <c r="K359" t="str">
        <f>_xlfn.XLOOKUP(E359,'Base SKUs'!E:E,'Base SKUs'!H:H)</f>
        <v>Profile</v>
      </c>
      <c r="L359" t="str">
        <f>_xlfn.XLOOKUP(E359,'Base SKUs'!E:E,'Base SKUs'!I:I)</f>
        <v>-</v>
      </c>
      <c r="M359" t="str">
        <f>_xlfn.XLOOKUP(E359,'Base SKUs'!E:E,'Base SKUs'!J:J)</f>
        <v>1x6</v>
      </c>
      <c r="N359">
        <f>_xlfn.XLOOKUP(E359,'Base SKUs'!E:E,'Base SKUs'!K:K)</f>
        <v>16</v>
      </c>
      <c r="O359" t="str">
        <f>_xlfn.XLOOKUP(E359,'Base SKUs'!E:E,'Base SKUs'!C:C)</f>
        <v>Long</v>
      </c>
      <c r="P359" t="s">
        <v>4923</v>
      </c>
    </row>
    <row r="360" spans="1:16" hidden="1" x14ac:dyDescent="0.25">
      <c r="A360" t="s">
        <v>4935</v>
      </c>
      <c r="B360" t="s">
        <v>7</v>
      </c>
      <c r="C360" t="s">
        <v>8</v>
      </c>
      <c r="D360">
        <v>9007</v>
      </c>
      <c r="E360" t="s">
        <v>2814</v>
      </c>
      <c r="F360">
        <v>135</v>
      </c>
      <c r="G360" t="str">
        <f>_xlfn.XLOOKUP(E360,'Base SKUs'!E:E,'Base SKUs'!D:D)</f>
        <v>Norx</v>
      </c>
      <c r="H360" s="10">
        <f>_xlfn.XLOOKUP(E360,'Base SKUs'!E:E,'Base SKUs'!S:S)</f>
        <v>0</v>
      </c>
      <c r="I360" s="9">
        <f t="shared" si="5"/>
        <v>135</v>
      </c>
      <c r="J360" t="str">
        <f>_xlfn.XLOOKUP(E360,'Base SKUs'!E:E,'Base SKUs'!G:G)</f>
        <v>Mayfair</v>
      </c>
      <c r="K360" t="str">
        <f>_xlfn.XLOOKUP(E360,'Base SKUs'!E:E,'Base SKUs'!H:H)</f>
        <v>Profile</v>
      </c>
      <c r="L360" t="str">
        <f>_xlfn.XLOOKUP(E360,'Base SKUs'!E:E,'Base SKUs'!I:I)</f>
        <v>-</v>
      </c>
      <c r="M360" t="str">
        <f>_xlfn.XLOOKUP(E360,'Base SKUs'!E:E,'Base SKUs'!J:J)</f>
        <v>1x8</v>
      </c>
      <c r="N360">
        <f>_xlfn.XLOOKUP(E360,'Base SKUs'!E:E,'Base SKUs'!K:K)</f>
        <v>16</v>
      </c>
      <c r="O360" t="str">
        <f>_xlfn.XLOOKUP(E360,'Base SKUs'!E:E,'Base SKUs'!C:C)</f>
        <v>Long</v>
      </c>
      <c r="P360" t="s">
        <v>4923</v>
      </c>
    </row>
    <row r="361" spans="1:16" hidden="1" x14ac:dyDescent="0.25">
      <c r="A361" t="s">
        <v>4936</v>
      </c>
      <c r="B361" t="s">
        <v>340</v>
      </c>
      <c r="C361" t="s">
        <v>341</v>
      </c>
      <c r="D361">
        <v>9007</v>
      </c>
      <c r="E361" t="s">
        <v>52</v>
      </c>
      <c r="F361">
        <v>49</v>
      </c>
      <c r="G361" t="str">
        <f>_xlfn.XLOOKUP(E361,'Base SKUs'!E:E,'Base SKUs'!D:D)</f>
        <v>Thermowood</v>
      </c>
      <c r="H361" s="10">
        <f>_xlfn.XLOOKUP(E361,'Base SKUs'!E:E,'Base SKUs'!S:S)</f>
        <v>8.4000000000000012E-3</v>
      </c>
      <c r="I361" s="9">
        <f t="shared" si="5"/>
        <v>0.41199999999999998</v>
      </c>
      <c r="J361" t="str">
        <f>_xlfn.XLOOKUP(E361,'Base SKUs'!E:E,'Base SKUs'!G:G)</f>
        <v>Maximo Thermo Ash</v>
      </c>
      <c r="K361" t="str">
        <f>_xlfn.XLOOKUP(E361,'Base SKUs'!E:E,'Base SKUs'!H:H)</f>
        <v>S4S E4E End Match</v>
      </c>
      <c r="L361" t="str">
        <f>_xlfn.XLOOKUP(E361,'Base SKUs'!E:E,'Base SKUs'!I:I)</f>
        <v>-</v>
      </c>
      <c r="M361" t="str">
        <f>_xlfn.XLOOKUP(E361,'Base SKUs'!E:E,'Base SKUs'!J:J)</f>
        <v>5/4x6</v>
      </c>
      <c r="N361">
        <f>_xlfn.XLOOKUP(E361,'Base SKUs'!E:E,'Base SKUs'!K:K)</f>
        <v>8</v>
      </c>
      <c r="O361" t="str">
        <f>_xlfn.XLOOKUP(E361,'Base SKUs'!E:E,'Base SKUs'!C:C)</f>
        <v>Long</v>
      </c>
      <c r="P361" t="s">
        <v>4926</v>
      </c>
    </row>
    <row r="362" spans="1:16" hidden="1" x14ac:dyDescent="0.25">
      <c r="A362" t="s">
        <v>4936</v>
      </c>
      <c r="B362" t="s">
        <v>340</v>
      </c>
      <c r="C362" t="s">
        <v>341</v>
      </c>
      <c r="D362">
        <v>9007</v>
      </c>
      <c r="E362" t="s">
        <v>2387</v>
      </c>
      <c r="F362">
        <v>22</v>
      </c>
      <c r="G362" t="str">
        <f>_xlfn.XLOOKUP(E362,'Base SKUs'!E:E,'Base SKUs'!D:D)</f>
        <v>Hardwoods</v>
      </c>
      <c r="H362" s="10">
        <f>_xlfn.XLOOKUP(E362,'Base SKUs'!E:E,'Base SKUs'!S:S)</f>
        <v>6.1943101919999998E-3</v>
      </c>
      <c r="I362" s="9">
        <f t="shared" si="5"/>
        <v>0.13600000000000001</v>
      </c>
      <c r="J362" t="str">
        <f>_xlfn.XLOOKUP(E362,'Base SKUs'!E:E,'Base SKUs'!G:G)</f>
        <v>Massaranduba Bullet Wood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1x4</v>
      </c>
      <c r="N362">
        <f>_xlfn.XLOOKUP(E362,'Base SKUs'!E:E,'Base SKUs'!K:K)</f>
        <v>12</v>
      </c>
      <c r="O362" t="str">
        <f>_xlfn.XLOOKUP(E362,'Base SKUs'!E:E,'Base SKUs'!C:C)</f>
        <v>Long</v>
      </c>
      <c r="P362" t="s">
        <v>4926</v>
      </c>
    </row>
    <row r="363" spans="1:16" hidden="1" x14ac:dyDescent="0.25">
      <c r="A363" t="s">
        <v>4936</v>
      </c>
      <c r="B363" t="s">
        <v>340</v>
      </c>
      <c r="C363" t="s">
        <v>341</v>
      </c>
      <c r="D363">
        <v>9007</v>
      </c>
      <c r="E363" t="s">
        <v>2397</v>
      </c>
      <c r="F363">
        <v>110</v>
      </c>
      <c r="G363" t="str">
        <f>_xlfn.XLOOKUP(E363,'Base SKUs'!E:E,'Base SKUs'!D:D)</f>
        <v>Hardwoods</v>
      </c>
      <c r="H363" s="10">
        <f>_xlfn.XLOOKUP(E363,'Base SKUs'!E:E,'Base SKUs'!S:S)</f>
        <v>4.1295401280000005E-3</v>
      </c>
      <c r="I363" s="9">
        <f t="shared" si="5"/>
        <v>0.45400000000000001</v>
      </c>
      <c r="J363" t="str">
        <f>_xlfn.XLOOKUP(E363,'Base SKUs'!E:E,'Base SKUs'!G:G)</f>
        <v>Massaranduba Bullet Wood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1x4</v>
      </c>
      <c r="N363">
        <f>_xlfn.XLOOKUP(E363,'Base SKUs'!E:E,'Base SKUs'!K:K)</f>
        <v>8</v>
      </c>
      <c r="O363" t="str">
        <f>_xlfn.XLOOKUP(E363,'Base SKUs'!E:E,'Base SKUs'!C:C)</f>
        <v>Long</v>
      </c>
      <c r="P363" t="s">
        <v>4926</v>
      </c>
    </row>
    <row r="364" spans="1:16" hidden="1" x14ac:dyDescent="0.25">
      <c r="A364" t="s">
        <v>4936</v>
      </c>
      <c r="B364" t="s">
        <v>340</v>
      </c>
      <c r="C364" t="s">
        <v>341</v>
      </c>
      <c r="D364">
        <v>9007</v>
      </c>
      <c r="E364" t="s">
        <v>2389</v>
      </c>
      <c r="F364">
        <v>33</v>
      </c>
      <c r="G364" t="str">
        <f>_xlfn.XLOOKUP(E364,'Base SKUs'!E:E,'Base SKUs'!D:D)</f>
        <v>Hardwoods</v>
      </c>
      <c r="H364" s="10">
        <f>_xlfn.XLOOKUP(E364,'Base SKUs'!E:E,'Base SKUs'!S:S)</f>
        <v>7.226695224E-3</v>
      </c>
      <c r="I364" s="9">
        <f t="shared" si="5"/>
        <v>0.23799999999999999</v>
      </c>
      <c r="J364" t="str">
        <f>_xlfn.XLOOKUP(E364,'Base SKUs'!E:E,'Base SKUs'!G:G)</f>
        <v>Massaranduba Bullet Wood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1x4</v>
      </c>
      <c r="N364">
        <f>_xlfn.XLOOKUP(E364,'Base SKUs'!E:E,'Base SKUs'!K:K)</f>
        <v>14</v>
      </c>
      <c r="O364" t="str">
        <f>_xlfn.XLOOKUP(E364,'Base SKUs'!E:E,'Base SKUs'!C:C)</f>
        <v>Long</v>
      </c>
      <c r="P364" t="s">
        <v>4926</v>
      </c>
    </row>
    <row r="365" spans="1:16" hidden="1" x14ac:dyDescent="0.25">
      <c r="A365" t="s">
        <v>4936</v>
      </c>
      <c r="B365" t="s">
        <v>340</v>
      </c>
      <c r="C365" t="s">
        <v>341</v>
      </c>
      <c r="D365">
        <v>9007</v>
      </c>
      <c r="E365" t="s">
        <v>2384</v>
      </c>
      <c r="F365">
        <v>121</v>
      </c>
      <c r="G365" t="str">
        <f>_xlfn.XLOOKUP(E365,'Base SKUs'!E:E,'Base SKUs'!D:D)</f>
        <v>Hardwoods</v>
      </c>
      <c r="H365" s="10">
        <f>_xlfn.XLOOKUP(E365,'Base SKUs'!E:E,'Base SKUs'!S:S)</f>
        <v>5.1619251600000006E-3</v>
      </c>
      <c r="I365" s="9">
        <f t="shared" si="5"/>
        <v>0.625</v>
      </c>
      <c r="J365" t="str">
        <f>_xlfn.XLOOKUP(E365,'Base SKUs'!E:E,'Base SKUs'!G:G)</f>
        <v>Massaranduba Bullet Wood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1x4</v>
      </c>
      <c r="N365">
        <f>_xlfn.XLOOKUP(E365,'Base SKUs'!E:E,'Base SKUs'!K:K)</f>
        <v>10</v>
      </c>
      <c r="O365" t="str">
        <f>_xlfn.XLOOKUP(E365,'Base SKUs'!E:E,'Base SKUs'!C:C)</f>
        <v>Long</v>
      </c>
      <c r="P365" t="s">
        <v>4926</v>
      </c>
    </row>
    <row r="366" spans="1:16" hidden="1" x14ac:dyDescent="0.25">
      <c r="A366" t="s">
        <v>4936</v>
      </c>
      <c r="B366" t="s">
        <v>340</v>
      </c>
      <c r="C366" t="s">
        <v>341</v>
      </c>
      <c r="D366">
        <v>9007</v>
      </c>
      <c r="E366" t="s">
        <v>2389</v>
      </c>
      <c r="F366">
        <v>44</v>
      </c>
      <c r="G366" t="str">
        <f>_xlfn.XLOOKUP(E366,'Base SKUs'!E:E,'Base SKUs'!D:D)</f>
        <v>Hardwoods</v>
      </c>
      <c r="H366" s="10">
        <f>_xlfn.XLOOKUP(E366,'Base SKUs'!E:E,'Base SKUs'!S:S)</f>
        <v>7.226695224E-3</v>
      </c>
      <c r="I366" s="9">
        <f t="shared" si="5"/>
        <v>0.318</v>
      </c>
      <c r="J366" t="str">
        <f>_xlfn.XLOOKUP(E366,'Base SKUs'!E:E,'Base SKUs'!G:G)</f>
        <v>Massaranduba Bullet Wood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1x4</v>
      </c>
      <c r="N366">
        <f>_xlfn.XLOOKUP(E366,'Base SKUs'!E:E,'Base SKUs'!K:K)</f>
        <v>14</v>
      </c>
      <c r="O366" t="str">
        <f>_xlfn.XLOOKUP(E366,'Base SKUs'!E:E,'Base SKUs'!C:C)</f>
        <v>Long</v>
      </c>
      <c r="P366" t="s">
        <v>4926</v>
      </c>
    </row>
    <row r="367" spans="1:16" hidden="1" x14ac:dyDescent="0.25">
      <c r="A367" t="s">
        <v>4936</v>
      </c>
      <c r="B367" t="s">
        <v>340</v>
      </c>
      <c r="C367" t="s">
        <v>341</v>
      </c>
      <c r="D367">
        <v>9007</v>
      </c>
      <c r="E367" t="s">
        <v>3837</v>
      </c>
      <c r="F367">
        <v>16</v>
      </c>
      <c r="G367" t="str">
        <f>_xlfn.XLOOKUP(E367,'Base SKUs'!E:E,'Base SKUs'!D:D)</f>
        <v>Thermowood</v>
      </c>
      <c r="H367" s="10">
        <f>_xlfn.XLOOKUP(E367,'Base SKUs'!E:E,'Base SKUs'!S:S)</f>
        <v>8.6400000000000001E-3</v>
      </c>
      <c r="I367" s="9">
        <f t="shared" si="5"/>
        <v>0.13800000000000001</v>
      </c>
      <c r="J367" t="str">
        <f>_xlfn.XLOOKUP(E367,'Base SKUs'!E:E,'Base SKUs'!G:G)</f>
        <v>Maximo Thermo Ayous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1x8</v>
      </c>
      <c r="N367">
        <f>_xlfn.XLOOKUP(E367,'Base SKUs'!E:E,'Base SKUs'!K:K)</f>
        <v>8</v>
      </c>
      <c r="O367" t="str">
        <f>_xlfn.XLOOKUP(E367,'Base SKUs'!E:E,'Base SKUs'!C:C)</f>
        <v>Long</v>
      </c>
      <c r="P367" t="s">
        <v>4926</v>
      </c>
    </row>
    <row r="368" spans="1:16" hidden="1" x14ac:dyDescent="0.25">
      <c r="A368" t="s">
        <v>4936</v>
      </c>
      <c r="B368" t="s">
        <v>340</v>
      </c>
      <c r="C368" t="s">
        <v>341</v>
      </c>
      <c r="D368">
        <v>9007</v>
      </c>
      <c r="E368" t="s">
        <v>3892</v>
      </c>
      <c r="F368">
        <v>2</v>
      </c>
      <c r="G368" t="str">
        <f>_xlfn.XLOOKUP(E368,'Base SKUs'!E:E,'Base SKUs'!D:D)</f>
        <v>Thermowood</v>
      </c>
      <c r="H368" s="10">
        <f>_xlfn.XLOOKUP(E368,'Base SKUs'!E:E,'Base SKUs'!S:S)</f>
        <v>1.848E-2</v>
      </c>
      <c r="I368" s="9">
        <f t="shared" si="5"/>
        <v>3.6999999999999998E-2</v>
      </c>
      <c r="J368" t="str">
        <f>_xlfn.XLOOKUP(E368,'Base SKUs'!E:E,'Base SKUs'!G:G)</f>
        <v>Maximo Thermo Ayous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2x6</v>
      </c>
      <c r="N368">
        <f>_xlfn.XLOOKUP(E368,'Base SKUs'!E:E,'Base SKUs'!K:K)</f>
        <v>11</v>
      </c>
      <c r="O368" t="str">
        <f>_xlfn.XLOOKUP(E368,'Base SKUs'!E:E,'Base SKUs'!C:C)</f>
        <v>Long</v>
      </c>
      <c r="P368" t="s">
        <v>4926</v>
      </c>
    </row>
    <row r="369" spans="1:16" hidden="1" x14ac:dyDescent="0.25">
      <c r="A369" t="s">
        <v>4937</v>
      </c>
      <c r="B369" t="s">
        <v>225</v>
      </c>
      <c r="C369" t="s">
        <v>182</v>
      </c>
      <c r="D369">
        <v>9011</v>
      </c>
      <c r="E369" t="s">
        <v>191</v>
      </c>
      <c r="F369">
        <v>56</v>
      </c>
      <c r="G369" t="str">
        <f>_xlfn.XLOOKUP(E369,'Base SKUs'!E:E,'Base SKUs'!D:D)</f>
        <v>Thermowood</v>
      </c>
      <c r="H369" s="10">
        <f>_xlfn.XLOOKUP(E369,'Base SKUs'!E:E,'Base SKUs'!S:S)</f>
        <v>1.0374000000000001E-2</v>
      </c>
      <c r="I369" s="9">
        <f t="shared" si="5"/>
        <v>0.58099999999999996</v>
      </c>
      <c r="J369" t="str">
        <f>_xlfn.XLOOKUP(E369,'Base SKUs'!E:E,'Base SKUs'!G:G)</f>
        <v>Maximo Thermo Scandinavian Pine</v>
      </c>
      <c r="K369" t="str">
        <f>_xlfn.XLOOKUP(E369,'Base SKUs'!E:E,'Base SKUs'!H:H)</f>
        <v>VJoint - Nickel Gap</v>
      </c>
      <c r="L369" t="str">
        <f>_xlfn.XLOOKUP(E369,'Base SKUs'!E:E,'Base SKUs'!I:I)</f>
        <v>-</v>
      </c>
      <c r="M369" t="str">
        <f>_xlfn.XLOOKUP(E369,'Base SKUs'!E:E,'Base SKUs'!J:J)</f>
        <v>1x6</v>
      </c>
      <c r="N369">
        <f>_xlfn.XLOOKUP(E369,'Base SKUs'!E:E,'Base SKUs'!K:K)</f>
        <v>13</v>
      </c>
      <c r="O369" t="str">
        <f>_xlfn.XLOOKUP(E369,'Base SKUs'!E:E,'Base SKUs'!C:C)</f>
        <v>Long</v>
      </c>
      <c r="P369" t="s">
        <v>4926</v>
      </c>
    </row>
    <row r="370" spans="1:16" hidden="1" x14ac:dyDescent="0.25">
      <c r="A370" t="s">
        <v>4937</v>
      </c>
      <c r="B370" t="s">
        <v>225</v>
      </c>
      <c r="C370" t="s">
        <v>182</v>
      </c>
      <c r="D370">
        <v>9011</v>
      </c>
      <c r="E370" t="s">
        <v>2210</v>
      </c>
      <c r="F370">
        <v>1</v>
      </c>
      <c r="G370" t="str">
        <f>_xlfn.XLOOKUP(E370,'Base SKUs'!E:E,'Base SKUs'!D:D)</f>
        <v>Hardwoods</v>
      </c>
      <c r="H370" s="10">
        <f>_xlfn.XLOOKUP(E370,'Base SKUs'!E:E,'Base SKUs'!S:S)</f>
        <v>5.9485042319999994E-2</v>
      </c>
      <c r="I370" s="9">
        <f t="shared" si="5"/>
        <v>5.8999999999999997E-2</v>
      </c>
      <c r="J370" t="str">
        <f>_xlfn.XLOOKUP(E370,'Base SKUs'!E:E,'Base SKUs'!G:G)</f>
        <v>Ipe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6x6</v>
      </c>
      <c r="N370">
        <f>_xlfn.XLOOKUP(E370,'Base SKUs'!E:E,'Base SKUs'!K:K)</f>
        <v>10</v>
      </c>
      <c r="O370" t="str">
        <f>_xlfn.XLOOKUP(E370,'Base SKUs'!E:E,'Base SKUs'!C:C)</f>
        <v>Long</v>
      </c>
      <c r="P370" t="s">
        <v>4926</v>
      </c>
    </row>
    <row r="371" spans="1:16" hidden="1" x14ac:dyDescent="0.25">
      <c r="A371" t="s">
        <v>4937</v>
      </c>
      <c r="B371" t="s">
        <v>225</v>
      </c>
      <c r="C371" t="s">
        <v>182</v>
      </c>
      <c r="D371">
        <v>9011</v>
      </c>
      <c r="E371" t="s">
        <v>2219</v>
      </c>
      <c r="F371">
        <v>1</v>
      </c>
      <c r="G371" t="str">
        <f>_xlfn.XLOOKUP(E371,'Base SKUs'!E:E,'Base SKUs'!D:D)</f>
        <v>Hardwoods</v>
      </c>
      <c r="H371" s="10">
        <f>_xlfn.XLOOKUP(E371,'Base SKUs'!E:E,'Base SKUs'!S:S)</f>
        <v>0.11897008463999999</v>
      </c>
      <c r="I371" s="9">
        <f t="shared" si="5"/>
        <v>0.11899999999999999</v>
      </c>
      <c r="J371" t="str">
        <f>_xlfn.XLOOKUP(E371,'Base SKUs'!E:E,'Base SKUs'!G:G)</f>
        <v>Ipe</v>
      </c>
      <c r="K371" t="str">
        <f>_xlfn.XLOOKUP(E371,'Base SKUs'!E:E,'Base SKUs'!H:H)</f>
        <v>S4S E4E</v>
      </c>
      <c r="L371" t="str">
        <f>_xlfn.XLOOKUP(E371,'Base SKUs'!E:E,'Base SKUs'!I:I)</f>
        <v>-</v>
      </c>
      <c r="M371" t="str">
        <f>_xlfn.XLOOKUP(E371,'Base SKUs'!E:E,'Base SKUs'!J:J)</f>
        <v>6x6</v>
      </c>
      <c r="N371">
        <f>_xlfn.XLOOKUP(E371,'Base SKUs'!E:E,'Base SKUs'!K:K)</f>
        <v>20</v>
      </c>
      <c r="O371" t="str">
        <f>_xlfn.XLOOKUP(E371,'Base SKUs'!E:E,'Base SKUs'!C:C)</f>
        <v>Long</v>
      </c>
      <c r="P371" t="s">
        <v>4926</v>
      </c>
    </row>
    <row r="372" spans="1:16" hidden="1" x14ac:dyDescent="0.25">
      <c r="A372" t="s">
        <v>4937</v>
      </c>
      <c r="B372" t="s">
        <v>225</v>
      </c>
      <c r="C372" t="s">
        <v>182</v>
      </c>
      <c r="D372">
        <v>9011</v>
      </c>
      <c r="E372" t="s">
        <v>2217</v>
      </c>
      <c r="F372">
        <v>8</v>
      </c>
      <c r="G372" t="str">
        <f>_xlfn.XLOOKUP(E372,'Base SKUs'!E:E,'Base SKUs'!D:D)</f>
        <v>Hardwoods</v>
      </c>
      <c r="H372" s="10">
        <f>_xlfn.XLOOKUP(E372,'Base SKUs'!E:E,'Base SKUs'!S:S)</f>
        <v>0.10707307617599995</v>
      </c>
      <c r="I372" s="9">
        <f t="shared" si="5"/>
        <v>0.85699999999999998</v>
      </c>
      <c r="J372" t="str">
        <f>_xlfn.XLOOKUP(E372,'Base SKUs'!E:E,'Base SKUs'!G:G)</f>
        <v>Ipe</v>
      </c>
      <c r="K372" t="str">
        <f>_xlfn.XLOOKUP(E372,'Base SKUs'!E:E,'Base SKUs'!H:H)</f>
        <v>S4S E4E</v>
      </c>
      <c r="L372" t="str">
        <f>_xlfn.XLOOKUP(E372,'Base SKUs'!E:E,'Base SKUs'!I:I)</f>
        <v>-</v>
      </c>
      <c r="M372" t="str">
        <f>_xlfn.XLOOKUP(E372,'Base SKUs'!E:E,'Base SKUs'!J:J)</f>
        <v>6x6</v>
      </c>
      <c r="N372">
        <f>_xlfn.XLOOKUP(E372,'Base SKUs'!E:E,'Base SKUs'!K:K)</f>
        <v>18</v>
      </c>
      <c r="O372" t="str">
        <f>_xlfn.XLOOKUP(E372,'Base SKUs'!E:E,'Base SKUs'!C:C)</f>
        <v>Long</v>
      </c>
      <c r="P372" t="s">
        <v>4926</v>
      </c>
    </row>
    <row r="373" spans="1:16" hidden="1" x14ac:dyDescent="0.25">
      <c r="A373" t="s">
        <v>4937</v>
      </c>
      <c r="B373" t="s">
        <v>225</v>
      </c>
      <c r="C373" t="s">
        <v>182</v>
      </c>
      <c r="D373">
        <v>9011</v>
      </c>
      <c r="E373" t="s">
        <v>2215</v>
      </c>
      <c r="F373">
        <v>5</v>
      </c>
      <c r="G373" t="str">
        <f>_xlfn.XLOOKUP(E373,'Base SKUs'!E:E,'Base SKUs'!D:D)</f>
        <v>Hardwoods</v>
      </c>
      <c r="H373" s="10">
        <f>_xlfn.XLOOKUP(E373,'Base SKUs'!E:E,'Base SKUs'!S:S)</f>
        <v>9.517606771199999E-2</v>
      </c>
      <c r="I373" s="9">
        <f t="shared" si="5"/>
        <v>0.47599999999999998</v>
      </c>
      <c r="J373" t="str">
        <f>_xlfn.XLOOKUP(E373,'Base SKUs'!E:E,'Base SKUs'!G:G)</f>
        <v>Ipe</v>
      </c>
      <c r="K373" t="str">
        <f>_xlfn.XLOOKUP(E373,'Base SKUs'!E:E,'Base SKUs'!H:H)</f>
        <v>S4S E4E</v>
      </c>
      <c r="L373" t="str">
        <f>_xlfn.XLOOKUP(E373,'Base SKUs'!E:E,'Base SKUs'!I:I)</f>
        <v>-</v>
      </c>
      <c r="M373" t="str">
        <f>_xlfn.XLOOKUP(E373,'Base SKUs'!E:E,'Base SKUs'!J:J)</f>
        <v>6x6</v>
      </c>
      <c r="N373">
        <f>_xlfn.XLOOKUP(E373,'Base SKUs'!E:E,'Base SKUs'!K:K)</f>
        <v>16</v>
      </c>
      <c r="O373" t="str">
        <f>_xlfn.XLOOKUP(E373,'Base SKUs'!E:E,'Base SKUs'!C:C)</f>
        <v>Long</v>
      </c>
      <c r="P373" t="s">
        <v>4926</v>
      </c>
    </row>
    <row r="374" spans="1:16" hidden="1" x14ac:dyDescent="0.25">
      <c r="A374" t="s">
        <v>4937</v>
      </c>
      <c r="B374" t="s">
        <v>225</v>
      </c>
      <c r="C374" t="s">
        <v>182</v>
      </c>
      <c r="D374">
        <v>9011</v>
      </c>
      <c r="E374" t="s">
        <v>2221</v>
      </c>
      <c r="F374">
        <v>4</v>
      </c>
      <c r="G374" t="str">
        <f>_xlfn.XLOOKUP(E374,'Base SKUs'!E:E,'Base SKUs'!D:D)</f>
        <v>Hardwoods</v>
      </c>
      <c r="H374" s="10">
        <f>_xlfn.XLOOKUP(E374,'Base SKUs'!E:E,'Base SKUs'!S:S)</f>
        <v>0.13086709310399997</v>
      </c>
      <c r="I374" s="9">
        <f t="shared" si="5"/>
        <v>0.52300000000000002</v>
      </c>
      <c r="J374" t="str">
        <f>_xlfn.XLOOKUP(E374,'Base SKUs'!E:E,'Base SKUs'!G:G)</f>
        <v>Ipe</v>
      </c>
      <c r="K374" t="str">
        <f>_xlfn.XLOOKUP(E374,'Base SKUs'!E:E,'Base SKUs'!H:H)</f>
        <v>S4S E4E</v>
      </c>
      <c r="L374" t="str">
        <f>_xlfn.XLOOKUP(E374,'Base SKUs'!E:E,'Base SKUs'!I:I)</f>
        <v>-</v>
      </c>
      <c r="M374" t="str">
        <f>_xlfn.XLOOKUP(E374,'Base SKUs'!E:E,'Base SKUs'!J:J)</f>
        <v>6x6</v>
      </c>
      <c r="N374">
        <f>_xlfn.XLOOKUP(E374,'Base SKUs'!E:E,'Base SKUs'!K:K)</f>
        <v>22</v>
      </c>
      <c r="O374" t="str">
        <f>_xlfn.XLOOKUP(E374,'Base SKUs'!E:E,'Base SKUs'!C:C)</f>
        <v>Long</v>
      </c>
      <c r="P374" t="s">
        <v>4926</v>
      </c>
    </row>
    <row r="375" spans="1:16" hidden="1" x14ac:dyDescent="0.25">
      <c r="A375" t="s">
        <v>4937</v>
      </c>
      <c r="B375" t="s">
        <v>225</v>
      </c>
      <c r="C375" t="s">
        <v>182</v>
      </c>
      <c r="D375">
        <v>9011</v>
      </c>
      <c r="E375" t="s">
        <v>2089</v>
      </c>
      <c r="F375">
        <v>220</v>
      </c>
      <c r="G375" t="str">
        <f>_xlfn.XLOOKUP(E375,'Base SKUs'!E:E,'Base SKUs'!D:D)</f>
        <v>Hardwoods</v>
      </c>
      <c r="H375" s="10">
        <f>_xlfn.XLOOKUP(E375,'Base SKUs'!E:E,'Base SKUs'!S:S)</f>
        <v>5.5060535040000001E-3</v>
      </c>
      <c r="I375" s="9">
        <f t="shared" si="5"/>
        <v>1.2110000000000001</v>
      </c>
      <c r="J375" t="str">
        <f>_xlfn.XLOOKUP(E375,'Base SKUs'!E:E,'Base SKUs'!G:G)</f>
        <v>Ipe</v>
      </c>
      <c r="K375" t="str">
        <f>_xlfn.XLOOKUP(E375,'Base SKUs'!E:E,'Base SKUs'!H:H)</f>
        <v>S4S E4E</v>
      </c>
      <c r="L375" t="str">
        <f>_xlfn.XLOOKUP(E375,'Base SKUs'!E:E,'Base SKUs'!I:I)</f>
        <v>-</v>
      </c>
      <c r="M375" t="str">
        <f>_xlfn.XLOOKUP(E375,'Base SKUs'!E:E,'Base SKUs'!J:J)</f>
        <v>5/4x4</v>
      </c>
      <c r="N375">
        <f>_xlfn.XLOOKUP(E375,'Base SKUs'!E:E,'Base SKUs'!K:K)</f>
        <v>8</v>
      </c>
      <c r="O375" t="str">
        <f>_xlfn.XLOOKUP(E375,'Base SKUs'!E:E,'Base SKUs'!C:C)</f>
        <v>Long</v>
      </c>
      <c r="P375" t="s">
        <v>4926</v>
      </c>
    </row>
    <row r="376" spans="1:16" hidden="1" x14ac:dyDescent="0.25">
      <c r="A376" t="s">
        <v>4937</v>
      </c>
      <c r="B376" t="s">
        <v>225</v>
      </c>
      <c r="C376" t="s">
        <v>182</v>
      </c>
      <c r="D376">
        <v>9011</v>
      </c>
      <c r="E376" t="s">
        <v>2051</v>
      </c>
      <c r="F376">
        <v>440</v>
      </c>
      <c r="G376" t="str">
        <f>_xlfn.XLOOKUP(E376,'Base SKUs'!E:E,'Base SKUs'!D:D)</f>
        <v>Hardwoods</v>
      </c>
      <c r="H376" s="10">
        <f>_xlfn.XLOOKUP(E376,'Base SKUs'!E:E,'Base SKUs'!S:S)</f>
        <v>6.8825668800000014E-3</v>
      </c>
      <c r="I376" s="9">
        <f t="shared" si="5"/>
        <v>3.028</v>
      </c>
      <c r="J376" t="str">
        <f>_xlfn.XLOOKUP(E376,'Base SKUs'!E:E,'Base SKUs'!G:G)</f>
        <v>Ipe</v>
      </c>
      <c r="K376" t="str">
        <f>_xlfn.XLOOKUP(E376,'Base SKUs'!E:E,'Base SKUs'!H:H)</f>
        <v>S4S E4E</v>
      </c>
      <c r="L376" t="str">
        <f>_xlfn.XLOOKUP(E376,'Base SKUs'!E:E,'Base SKUs'!I:I)</f>
        <v>-</v>
      </c>
      <c r="M376" t="str">
        <f>_xlfn.XLOOKUP(E376,'Base SKUs'!E:E,'Base SKUs'!J:J)</f>
        <v>5/4x4</v>
      </c>
      <c r="N376">
        <f>_xlfn.XLOOKUP(E376,'Base SKUs'!E:E,'Base SKUs'!K:K)</f>
        <v>10</v>
      </c>
      <c r="O376" t="str">
        <f>_xlfn.XLOOKUP(E376,'Base SKUs'!E:E,'Base SKUs'!C:C)</f>
        <v>Long</v>
      </c>
      <c r="P376" t="s">
        <v>4926</v>
      </c>
    </row>
    <row r="377" spans="1:16" hidden="1" x14ac:dyDescent="0.25">
      <c r="A377" t="s">
        <v>4937</v>
      </c>
      <c r="B377" t="s">
        <v>225</v>
      </c>
      <c r="C377" t="s">
        <v>182</v>
      </c>
      <c r="D377">
        <v>9011</v>
      </c>
      <c r="E377" t="s">
        <v>65</v>
      </c>
      <c r="F377">
        <v>220</v>
      </c>
      <c r="G377" t="str">
        <f>_xlfn.XLOOKUP(E377,'Base SKUs'!E:E,'Base SKUs'!D:D)</f>
        <v>Hardwoods</v>
      </c>
      <c r="H377" s="10">
        <f>_xlfn.XLOOKUP(E377,'Base SKUs'!E:E,'Base SKUs'!S:S)</f>
        <v>9.6355936319999988E-3</v>
      </c>
      <c r="I377" s="9">
        <f t="shared" si="5"/>
        <v>2.12</v>
      </c>
      <c r="J377" t="str">
        <f>_xlfn.XLOOKUP(E377,'Base SKUs'!E:E,'Base SKUs'!G:G)</f>
        <v>Ipe</v>
      </c>
      <c r="K377" t="str">
        <f>_xlfn.XLOOKUP(E377,'Base SKUs'!E:E,'Base SKUs'!H:H)</f>
        <v>S4S E4E</v>
      </c>
      <c r="L377" t="str">
        <f>_xlfn.XLOOKUP(E377,'Base SKUs'!E:E,'Base SKUs'!I:I)</f>
        <v>-</v>
      </c>
      <c r="M377" t="str">
        <f>_xlfn.XLOOKUP(E377,'Base SKUs'!E:E,'Base SKUs'!J:J)</f>
        <v>5/4x4</v>
      </c>
      <c r="N377">
        <f>_xlfn.XLOOKUP(E377,'Base SKUs'!E:E,'Base SKUs'!K:K)</f>
        <v>14</v>
      </c>
      <c r="O377" t="str">
        <f>_xlfn.XLOOKUP(E377,'Base SKUs'!E:E,'Base SKUs'!C:C)</f>
        <v>Long</v>
      </c>
      <c r="P377" t="s">
        <v>4926</v>
      </c>
    </row>
    <row r="378" spans="1:16" hidden="1" x14ac:dyDescent="0.25">
      <c r="A378" t="s">
        <v>4937</v>
      </c>
      <c r="B378" t="s">
        <v>225</v>
      </c>
      <c r="C378" t="s">
        <v>182</v>
      </c>
      <c r="D378">
        <v>9011</v>
      </c>
      <c r="E378" t="s">
        <v>26</v>
      </c>
      <c r="F378">
        <v>53</v>
      </c>
      <c r="G378" t="str">
        <f>_xlfn.XLOOKUP(E378,'Base SKUs'!E:E,'Base SKUs'!D:D)</f>
        <v>Hardwoods</v>
      </c>
      <c r="H378" s="10">
        <f>_xlfn.XLOOKUP(E378,'Base SKUs'!E:E,'Base SKUs'!S:S)</f>
        <v>1.2978554687999999E-2</v>
      </c>
      <c r="I378" s="9">
        <f t="shared" si="5"/>
        <v>0.68799999999999994</v>
      </c>
      <c r="J378" t="str">
        <f>_xlfn.XLOOKUP(E378,'Base SKUs'!E:E,'Base SKUs'!G:G)</f>
        <v>Ipe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2x6</v>
      </c>
      <c r="N378">
        <f>_xlfn.XLOOKUP(E378,'Base SKUs'!E:E,'Base SKUs'!K:K)</f>
        <v>8</v>
      </c>
      <c r="O378" t="str">
        <f>_xlfn.XLOOKUP(E378,'Base SKUs'!E:E,'Base SKUs'!C:C)</f>
        <v>Long</v>
      </c>
      <c r="P378" t="s">
        <v>4926</v>
      </c>
    </row>
    <row r="379" spans="1:16" hidden="1" x14ac:dyDescent="0.25">
      <c r="A379" t="s">
        <v>4937</v>
      </c>
      <c r="B379" t="s">
        <v>225</v>
      </c>
      <c r="C379" t="s">
        <v>182</v>
      </c>
      <c r="D379">
        <v>9011</v>
      </c>
      <c r="E379" t="s">
        <v>1723</v>
      </c>
      <c r="F379">
        <v>78</v>
      </c>
      <c r="G379" t="str">
        <f>_xlfn.XLOOKUP(E379,'Base SKUs'!E:E,'Base SKUs'!D:D)</f>
        <v>Hardwoods</v>
      </c>
      <c r="H379" s="10">
        <f>_xlfn.XLOOKUP(E379,'Base SKUs'!E:E,'Base SKUs'!S:S)</f>
        <v>3.2446386719999998E-2</v>
      </c>
      <c r="I379" s="9">
        <f t="shared" si="5"/>
        <v>2.5310000000000001</v>
      </c>
      <c r="J379" t="str">
        <f>_xlfn.XLOOKUP(E379,'Base SKUs'!E:E,'Base SKUs'!G:G)</f>
        <v>Ipe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2x6</v>
      </c>
      <c r="N379">
        <f>_xlfn.XLOOKUP(E379,'Base SKUs'!E:E,'Base SKUs'!K:K)</f>
        <v>20</v>
      </c>
      <c r="O379" t="str">
        <f>_xlfn.XLOOKUP(E379,'Base SKUs'!E:E,'Base SKUs'!C:C)</f>
        <v>Long</v>
      </c>
      <c r="P379" t="s">
        <v>4926</v>
      </c>
    </row>
    <row r="380" spans="1:16" hidden="1" x14ac:dyDescent="0.25">
      <c r="A380" t="s">
        <v>4937</v>
      </c>
      <c r="B380" t="s">
        <v>225</v>
      </c>
      <c r="C380" t="s">
        <v>182</v>
      </c>
      <c r="D380">
        <v>9011</v>
      </c>
      <c r="E380" t="s">
        <v>1549</v>
      </c>
      <c r="F380">
        <v>440</v>
      </c>
      <c r="G380" t="str">
        <f>_xlfn.XLOOKUP(E380,'Base SKUs'!E:E,'Base SKUs'!D:D)</f>
        <v>Hardwoods</v>
      </c>
      <c r="H380" s="10">
        <f>_xlfn.XLOOKUP(E380,'Base SKUs'!E:E,'Base SKUs'!S:S)</f>
        <v>4.1295401280000005E-3</v>
      </c>
      <c r="I380" s="9">
        <f t="shared" si="5"/>
        <v>1.8169999999999999</v>
      </c>
      <c r="J380" t="str">
        <f>_xlfn.XLOOKUP(E380,'Base SKUs'!E:E,'Base SKUs'!G:G)</f>
        <v>Ipe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1x4</v>
      </c>
      <c r="N380">
        <f>_xlfn.XLOOKUP(E380,'Base SKUs'!E:E,'Base SKUs'!K:K)</f>
        <v>8</v>
      </c>
      <c r="O380" t="str">
        <f>_xlfn.XLOOKUP(E380,'Base SKUs'!E:E,'Base SKUs'!C:C)</f>
        <v>Long</v>
      </c>
      <c r="P380" t="s">
        <v>4926</v>
      </c>
    </row>
    <row r="381" spans="1:16" hidden="1" x14ac:dyDescent="0.25">
      <c r="A381" t="s">
        <v>4938</v>
      </c>
      <c r="B381" t="s">
        <v>7</v>
      </c>
      <c r="C381" t="s">
        <v>266</v>
      </c>
      <c r="D381">
        <v>9007</v>
      </c>
      <c r="E381" t="s">
        <v>3747</v>
      </c>
      <c r="F381">
        <v>2</v>
      </c>
      <c r="G381" t="str">
        <f>_xlfn.XLOOKUP(E381,'Base SKUs'!E:E,'Base SKUs'!D:D)</f>
        <v>Thermowood</v>
      </c>
      <c r="H381" s="10">
        <f>_xlfn.XLOOKUP(E381,'Base SKUs'!E:E,'Base SKUs'!S:S)</f>
        <v>4.8701515499999992E-3</v>
      </c>
      <c r="I381" s="9">
        <f t="shared" si="5"/>
        <v>0.01</v>
      </c>
      <c r="J381" t="str">
        <f>_xlfn.XLOOKUP(E381,'Base SKUs'!E:E,'Base SKUs'!G:G)</f>
        <v>Maximo Thermo Ayous JPL</v>
      </c>
      <c r="K381" t="str">
        <f>_xlfn.XLOOKUP(E381,'Base SKUs'!E:E,'Base SKUs'!H:H)</f>
        <v>VJoint - Square Back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6</v>
      </c>
      <c r="O381" t="str">
        <f>_xlfn.XLOOKUP(E381,'Base SKUs'!E:E,'Base SKUs'!C:C)</f>
        <v>Short</v>
      </c>
      <c r="P381" t="s">
        <v>4925</v>
      </c>
    </row>
    <row r="382" spans="1:16" hidden="1" x14ac:dyDescent="0.25">
      <c r="A382" t="s">
        <v>4938</v>
      </c>
      <c r="B382" t="s">
        <v>7</v>
      </c>
      <c r="C382" t="s">
        <v>266</v>
      </c>
      <c r="D382">
        <v>9007</v>
      </c>
      <c r="E382" t="s">
        <v>3748</v>
      </c>
      <c r="F382">
        <v>5</v>
      </c>
      <c r="G382" t="str">
        <f>_xlfn.XLOOKUP(E382,'Base SKUs'!E:E,'Base SKUs'!D:D)</f>
        <v>Thermowood</v>
      </c>
      <c r="H382" s="10">
        <f>_xlfn.XLOOKUP(E382,'Base SKUs'!E:E,'Base SKUs'!S:S)</f>
        <v>5.6685370499999976E-3</v>
      </c>
      <c r="I382" s="9">
        <f t="shared" si="5"/>
        <v>2.8000000000000001E-2</v>
      </c>
      <c r="J382" t="str">
        <f>_xlfn.XLOOKUP(E382,'Base SKUs'!E:E,'Base SKUs'!G:G)</f>
        <v>Maximo Thermo Ayous JPL</v>
      </c>
      <c r="K382" t="str">
        <f>_xlfn.XLOOKUP(E382,'Base SKUs'!E:E,'Base SKUs'!H:H)</f>
        <v>VJoint - Square Back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7</v>
      </c>
      <c r="O382" t="str">
        <f>_xlfn.XLOOKUP(E382,'Base SKUs'!E:E,'Base SKUs'!C:C)</f>
        <v>Short</v>
      </c>
      <c r="P382" t="s">
        <v>4925</v>
      </c>
    </row>
    <row r="383" spans="1:16" hidden="1" x14ac:dyDescent="0.25">
      <c r="A383" t="s">
        <v>4938</v>
      </c>
      <c r="B383" t="s">
        <v>7</v>
      </c>
      <c r="C383" t="s">
        <v>266</v>
      </c>
      <c r="D383">
        <v>9007</v>
      </c>
      <c r="E383" t="s">
        <v>3749</v>
      </c>
      <c r="F383">
        <v>17</v>
      </c>
      <c r="G383" t="str">
        <f>_xlfn.XLOOKUP(E383,'Base SKUs'!E:E,'Base SKUs'!D:D)</f>
        <v>Thermowood</v>
      </c>
      <c r="H383" s="10">
        <f>_xlfn.XLOOKUP(E383,'Base SKUs'!E:E,'Base SKUs'!S:S)</f>
        <v>6.4935353999999992E-3</v>
      </c>
      <c r="I383" s="9">
        <f t="shared" si="5"/>
        <v>0.11</v>
      </c>
      <c r="J383" t="str">
        <f>_xlfn.XLOOKUP(E383,'Base SKUs'!E:E,'Base SKUs'!G:G)</f>
        <v>Maximo Thermo Ayous JPL</v>
      </c>
      <c r="K383" t="str">
        <f>_xlfn.XLOOKUP(E383,'Base SKUs'!E:E,'Base SKUs'!H:H)</f>
        <v>VJoint - Square Back</v>
      </c>
      <c r="L383" t="str">
        <f>_xlfn.XLOOKUP(E383,'Base SKUs'!E:E,'Base SKUs'!I:I)</f>
        <v>-</v>
      </c>
      <c r="M383" t="str">
        <f>_xlfn.XLOOKUP(E383,'Base SKUs'!E:E,'Base SKUs'!J:J)</f>
        <v>1x6</v>
      </c>
      <c r="N383">
        <f>_xlfn.XLOOKUP(E383,'Base SKUs'!E:E,'Base SKUs'!K:K)</f>
        <v>8</v>
      </c>
      <c r="O383" t="str">
        <f>_xlfn.XLOOKUP(E383,'Base SKUs'!E:E,'Base SKUs'!C:C)</f>
        <v>Long</v>
      </c>
      <c r="P383" t="s">
        <v>4925</v>
      </c>
    </row>
    <row r="384" spans="1:16" hidden="1" x14ac:dyDescent="0.25">
      <c r="A384" t="s">
        <v>4938</v>
      </c>
      <c r="B384" t="s">
        <v>7</v>
      </c>
      <c r="C384" t="s">
        <v>266</v>
      </c>
      <c r="D384">
        <v>9007</v>
      </c>
      <c r="E384" t="s">
        <v>3734</v>
      </c>
      <c r="F384">
        <v>33</v>
      </c>
      <c r="G384" t="str">
        <f>_xlfn.XLOOKUP(E384,'Base SKUs'!E:E,'Base SKUs'!D:D)</f>
        <v>Thermowood</v>
      </c>
      <c r="H384" s="10">
        <f>_xlfn.XLOOKUP(E384,'Base SKUs'!E:E,'Base SKUs'!S:S)</f>
        <v>8.1169192499999966E-3</v>
      </c>
      <c r="I384" s="9">
        <f t="shared" si="5"/>
        <v>0.26800000000000002</v>
      </c>
      <c r="J384" t="str">
        <f>_xlfn.XLOOKUP(E384,'Base SKUs'!E:E,'Base SKUs'!G:G)</f>
        <v>Maximo Thermo Ayous JPL</v>
      </c>
      <c r="K384" t="str">
        <f>_xlfn.XLOOKUP(E384,'Base SKUs'!E:E,'Base SKUs'!H:H)</f>
        <v>VJoint - Square Back</v>
      </c>
      <c r="L384" t="str">
        <f>_xlfn.XLOOKUP(E384,'Base SKUs'!E:E,'Base SKUs'!I:I)</f>
        <v>-</v>
      </c>
      <c r="M384" t="str">
        <f>_xlfn.XLOOKUP(E384,'Base SKUs'!E:E,'Base SKUs'!J:J)</f>
        <v>1x6</v>
      </c>
      <c r="N384">
        <f>_xlfn.XLOOKUP(E384,'Base SKUs'!E:E,'Base SKUs'!K:K)</f>
        <v>10</v>
      </c>
      <c r="O384" t="str">
        <f>_xlfn.XLOOKUP(E384,'Base SKUs'!E:E,'Base SKUs'!C:C)</f>
        <v>Long</v>
      </c>
      <c r="P384" t="s">
        <v>4925</v>
      </c>
    </row>
    <row r="385" spans="1:16" hidden="1" x14ac:dyDescent="0.25">
      <c r="A385" t="s">
        <v>4938</v>
      </c>
      <c r="B385" t="s">
        <v>7</v>
      </c>
      <c r="C385" t="s">
        <v>266</v>
      </c>
      <c r="D385">
        <v>9007</v>
      </c>
      <c r="E385" t="s">
        <v>3737</v>
      </c>
      <c r="F385">
        <v>23</v>
      </c>
      <c r="G385" t="str">
        <f>_xlfn.XLOOKUP(E385,'Base SKUs'!E:E,'Base SKUs'!D:D)</f>
        <v>Thermowood</v>
      </c>
      <c r="H385" s="10">
        <f>_xlfn.XLOOKUP(E385,'Base SKUs'!E:E,'Base SKUs'!S:S)</f>
        <v>9.7403030999999984E-3</v>
      </c>
      <c r="I385" s="9">
        <f t="shared" si="5"/>
        <v>0.224</v>
      </c>
      <c r="J385" t="str">
        <f>_xlfn.XLOOKUP(E385,'Base SKUs'!E:E,'Base SKUs'!G:G)</f>
        <v>Maximo Thermo Ayous JPL</v>
      </c>
      <c r="K385" t="str">
        <f>_xlfn.XLOOKUP(E385,'Base SKUs'!E:E,'Base SKUs'!H:H)</f>
        <v>VJoint - Square Back</v>
      </c>
      <c r="L385" t="str">
        <f>_xlfn.XLOOKUP(E385,'Base SKUs'!E:E,'Base SKUs'!I:I)</f>
        <v>-</v>
      </c>
      <c r="M385" t="str">
        <f>_xlfn.XLOOKUP(E385,'Base SKUs'!E:E,'Base SKUs'!J:J)</f>
        <v>1x6</v>
      </c>
      <c r="N385">
        <f>_xlfn.XLOOKUP(E385,'Base SKUs'!E:E,'Base SKUs'!K:K)</f>
        <v>12</v>
      </c>
      <c r="O385" t="str">
        <f>_xlfn.XLOOKUP(E385,'Base SKUs'!E:E,'Base SKUs'!C:C)</f>
        <v>Long</v>
      </c>
      <c r="P385" t="s">
        <v>4925</v>
      </c>
    </row>
    <row r="386" spans="1:16" hidden="1" x14ac:dyDescent="0.25">
      <c r="A386" t="s">
        <v>4938</v>
      </c>
      <c r="B386" t="s">
        <v>7</v>
      </c>
      <c r="C386" t="s">
        <v>266</v>
      </c>
      <c r="D386">
        <v>9007</v>
      </c>
      <c r="E386" t="s">
        <v>3740</v>
      </c>
      <c r="F386">
        <v>5</v>
      </c>
      <c r="G386" t="str">
        <f>_xlfn.XLOOKUP(E386,'Base SKUs'!E:E,'Base SKUs'!D:D)</f>
        <v>Thermowood</v>
      </c>
      <c r="H386" s="10">
        <f>_xlfn.XLOOKUP(E386,'Base SKUs'!E:E,'Base SKUs'!S:S)</f>
        <v>1.2162072449999999E-2</v>
      </c>
      <c r="I386" s="9">
        <f t="shared" ref="I386:I444" si="6">IF(OR(G386="Norx",K386="Tiles"),ROUND(F386,3),ROUND(F386*H386,3))</f>
        <v>6.0999999999999999E-2</v>
      </c>
      <c r="J386" t="str">
        <f>_xlfn.XLOOKUP(E386,'Base SKUs'!E:E,'Base SKUs'!G:G)</f>
        <v>Maximo Thermo Ayous JPL</v>
      </c>
      <c r="K386" t="str">
        <f>_xlfn.XLOOKUP(E386,'Base SKUs'!E:E,'Base SKUs'!H:H)</f>
        <v>VJoint - Square Back</v>
      </c>
      <c r="L386" t="str">
        <f>_xlfn.XLOOKUP(E386,'Base SKUs'!E:E,'Base SKUs'!I:I)</f>
        <v>-</v>
      </c>
      <c r="M386" t="str">
        <f>_xlfn.XLOOKUP(E386,'Base SKUs'!E:E,'Base SKUs'!J:J)</f>
        <v>1x6</v>
      </c>
      <c r="N386">
        <f>_xlfn.XLOOKUP(E386,'Base SKUs'!E:E,'Base SKUs'!K:K)</f>
        <v>15</v>
      </c>
      <c r="O386" t="str">
        <f>_xlfn.XLOOKUP(E386,'Base SKUs'!E:E,'Base SKUs'!C:C)</f>
        <v>Long</v>
      </c>
      <c r="P386" t="s">
        <v>4925</v>
      </c>
    </row>
    <row r="387" spans="1:16" hidden="1" x14ac:dyDescent="0.25">
      <c r="A387" t="s">
        <v>4939</v>
      </c>
      <c r="B387" t="s">
        <v>7</v>
      </c>
      <c r="C387" t="s">
        <v>8</v>
      </c>
      <c r="D387">
        <v>9007</v>
      </c>
      <c r="E387" t="s">
        <v>60</v>
      </c>
      <c r="F387">
        <v>56</v>
      </c>
      <c r="G387" t="str">
        <f>_xlfn.XLOOKUP(E387,'Base SKUs'!E:E,'Base SKUs'!D:D)</f>
        <v>Thermowood</v>
      </c>
      <c r="H387" s="10">
        <f>_xlfn.XLOOKUP(E387,'Base SKUs'!E:E,'Base SKUs'!S:S)</f>
        <v>7.8659999999999997E-3</v>
      </c>
      <c r="I387" s="9">
        <f t="shared" si="6"/>
        <v>0.44</v>
      </c>
      <c r="J387" t="str">
        <f>_xlfn.XLOOKUP(E387,'Base SKUs'!E:E,'Base SKUs'!G:G)</f>
        <v>Maximo Thermo Clear Radiata</v>
      </c>
      <c r="K387" t="str">
        <f>_xlfn.XLOOKUP(E387,'Base SKUs'!E:E,'Base SKUs'!H:H)</f>
        <v>Nickel Gap</v>
      </c>
      <c r="L387" t="str">
        <f>_xlfn.XLOOKUP(E387,'Base SKUs'!E:E,'Base SKUs'!I:I)</f>
        <v>OPX</v>
      </c>
      <c r="M387" t="str">
        <f>_xlfn.XLOOKUP(E387,'Base SKUs'!E:E,'Base SKUs'!J:J)</f>
        <v>1x6</v>
      </c>
      <c r="N387">
        <f>_xlfn.XLOOKUP(E387,'Base SKUs'!E:E,'Base SKUs'!K:K)</f>
        <v>10</v>
      </c>
      <c r="O387" t="str">
        <f>_xlfn.XLOOKUP(E387,'Base SKUs'!E:E,'Base SKUs'!C:C)</f>
        <v>Long</v>
      </c>
      <c r="P387" t="s">
        <v>4925</v>
      </c>
    </row>
    <row r="388" spans="1:16" hidden="1" x14ac:dyDescent="0.25">
      <c r="A388" t="s">
        <v>4939</v>
      </c>
      <c r="B388" t="s">
        <v>7</v>
      </c>
      <c r="C388" t="s">
        <v>8</v>
      </c>
      <c r="D388">
        <v>9007</v>
      </c>
      <c r="E388" t="s">
        <v>158</v>
      </c>
      <c r="F388">
        <v>14</v>
      </c>
      <c r="G388" t="str">
        <f>_xlfn.XLOOKUP(E388,'Base SKUs'!E:E,'Base SKUs'!D:D)</f>
        <v>Thermowood</v>
      </c>
      <c r="H388" s="10">
        <f>_xlfn.XLOOKUP(E388,'Base SKUs'!E:E,'Base SKUs'!S:S)</f>
        <v>1.10124E-2</v>
      </c>
      <c r="I388" s="9">
        <f t="shared" si="6"/>
        <v>0.154</v>
      </c>
      <c r="J388" t="str">
        <f>_xlfn.XLOOKUP(E388,'Base SKUs'!E:E,'Base SKUs'!G:G)</f>
        <v>Maximo Thermo Clear Radiata</v>
      </c>
      <c r="K388" t="str">
        <f>_xlfn.XLOOKUP(E388,'Base SKUs'!E:E,'Base SKUs'!H:H)</f>
        <v>Nickel Gap</v>
      </c>
      <c r="L388" t="str">
        <f>_xlfn.XLOOKUP(E388,'Base SKUs'!E:E,'Base SKUs'!I:I)</f>
        <v>OPX</v>
      </c>
      <c r="M388" t="str">
        <f>_xlfn.XLOOKUP(E388,'Base SKUs'!E:E,'Base SKUs'!J:J)</f>
        <v>1x6</v>
      </c>
      <c r="N388">
        <f>_xlfn.XLOOKUP(E388,'Base SKUs'!E:E,'Base SKUs'!K:K)</f>
        <v>14</v>
      </c>
      <c r="O388" t="str">
        <f>_xlfn.XLOOKUP(E388,'Base SKUs'!E:E,'Base SKUs'!C:C)</f>
        <v>Long</v>
      </c>
      <c r="P388" t="s">
        <v>4925</v>
      </c>
    </row>
    <row r="389" spans="1:16" hidden="1" x14ac:dyDescent="0.25">
      <c r="A389" t="s">
        <v>4939</v>
      </c>
      <c r="B389" t="s">
        <v>7</v>
      </c>
      <c r="C389" t="s">
        <v>8</v>
      </c>
      <c r="D389">
        <v>9007</v>
      </c>
      <c r="E389" t="s">
        <v>282</v>
      </c>
      <c r="F389">
        <v>7</v>
      </c>
      <c r="G389" t="str">
        <f>_xlfn.XLOOKUP(E389,'Base SKUs'!E:E,'Base SKUs'!D:D)</f>
        <v>Thermowood</v>
      </c>
      <c r="H389" s="10">
        <f>_xlfn.XLOOKUP(E389,'Base SKUs'!E:E,'Base SKUs'!S:S)</f>
        <v>1.1799E-2</v>
      </c>
      <c r="I389" s="9">
        <f t="shared" si="6"/>
        <v>8.3000000000000004E-2</v>
      </c>
      <c r="J389" t="str">
        <f>_xlfn.XLOOKUP(E389,'Base SKUs'!E:E,'Base SKUs'!G:G)</f>
        <v>Maximo Thermo Clear Radiata</v>
      </c>
      <c r="K389" t="str">
        <f>_xlfn.XLOOKUP(E389,'Base SKUs'!E:E,'Base SKUs'!H:H)</f>
        <v>Nickel Gap</v>
      </c>
      <c r="L389" t="str">
        <f>_xlfn.XLOOKUP(E389,'Base SKUs'!E:E,'Base SKUs'!I:I)</f>
        <v>OPX</v>
      </c>
      <c r="M389" t="str">
        <f>_xlfn.XLOOKUP(E389,'Base SKUs'!E:E,'Base SKUs'!J:J)</f>
        <v>1x6</v>
      </c>
      <c r="N389">
        <f>_xlfn.XLOOKUP(E389,'Base SKUs'!E:E,'Base SKUs'!K:K)</f>
        <v>15</v>
      </c>
      <c r="O389" t="str">
        <f>_xlfn.XLOOKUP(E389,'Base SKUs'!E:E,'Base SKUs'!C:C)</f>
        <v>Long</v>
      </c>
      <c r="P389" t="s">
        <v>4925</v>
      </c>
    </row>
    <row r="390" spans="1:16" hidden="1" x14ac:dyDescent="0.25">
      <c r="A390" t="s">
        <v>4939</v>
      </c>
      <c r="B390" t="s">
        <v>7</v>
      </c>
      <c r="C390" t="s">
        <v>8</v>
      </c>
      <c r="D390">
        <v>9007</v>
      </c>
      <c r="E390" t="s">
        <v>61</v>
      </c>
      <c r="F390">
        <v>7</v>
      </c>
      <c r="G390" t="str">
        <f>_xlfn.XLOOKUP(E390,'Base SKUs'!E:E,'Base SKUs'!D:D)</f>
        <v>Thermowood</v>
      </c>
      <c r="H390" s="10">
        <f>_xlfn.XLOOKUP(E390,'Base SKUs'!E:E,'Base SKUs'!S:S)</f>
        <v>1.2585600000000001E-2</v>
      </c>
      <c r="I390" s="9">
        <f t="shared" si="6"/>
        <v>8.7999999999999995E-2</v>
      </c>
      <c r="J390" t="str">
        <f>_xlfn.XLOOKUP(E390,'Base SKUs'!E:E,'Base SKUs'!G:G)</f>
        <v>Maximo Thermo Clear Radiata</v>
      </c>
      <c r="K390" t="str">
        <f>_xlfn.XLOOKUP(E390,'Base SKUs'!E:E,'Base SKUs'!H:H)</f>
        <v>Nickel Gap</v>
      </c>
      <c r="L390" t="str">
        <f>_xlfn.XLOOKUP(E390,'Base SKUs'!E:E,'Base SKUs'!I:I)</f>
        <v>OPX</v>
      </c>
      <c r="M390" t="str">
        <f>_xlfn.XLOOKUP(E390,'Base SKUs'!E:E,'Base SKUs'!J:J)</f>
        <v>1x6</v>
      </c>
      <c r="N390">
        <f>_xlfn.XLOOKUP(E390,'Base SKUs'!E:E,'Base SKUs'!K:K)</f>
        <v>16</v>
      </c>
      <c r="O390" t="str">
        <f>_xlfn.XLOOKUP(E390,'Base SKUs'!E:E,'Base SKUs'!C:C)</f>
        <v>Long</v>
      </c>
      <c r="P390" t="s">
        <v>4925</v>
      </c>
    </row>
    <row r="391" spans="1:16" hidden="1" x14ac:dyDescent="0.25">
      <c r="A391" t="s">
        <v>4939</v>
      </c>
      <c r="B391" t="s">
        <v>7</v>
      </c>
      <c r="C391" t="s">
        <v>8</v>
      </c>
      <c r="D391">
        <v>9007</v>
      </c>
      <c r="E391" t="s">
        <v>159</v>
      </c>
      <c r="F391">
        <v>14</v>
      </c>
      <c r="G391" t="str">
        <f>_xlfn.XLOOKUP(E391,'Base SKUs'!E:E,'Base SKUs'!D:D)</f>
        <v>Thermowood</v>
      </c>
      <c r="H391" s="10">
        <f>_xlfn.XLOOKUP(E391,'Base SKUs'!E:E,'Base SKUs'!S:S)</f>
        <v>1.4158800000000001E-2</v>
      </c>
      <c r="I391" s="9">
        <f t="shared" si="6"/>
        <v>0.19800000000000001</v>
      </c>
      <c r="J391" t="str">
        <f>_xlfn.XLOOKUP(E391,'Base SKUs'!E:E,'Base SKUs'!G:G)</f>
        <v>Maximo Thermo Clear Radiata</v>
      </c>
      <c r="K391" t="str">
        <f>_xlfn.XLOOKUP(E391,'Base SKUs'!E:E,'Base SKUs'!H:H)</f>
        <v>Nickel Gap</v>
      </c>
      <c r="L391" t="str">
        <f>_xlfn.XLOOKUP(E391,'Base SKUs'!E:E,'Base SKUs'!I:I)</f>
        <v>OPX</v>
      </c>
      <c r="M391" t="str">
        <f>_xlfn.XLOOKUP(E391,'Base SKUs'!E:E,'Base SKUs'!J:J)</f>
        <v>1x6</v>
      </c>
      <c r="N391">
        <f>_xlfn.XLOOKUP(E391,'Base SKUs'!E:E,'Base SKUs'!K:K)</f>
        <v>18</v>
      </c>
      <c r="O391" t="str">
        <f>_xlfn.XLOOKUP(E391,'Base SKUs'!E:E,'Base SKUs'!C:C)</f>
        <v>Long</v>
      </c>
      <c r="P391" t="s">
        <v>4925</v>
      </c>
    </row>
    <row r="392" spans="1:16" hidden="1" x14ac:dyDescent="0.25">
      <c r="A392" t="s">
        <v>4940</v>
      </c>
      <c r="B392" t="s">
        <v>318</v>
      </c>
      <c r="C392" t="s">
        <v>319</v>
      </c>
      <c r="D392">
        <v>9011</v>
      </c>
      <c r="E392" t="s">
        <v>11</v>
      </c>
      <c r="F392">
        <v>12</v>
      </c>
      <c r="G392" t="str">
        <f>_xlfn.XLOOKUP(E392,'Base SKUs'!E:E,'Base SKUs'!D:D)</f>
        <v>Hardwoods</v>
      </c>
      <c r="H392" s="10">
        <f>_xlfn.XLOOKUP(E392,'Base SKUs'!E:E,'Base SKUs'!S:S)</f>
        <v>6.4892773439999994E-3</v>
      </c>
      <c r="I392" s="9">
        <f t="shared" si="6"/>
        <v>7.8E-2</v>
      </c>
      <c r="J392" t="str">
        <f>_xlfn.XLOOKUP(E392,'Base SKUs'!E:E,'Base SKUs'!G:G)</f>
        <v>Ipe</v>
      </c>
      <c r="K392" t="str">
        <f>_xlfn.XLOOKUP(E392,'Base SKUs'!E:E,'Base SKUs'!H:H)</f>
        <v>S4S E4E</v>
      </c>
      <c r="L392" t="str">
        <f>_xlfn.XLOOKUP(E392,'Base SKUs'!E:E,'Base SKUs'!I:I)</f>
        <v>-</v>
      </c>
      <c r="M392" t="str">
        <f>_xlfn.XLOOKUP(E392,'Base SKUs'!E:E,'Base SKUs'!J:J)</f>
        <v>1x6</v>
      </c>
      <c r="N392">
        <f>_xlfn.XLOOKUP(E392,'Base SKUs'!E:E,'Base SKUs'!K:K)</f>
        <v>8</v>
      </c>
      <c r="O392" t="str">
        <f>_xlfn.XLOOKUP(E392,'Base SKUs'!E:E,'Base SKUs'!C:C)</f>
        <v>Long</v>
      </c>
      <c r="P392" t="s">
        <v>4926</v>
      </c>
    </row>
    <row r="393" spans="1:16" hidden="1" x14ac:dyDescent="0.25">
      <c r="A393" t="s">
        <v>4941</v>
      </c>
      <c r="B393" t="s">
        <v>19</v>
      </c>
      <c r="C393" t="s">
        <v>20</v>
      </c>
      <c r="D393">
        <v>9007</v>
      </c>
      <c r="E393" t="s">
        <v>310</v>
      </c>
      <c r="F393">
        <v>30</v>
      </c>
      <c r="G393" t="str">
        <f>_xlfn.XLOOKUP(E393,'Base SKUs'!E:E,'Base SKUs'!D:D)</f>
        <v>Thermowood</v>
      </c>
      <c r="H393" s="10">
        <f>_xlfn.XLOOKUP(E393,'Base SKUs'!E:E,'Base SKUs'!S:S)</f>
        <v>3.1464000000000002E-3</v>
      </c>
      <c r="I393" s="9">
        <f t="shared" si="6"/>
        <v>9.4E-2</v>
      </c>
      <c r="J393" t="str">
        <f>_xlfn.XLOOKUP(E393,'Base SKUs'!E:E,'Base SKUs'!G:G)</f>
        <v>Maximo Thermo Clear Radiata</v>
      </c>
      <c r="K393" t="str">
        <f>_xlfn.XLOOKUP(E393,'Base SKUs'!E:E,'Base SKUs'!H:H)</f>
        <v>Nickel Gap</v>
      </c>
      <c r="L393" t="str">
        <f>_xlfn.XLOOKUP(E393,'Base SKUs'!E:E,'Base SKUs'!I:I)</f>
        <v>OPX</v>
      </c>
      <c r="M393" t="str">
        <f>_xlfn.XLOOKUP(E393,'Base SKUs'!E:E,'Base SKUs'!J:J)</f>
        <v>1x6</v>
      </c>
      <c r="N393">
        <f>_xlfn.XLOOKUP(E393,'Base SKUs'!E:E,'Base SKUs'!K:K)</f>
        <v>4</v>
      </c>
      <c r="O393" t="str">
        <f>_xlfn.XLOOKUP(E393,'Base SKUs'!E:E,'Base SKUs'!C:C)</f>
        <v>Short</v>
      </c>
      <c r="P393" t="s">
        <v>4925</v>
      </c>
    </row>
    <row r="394" spans="1:16" hidden="1" x14ac:dyDescent="0.25">
      <c r="A394" t="s">
        <v>4942</v>
      </c>
      <c r="B394" t="s">
        <v>340</v>
      </c>
      <c r="C394" t="s">
        <v>341</v>
      </c>
      <c r="D394">
        <v>9009</v>
      </c>
      <c r="E394" t="s">
        <v>2384</v>
      </c>
      <c r="F394">
        <v>218</v>
      </c>
      <c r="G394" t="str">
        <f>_xlfn.XLOOKUP(E394,'Base SKUs'!E:E,'Base SKUs'!D:D)</f>
        <v>Hardwoods</v>
      </c>
      <c r="H394" s="10">
        <f>_xlfn.XLOOKUP(E394,'Base SKUs'!E:E,'Base SKUs'!S:S)</f>
        <v>5.1619251600000006E-3</v>
      </c>
      <c r="I394" s="9">
        <f t="shared" si="6"/>
        <v>1.125</v>
      </c>
      <c r="J394" t="str">
        <f>_xlfn.XLOOKUP(E394,'Base SKUs'!E:E,'Base SKUs'!G:G)</f>
        <v>Massaranduba Bullet Wood</v>
      </c>
      <c r="K394" t="str">
        <f>_xlfn.XLOOKUP(E394,'Base SKUs'!E:E,'Base SKUs'!H:H)</f>
        <v>S4S E4E</v>
      </c>
      <c r="L394" t="str">
        <f>_xlfn.XLOOKUP(E394,'Base SKUs'!E:E,'Base SKUs'!I:I)</f>
        <v>-</v>
      </c>
      <c r="M394" t="str">
        <f>_xlfn.XLOOKUP(E394,'Base SKUs'!E:E,'Base SKUs'!J:J)</f>
        <v>1x4</v>
      </c>
      <c r="N394">
        <f>_xlfn.XLOOKUP(E394,'Base SKUs'!E:E,'Base SKUs'!K:K)</f>
        <v>10</v>
      </c>
      <c r="O394" t="str">
        <f>_xlfn.XLOOKUP(E394,'Base SKUs'!E:E,'Base SKUs'!C:C)</f>
        <v>Long</v>
      </c>
      <c r="P394" t="s">
        <v>4925</v>
      </c>
    </row>
    <row r="395" spans="1:16" hidden="1" x14ac:dyDescent="0.25">
      <c r="A395" t="s">
        <v>4942</v>
      </c>
      <c r="B395" t="s">
        <v>340</v>
      </c>
      <c r="C395" t="s">
        <v>341</v>
      </c>
      <c r="D395">
        <v>9009</v>
      </c>
      <c r="E395" t="s">
        <v>2387</v>
      </c>
      <c r="F395">
        <v>212</v>
      </c>
      <c r="G395" t="str">
        <f>_xlfn.XLOOKUP(E395,'Base SKUs'!E:E,'Base SKUs'!D:D)</f>
        <v>Hardwoods</v>
      </c>
      <c r="H395" s="10">
        <f>_xlfn.XLOOKUP(E395,'Base SKUs'!E:E,'Base SKUs'!S:S)</f>
        <v>6.1943101919999998E-3</v>
      </c>
      <c r="I395" s="9">
        <f t="shared" si="6"/>
        <v>1.3129999999999999</v>
      </c>
      <c r="J395" t="str">
        <f>_xlfn.XLOOKUP(E395,'Base SKUs'!E:E,'Base SKUs'!G:G)</f>
        <v>Massaranduba Bullet Wood</v>
      </c>
      <c r="K395" t="str">
        <f>_xlfn.XLOOKUP(E395,'Base SKUs'!E:E,'Base SKUs'!H:H)</f>
        <v>S4S E4E</v>
      </c>
      <c r="L395" t="str">
        <f>_xlfn.XLOOKUP(E395,'Base SKUs'!E:E,'Base SKUs'!I:I)</f>
        <v>-</v>
      </c>
      <c r="M395" t="str">
        <f>_xlfn.XLOOKUP(E395,'Base SKUs'!E:E,'Base SKUs'!J:J)</f>
        <v>1x4</v>
      </c>
      <c r="N395">
        <f>_xlfn.XLOOKUP(E395,'Base SKUs'!E:E,'Base SKUs'!K:K)</f>
        <v>12</v>
      </c>
      <c r="O395" t="str">
        <f>_xlfn.XLOOKUP(E395,'Base SKUs'!E:E,'Base SKUs'!C:C)</f>
        <v>Long</v>
      </c>
      <c r="P395" t="s">
        <v>4926</v>
      </c>
    </row>
    <row r="396" spans="1:16" hidden="1" x14ac:dyDescent="0.25">
      <c r="A396" t="s">
        <v>4943</v>
      </c>
      <c r="B396" t="s">
        <v>4944</v>
      </c>
      <c r="C396" t="s">
        <v>4945</v>
      </c>
      <c r="D396">
        <v>9008</v>
      </c>
      <c r="E396" t="s">
        <v>11</v>
      </c>
      <c r="F396">
        <v>483</v>
      </c>
      <c r="G396" t="str">
        <f>_xlfn.XLOOKUP(E396,'Base SKUs'!E:E,'Base SKUs'!D:D)</f>
        <v>Hardwoods</v>
      </c>
      <c r="H396" s="10">
        <f>_xlfn.XLOOKUP(E396,'Base SKUs'!E:E,'Base SKUs'!S:S)</f>
        <v>6.4892773439999994E-3</v>
      </c>
      <c r="I396" s="9">
        <f t="shared" si="6"/>
        <v>3.1339999999999999</v>
      </c>
      <c r="J396" t="str">
        <f>_xlfn.XLOOKUP(E396,'Base SKUs'!E:E,'Base SKUs'!G:G)</f>
        <v>Ipe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8</v>
      </c>
      <c r="O396" t="str">
        <f>_xlfn.XLOOKUP(E396,'Base SKUs'!E:E,'Base SKUs'!C:C)</f>
        <v>Long</v>
      </c>
      <c r="P396" t="s">
        <v>4926</v>
      </c>
    </row>
    <row r="397" spans="1:16" hidden="1" x14ac:dyDescent="0.25">
      <c r="A397" t="s">
        <v>4943</v>
      </c>
      <c r="B397" t="s">
        <v>4944</v>
      </c>
      <c r="C397" t="s">
        <v>4945</v>
      </c>
      <c r="D397">
        <v>9008</v>
      </c>
      <c r="E397" t="s">
        <v>288</v>
      </c>
      <c r="F397">
        <v>415</v>
      </c>
      <c r="G397" t="str">
        <f>_xlfn.XLOOKUP(E397,'Base SKUs'!E:E,'Base SKUs'!D:D)</f>
        <v>Hardwoods</v>
      </c>
      <c r="H397" s="10">
        <f>_xlfn.XLOOKUP(E397,'Base SKUs'!E:E,'Base SKUs'!S:S)</f>
        <v>8.1115966799999994E-3</v>
      </c>
      <c r="I397" s="9">
        <f t="shared" si="6"/>
        <v>3.3660000000000001</v>
      </c>
      <c r="J397" t="str">
        <f>_xlfn.XLOOKUP(E397,'Base SKUs'!E:E,'Base SKUs'!G:G)</f>
        <v>Ipe</v>
      </c>
      <c r="K397" t="str">
        <f>_xlfn.XLOOKUP(E397,'Base SKUs'!E:E,'Base SKUs'!H:H)</f>
        <v>S4S E4E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10</v>
      </c>
      <c r="O397" t="str">
        <f>_xlfn.XLOOKUP(E397,'Base SKUs'!E:E,'Base SKUs'!C:C)</f>
        <v>Long</v>
      </c>
      <c r="P397" t="s">
        <v>4926</v>
      </c>
    </row>
    <row r="398" spans="1:16" hidden="1" x14ac:dyDescent="0.25">
      <c r="A398" t="s">
        <v>4943</v>
      </c>
      <c r="B398" t="s">
        <v>4944</v>
      </c>
      <c r="C398" t="s">
        <v>4945</v>
      </c>
      <c r="D398">
        <v>9008</v>
      </c>
      <c r="E398" t="s">
        <v>276</v>
      </c>
      <c r="F398">
        <v>93</v>
      </c>
      <c r="G398" t="str">
        <f>_xlfn.XLOOKUP(E398,'Base SKUs'!E:E,'Base SKUs'!D:D)</f>
        <v>Hardwoods</v>
      </c>
      <c r="H398" s="10">
        <f>_xlfn.XLOOKUP(E398,'Base SKUs'!E:E,'Base SKUs'!S:S)</f>
        <v>9.7339160159999986E-3</v>
      </c>
      <c r="I398" s="9">
        <f t="shared" si="6"/>
        <v>0.90500000000000003</v>
      </c>
      <c r="J398" t="str">
        <f>_xlfn.XLOOKUP(E398,'Base SKUs'!E:E,'Base SKUs'!G:G)</f>
        <v>Ipe</v>
      </c>
      <c r="K398" t="str">
        <f>_xlfn.XLOOKUP(E398,'Base SKUs'!E:E,'Base SKUs'!H:H)</f>
        <v>S4S E4E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12</v>
      </c>
      <c r="O398" t="str">
        <f>_xlfn.XLOOKUP(E398,'Base SKUs'!E:E,'Base SKUs'!C:C)</f>
        <v>Long</v>
      </c>
      <c r="P398" t="s">
        <v>4926</v>
      </c>
    </row>
    <row r="399" spans="1:16" hidden="1" x14ac:dyDescent="0.25">
      <c r="A399" t="s">
        <v>4943</v>
      </c>
      <c r="B399" t="s">
        <v>4944</v>
      </c>
      <c r="C399" t="s">
        <v>4945</v>
      </c>
      <c r="D399">
        <v>9008</v>
      </c>
      <c r="E399" t="s">
        <v>289</v>
      </c>
      <c r="F399">
        <v>161</v>
      </c>
      <c r="G399" t="str">
        <f>_xlfn.XLOOKUP(E399,'Base SKUs'!E:E,'Base SKUs'!D:D)</f>
        <v>Hardwoods</v>
      </c>
      <c r="H399" s="10">
        <f>_xlfn.XLOOKUP(E399,'Base SKUs'!E:E,'Base SKUs'!S:S)</f>
        <v>1.1356235352E-2</v>
      </c>
      <c r="I399" s="9">
        <f t="shared" si="6"/>
        <v>1.8280000000000001</v>
      </c>
      <c r="J399" t="str">
        <f>_xlfn.XLOOKUP(E399,'Base SKUs'!E:E,'Base SKUs'!G:G)</f>
        <v>Ipe</v>
      </c>
      <c r="K399" t="str">
        <f>_xlfn.XLOOKUP(E399,'Base SKUs'!E:E,'Base SKUs'!H:H)</f>
        <v>S4S E4E</v>
      </c>
      <c r="L399" t="str">
        <f>_xlfn.XLOOKUP(E399,'Base SKUs'!E:E,'Base SKUs'!I:I)</f>
        <v>-</v>
      </c>
      <c r="M399" t="str">
        <f>_xlfn.XLOOKUP(E399,'Base SKUs'!E:E,'Base SKUs'!J:J)</f>
        <v>1x6</v>
      </c>
      <c r="N399">
        <f>_xlfn.XLOOKUP(E399,'Base SKUs'!E:E,'Base SKUs'!K:K)</f>
        <v>14</v>
      </c>
      <c r="O399" t="str">
        <f>_xlfn.XLOOKUP(E399,'Base SKUs'!E:E,'Base SKUs'!C:C)</f>
        <v>Long</v>
      </c>
      <c r="P399" t="s">
        <v>4926</v>
      </c>
    </row>
    <row r="400" spans="1:16" hidden="1" x14ac:dyDescent="0.25">
      <c r="A400" t="s">
        <v>4943</v>
      </c>
      <c r="B400" t="s">
        <v>4944</v>
      </c>
      <c r="C400" t="s">
        <v>4945</v>
      </c>
      <c r="D400">
        <v>9008</v>
      </c>
      <c r="E400" t="s">
        <v>277</v>
      </c>
      <c r="F400">
        <v>119</v>
      </c>
      <c r="G400" t="str">
        <f>_xlfn.XLOOKUP(E400,'Base SKUs'!E:E,'Base SKUs'!D:D)</f>
        <v>Hardwoods</v>
      </c>
      <c r="H400" s="10">
        <f>_xlfn.XLOOKUP(E400,'Base SKUs'!E:E,'Base SKUs'!S:S)</f>
        <v>1.2978554687999999E-2</v>
      </c>
      <c r="I400" s="9">
        <f t="shared" si="6"/>
        <v>1.544</v>
      </c>
      <c r="J400" t="str">
        <f>_xlfn.XLOOKUP(E400,'Base SKUs'!E:E,'Base SKUs'!G:G)</f>
        <v>Ipe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16</v>
      </c>
      <c r="O400" t="str">
        <f>_xlfn.XLOOKUP(E400,'Base SKUs'!E:E,'Base SKUs'!C:C)</f>
        <v>Long</v>
      </c>
      <c r="P400" t="s">
        <v>4926</v>
      </c>
    </row>
    <row r="401" spans="1:16" hidden="1" x14ac:dyDescent="0.25">
      <c r="A401" t="s">
        <v>4943</v>
      </c>
      <c r="B401" t="s">
        <v>4944</v>
      </c>
      <c r="C401" t="s">
        <v>4945</v>
      </c>
      <c r="D401">
        <v>9008</v>
      </c>
      <c r="E401" t="s">
        <v>290</v>
      </c>
      <c r="F401">
        <v>161</v>
      </c>
      <c r="G401" t="str">
        <f>_xlfn.XLOOKUP(E401,'Base SKUs'!E:E,'Base SKUs'!D:D)</f>
        <v>Hardwoods</v>
      </c>
      <c r="H401" s="10">
        <f>_xlfn.XLOOKUP(E401,'Base SKUs'!E:E,'Base SKUs'!S:S)</f>
        <v>1.4600874024E-2</v>
      </c>
      <c r="I401" s="9">
        <f t="shared" si="6"/>
        <v>2.351</v>
      </c>
      <c r="J401" t="str">
        <f>_xlfn.XLOOKUP(E401,'Base SKUs'!E:E,'Base SKUs'!G:G)</f>
        <v>Ipe</v>
      </c>
      <c r="K401" t="str">
        <f>_xlfn.XLOOKUP(E401,'Base SKUs'!E:E,'Base SKUs'!H:H)</f>
        <v>S4S E4E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18</v>
      </c>
      <c r="O401" t="str">
        <f>_xlfn.XLOOKUP(E401,'Base SKUs'!E:E,'Base SKUs'!C:C)</f>
        <v>Long</v>
      </c>
      <c r="P401" t="s">
        <v>4926</v>
      </c>
    </row>
    <row r="402" spans="1:16" hidden="1" x14ac:dyDescent="0.25">
      <c r="A402" t="s">
        <v>4943</v>
      </c>
      <c r="B402" t="s">
        <v>4944</v>
      </c>
      <c r="C402" t="s">
        <v>4945</v>
      </c>
      <c r="D402">
        <v>9008</v>
      </c>
      <c r="E402" t="s">
        <v>291</v>
      </c>
      <c r="F402">
        <v>313</v>
      </c>
      <c r="G402" t="str">
        <f>_xlfn.XLOOKUP(E402,'Base SKUs'!E:E,'Base SKUs'!D:D)</f>
        <v>Hardwoods</v>
      </c>
      <c r="H402" s="10">
        <f>_xlfn.XLOOKUP(E402,'Base SKUs'!E:E,'Base SKUs'!S:S)</f>
        <v>1.6223193359999999E-2</v>
      </c>
      <c r="I402" s="9">
        <f t="shared" si="6"/>
        <v>5.0780000000000003</v>
      </c>
      <c r="J402" t="str">
        <f>_xlfn.XLOOKUP(E402,'Base SKUs'!E:E,'Base SKUs'!G:G)</f>
        <v>Ipe</v>
      </c>
      <c r="K402" t="str">
        <f>_xlfn.XLOOKUP(E402,'Base SKUs'!E:E,'Base SKUs'!H:H)</f>
        <v>S4S E4E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20</v>
      </c>
      <c r="O402" t="str">
        <f>_xlfn.XLOOKUP(E402,'Base SKUs'!E:E,'Base SKUs'!C:C)</f>
        <v>Long</v>
      </c>
      <c r="P402" t="s">
        <v>4926</v>
      </c>
    </row>
    <row r="403" spans="1:16" hidden="1" x14ac:dyDescent="0.25">
      <c r="A403" t="s">
        <v>4946</v>
      </c>
      <c r="B403" t="s">
        <v>340</v>
      </c>
      <c r="C403" t="s">
        <v>341</v>
      </c>
      <c r="D403">
        <v>9009</v>
      </c>
      <c r="E403" t="s">
        <v>3904</v>
      </c>
      <c r="F403">
        <v>10</v>
      </c>
      <c r="G403" t="str">
        <f>_xlfn.XLOOKUP(E403,'Base SKUs'!E:E,'Base SKUs'!D:D)</f>
        <v>Thermowood</v>
      </c>
      <c r="H403" s="10">
        <f>_xlfn.XLOOKUP(E403,'Base SKUs'!E:E,'Base SKUs'!S:S)</f>
        <v>1.3439999999999999E-2</v>
      </c>
      <c r="I403" s="9">
        <f t="shared" si="6"/>
        <v>0.13400000000000001</v>
      </c>
      <c r="J403" t="str">
        <f>_xlfn.XLOOKUP(E403,'Base SKUs'!E:E,'Base SKUs'!G:G)</f>
        <v>Maximo Thermo Ayous</v>
      </c>
      <c r="K403" t="str">
        <f>_xlfn.XLOOKUP(E403,'Base SKUs'!E:E,'Base SKUs'!H:H)</f>
        <v>S4S E4E</v>
      </c>
      <c r="L403" t="str">
        <f>_xlfn.XLOOKUP(E403,'Base SKUs'!E:E,'Base SKUs'!I:I)</f>
        <v>-</v>
      </c>
      <c r="M403" t="str">
        <f>_xlfn.XLOOKUP(E403,'Base SKUs'!E:E,'Base SKUs'!J:J)</f>
        <v>2x6</v>
      </c>
      <c r="N403">
        <f>_xlfn.XLOOKUP(E403,'Base SKUs'!E:E,'Base SKUs'!K:K)</f>
        <v>8</v>
      </c>
      <c r="O403" t="str">
        <f>_xlfn.XLOOKUP(E403,'Base SKUs'!E:E,'Base SKUs'!C:C)</f>
        <v>Long</v>
      </c>
      <c r="P403" t="s">
        <v>4926</v>
      </c>
    </row>
    <row r="404" spans="1:16" hidden="1" x14ac:dyDescent="0.25">
      <c r="A404" t="s">
        <v>4946</v>
      </c>
      <c r="B404" t="s">
        <v>340</v>
      </c>
      <c r="C404" t="s">
        <v>341</v>
      </c>
      <c r="D404">
        <v>9009</v>
      </c>
      <c r="E404" t="s">
        <v>3918</v>
      </c>
      <c r="F404">
        <v>5</v>
      </c>
      <c r="G404" t="str">
        <f>_xlfn.XLOOKUP(E404,'Base SKUs'!E:E,'Base SKUs'!D:D)</f>
        <v>Thermowood</v>
      </c>
      <c r="H404" s="10">
        <f>_xlfn.XLOOKUP(E404,'Base SKUs'!E:E,'Base SKUs'!S:S)</f>
        <v>5.3999999999999994E-3</v>
      </c>
      <c r="I404" s="9">
        <f t="shared" si="6"/>
        <v>2.7E-2</v>
      </c>
      <c r="J404" t="str">
        <f>_xlfn.XLOOKUP(E404,'Base SKUs'!E:E,'Base SKUs'!G:G)</f>
        <v>Maximo Thermo Ayous</v>
      </c>
      <c r="K404" t="str">
        <f>_xlfn.XLOOKUP(E404,'Base SKUs'!E:E,'Base SKUs'!H:H)</f>
        <v>S4S E4E</v>
      </c>
      <c r="L404" t="str">
        <f>_xlfn.XLOOKUP(E404,'Base SKUs'!E:E,'Base SKUs'!I:I)</f>
        <v>-</v>
      </c>
      <c r="M404" t="str">
        <f>_xlfn.XLOOKUP(E404,'Base SKUs'!E:E,'Base SKUs'!J:J)</f>
        <v>5/4x4</v>
      </c>
      <c r="N404">
        <f>_xlfn.XLOOKUP(E404,'Base SKUs'!E:E,'Base SKUs'!K:K)</f>
        <v>8</v>
      </c>
      <c r="O404" t="str">
        <f>_xlfn.XLOOKUP(E404,'Base SKUs'!E:E,'Base SKUs'!C:C)</f>
        <v>Long</v>
      </c>
      <c r="P404" t="s">
        <v>4926</v>
      </c>
    </row>
    <row r="405" spans="1:16" hidden="1" x14ac:dyDescent="0.25">
      <c r="A405" t="s">
        <v>4947</v>
      </c>
      <c r="B405" t="s">
        <v>245</v>
      </c>
      <c r="C405" t="s">
        <v>246</v>
      </c>
      <c r="D405">
        <v>9008</v>
      </c>
      <c r="E405" t="s">
        <v>11</v>
      </c>
      <c r="F405">
        <v>385</v>
      </c>
      <c r="G405" t="str">
        <f>_xlfn.XLOOKUP(E405,'Base SKUs'!E:E,'Base SKUs'!D:D)</f>
        <v>Hardwoods</v>
      </c>
      <c r="H405" s="10">
        <f>_xlfn.XLOOKUP(E405,'Base SKUs'!E:E,'Base SKUs'!S:S)</f>
        <v>6.4892773439999994E-3</v>
      </c>
      <c r="I405" s="9">
        <f t="shared" si="6"/>
        <v>2.4980000000000002</v>
      </c>
      <c r="J405" t="str">
        <f>_xlfn.XLOOKUP(E405,'Base SKUs'!E:E,'Base SKUs'!G:G)</f>
        <v>Ipe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1x6</v>
      </c>
      <c r="N405">
        <f>_xlfn.XLOOKUP(E405,'Base SKUs'!E:E,'Base SKUs'!K:K)</f>
        <v>8</v>
      </c>
      <c r="O405" t="str">
        <f>_xlfn.XLOOKUP(E405,'Base SKUs'!E:E,'Base SKUs'!C:C)</f>
        <v>Long</v>
      </c>
      <c r="P405" t="s">
        <v>4926</v>
      </c>
    </row>
    <row r="406" spans="1:16" hidden="1" x14ac:dyDescent="0.25">
      <c r="A406" t="s">
        <v>4947</v>
      </c>
      <c r="B406" t="s">
        <v>245</v>
      </c>
      <c r="C406" t="s">
        <v>246</v>
      </c>
      <c r="D406">
        <v>9008</v>
      </c>
      <c r="E406" t="s">
        <v>288</v>
      </c>
      <c r="F406">
        <v>385</v>
      </c>
      <c r="G406" t="str">
        <f>_xlfn.XLOOKUP(E406,'Base SKUs'!E:E,'Base SKUs'!D:D)</f>
        <v>Hardwoods</v>
      </c>
      <c r="H406" s="10">
        <f>_xlfn.XLOOKUP(E406,'Base SKUs'!E:E,'Base SKUs'!S:S)</f>
        <v>8.1115966799999994E-3</v>
      </c>
      <c r="I406" s="9">
        <f t="shared" si="6"/>
        <v>3.1230000000000002</v>
      </c>
      <c r="J406" t="str">
        <f>_xlfn.XLOOKUP(E406,'Base SKUs'!E:E,'Base SKUs'!G:G)</f>
        <v>Ipe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1x6</v>
      </c>
      <c r="N406">
        <f>_xlfn.XLOOKUP(E406,'Base SKUs'!E:E,'Base SKUs'!K:K)</f>
        <v>10</v>
      </c>
      <c r="O406" t="str">
        <f>_xlfn.XLOOKUP(E406,'Base SKUs'!E:E,'Base SKUs'!C:C)</f>
        <v>Long</v>
      </c>
      <c r="P406" t="s">
        <v>4926</v>
      </c>
    </row>
    <row r="407" spans="1:16" hidden="1" x14ac:dyDescent="0.25">
      <c r="A407" t="s">
        <v>4947</v>
      </c>
      <c r="B407" t="s">
        <v>245</v>
      </c>
      <c r="C407" t="s">
        <v>246</v>
      </c>
      <c r="D407">
        <v>9008</v>
      </c>
      <c r="E407" t="s">
        <v>276</v>
      </c>
      <c r="F407">
        <v>462</v>
      </c>
      <c r="G407" t="str">
        <f>_xlfn.XLOOKUP(E407,'Base SKUs'!E:E,'Base SKUs'!D:D)</f>
        <v>Hardwoods</v>
      </c>
      <c r="H407" s="10">
        <f>_xlfn.XLOOKUP(E407,'Base SKUs'!E:E,'Base SKUs'!S:S)</f>
        <v>9.7339160159999986E-3</v>
      </c>
      <c r="I407" s="9">
        <f t="shared" si="6"/>
        <v>4.4969999999999999</v>
      </c>
      <c r="J407" t="str">
        <f>_xlfn.XLOOKUP(E407,'Base SKUs'!E:E,'Base SKUs'!G:G)</f>
        <v>Ipe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1x6</v>
      </c>
      <c r="N407">
        <f>_xlfn.XLOOKUP(E407,'Base SKUs'!E:E,'Base SKUs'!K:K)</f>
        <v>12</v>
      </c>
      <c r="O407" t="str">
        <f>_xlfn.XLOOKUP(E407,'Base SKUs'!E:E,'Base SKUs'!C:C)</f>
        <v>Long</v>
      </c>
      <c r="P407" t="s">
        <v>4926</v>
      </c>
    </row>
    <row r="408" spans="1:16" hidden="1" x14ac:dyDescent="0.25">
      <c r="A408" t="s">
        <v>4947</v>
      </c>
      <c r="B408" t="s">
        <v>245</v>
      </c>
      <c r="C408" t="s">
        <v>246</v>
      </c>
      <c r="D408">
        <v>9008</v>
      </c>
      <c r="E408" t="s">
        <v>289</v>
      </c>
      <c r="F408">
        <v>196</v>
      </c>
      <c r="G408" t="str">
        <f>_xlfn.XLOOKUP(E408,'Base SKUs'!E:E,'Base SKUs'!D:D)</f>
        <v>Hardwoods</v>
      </c>
      <c r="H408" s="10">
        <f>_xlfn.XLOOKUP(E408,'Base SKUs'!E:E,'Base SKUs'!S:S)</f>
        <v>1.1356235352E-2</v>
      </c>
      <c r="I408" s="9">
        <f t="shared" si="6"/>
        <v>2.226</v>
      </c>
      <c r="J408" t="str">
        <f>_xlfn.XLOOKUP(E408,'Base SKUs'!E:E,'Base SKUs'!G:G)</f>
        <v>Ipe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14</v>
      </c>
      <c r="O408" t="str">
        <f>_xlfn.XLOOKUP(E408,'Base SKUs'!E:E,'Base SKUs'!C:C)</f>
        <v>Long</v>
      </c>
      <c r="P408" t="s">
        <v>4926</v>
      </c>
    </row>
    <row r="409" spans="1:16" hidden="1" x14ac:dyDescent="0.25">
      <c r="A409" t="s">
        <v>4947</v>
      </c>
      <c r="B409" t="s">
        <v>245</v>
      </c>
      <c r="C409" t="s">
        <v>246</v>
      </c>
      <c r="D409">
        <v>9008</v>
      </c>
      <c r="E409" t="s">
        <v>277</v>
      </c>
      <c r="F409">
        <v>147</v>
      </c>
      <c r="G409" t="str">
        <f>_xlfn.XLOOKUP(E409,'Base SKUs'!E:E,'Base SKUs'!D:D)</f>
        <v>Hardwoods</v>
      </c>
      <c r="H409" s="10">
        <f>_xlfn.XLOOKUP(E409,'Base SKUs'!E:E,'Base SKUs'!S:S)</f>
        <v>1.2978554687999999E-2</v>
      </c>
      <c r="I409" s="9">
        <f t="shared" si="6"/>
        <v>1.9079999999999999</v>
      </c>
      <c r="J409" t="str">
        <f>_xlfn.XLOOKUP(E409,'Base SKUs'!E:E,'Base SKUs'!G:G)</f>
        <v>Ipe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1x6</v>
      </c>
      <c r="N409">
        <f>_xlfn.XLOOKUP(E409,'Base SKUs'!E:E,'Base SKUs'!K:K)</f>
        <v>16</v>
      </c>
      <c r="O409" t="str">
        <f>_xlfn.XLOOKUP(E409,'Base SKUs'!E:E,'Base SKUs'!C:C)</f>
        <v>Long</v>
      </c>
      <c r="P409" t="s">
        <v>4926</v>
      </c>
    </row>
    <row r="410" spans="1:16" hidden="1" x14ac:dyDescent="0.25">
      <c r="A410" t="s">
        <v>4947</v>
      </c>
      <c r="B410" t="s">
        <v>245</v>
      </c>
      <c r="C410" t="s">
        <v>246</v>
      </c>
      <c r="D410">
        <v>9008</v>
      </c>
      <c r="E410" t="s">
        <v>290</v>
      </c>
      <c r="F410">
        <v>112</v>
      </c>
      <c r="G410" t="str">
        <f>_xlfn.XLOOKUP(E410,'Base SKUs'!E:E,'Base SKUs'!D:D)</f>
        <v>Hardwoods</v>
      </c>
      <c r="H410" s="10">
        <f>_xlfn.XLOOKUP(E410,'Base SKUs'!E:E,'Base SKUs'!S:S)</f>
        <v>1.4600874024E-2</v>
      </c>
      <c r="I410" s="9">
        <f t="shared" si="6"/>
        <v>1.635</v>
      </c>
      <c r="J410" t="str">
        <f>_xlfn.XLOOKUP(E410,'Base SKUs'!E:E,'Base SKUs'!G:G)</f>
        <v>Ipe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1x6</v>
      </c>
      <c r="N410">
        <f>_xlfn.XLOOKUP(E410,'Base SKUs'!E:E,'Base SKUs'!K:K)</f>
        <v>18</v>
      </c>
      <c r="O410" t="str">
        <f>_xlfn.XLOOKUP(E410,'Base SKUs'!E:E,'Base SKUs'!C:C)</f>
        <v>Long</v>
      </c>
      <c r="P410" t="s">
        <v>4926</v>
      </c>
    </row>
    <row r="411" spans="1:16" hidden="1" x14ac:dyDescent="0.25">
      <c r="A411" t="s">
        <v>4947</v>
      </c>
      <c r="B411" t="s">
        <v>245</v>
      </c>
      <c r="C411" t="s">
        <v>246</v>
      </c>
      <c r="D411">
        <v>9008</v>
      </c>
      <c r="E411" t="s">
        <v>291</v>
      </c>
      <c r="F411">
        <v>77</v>
      </c>
      <c r="G411" t="str">
        <f>_xlfn.XLOOKUP(E411,'Base SKUs'!E:E,'Base SKUs'!D:D)</f>
        <v>Hardwoods</v>
      </c>
      <c r="H411" s="10">
        <f>_xlfn.XLOOKUP(E411,'Base SKUs'!E:E,'Base SKUs'!S:S)</f>
        <v>1.6223193359999999E-2</v>
      </c>
      <c r="I411" s="9">
        <f t="shared" si="6"/>
        <v>1.2490000000000001</v>
      </c>
      <c r="J411" t="str">
        <f>_xlfn.XLOOKUP(E411,'Base SKUs'!E:E,'Base SKUs'!G:G)</f>
        <v>Ipe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1x6</v>
      </c>
      <c r="N411">
        <f>_xlfn.XLOOKUP(E411,'Base SKUs'!E:E,'Base SKUs'!K:K)</f>
        <v>20</v>
      </c>
      <c r="O411" t="str">
        <f>_xlfn.XLOOKUP(E411,'Base SKUs'!E:E,'Base SKUs'!C:C)</f>
        <v>Long</v>
      </c>
      <c r="P411" t="s">
        <v>4926</v>
      </c>
    </row>
    <row r="412" spans="1:16" hidden="1" x14ac:dyDescent="0.25">
      <c r="A412" t="s">
        <v>4947</v>
      </c>
      <c r="B412" t="s">
        <v>245</v>
      </c>
      <c r="C412" t="s">
        <v>246</v>
      </c>
      <c r="D412">
        <v>9008</v>
      </c>
      <c r="E412" t="s">
        <v>292</v>
      </c>
      <c r="F412">
        <v>63</v>
      </c>
      <c r="G412" t="str">
        <f>_xlfn.XLOOKUP(E412,'Base SKUs'!E:E,'Base SKUs'!D:D)</f>
        <v>Hardwoods</v>
      </c>
      <c r="H412" s="10">
        <f>_xlfn.XLOOKUP(E412,'Base SKUs'!E:E,'Base SKUs'!S:S)</f>
        <v>1.7845512695999998E-2</v>
      </c>
      <c r="I412" s="9">
        <f t="shared" si="6"/>
        <v>1.1240000000000001</v>
      </c>
      <c r="J412" t="str">
        <f>_xlfn.XLOOKUP(E412,'Base SKUs'!E:E,'Base SKUs'!G:G)</f>
        <v>Ipe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1x6</v>
      </c>
      <c r="N412">
        <f>_xlfn.XLOOKUP(E412,'Base SKUs'!E:E,'Base SKUs'!K:K)</f>
        <v>22</v>
      </c>
      <c r="O412" t="str">
        <f>_xlfn.XLOOKUP(E412,'Base SKUs'!E:E,'Base SKUs'!C:C)</f>
        <v>Long</v>
      </c>
      <c r="P412" t="s">
        <v>4926</v>
      </c>
    </row>
    <row r="413" spans="1:16" hidden="1" x14ac:dyDescent="0.25">
      <c r="A413" t="s">
        <v>4948</v>
      </c>
      <c r="B413" t="s">
        <v>19</v>
      </c>
      <c r="C413" t="s">
        <v>266</v>
      </c>
      <c r="D413">
        <v>9007</v>
      </c>
      <c r="E413" t="s">
        <v>11</v>
      </c>
      <c r="F413">
        <v>406</v>
      </c>
      <c r="G413" t="str">
        <f>_xlfn.XLOOKUP(E413,'Base SKUs'!E:E,'Base SKUs'!D:D)</f>
        <v>Hardwoods</v>
      </c>
      <c r="H413" s="10">
        <f>_xlfn.XLOOKUP(E413,'Base SKUs'!E:E,'Base SKUs'!S:S)</f>
        <v>6.4892773439999994E-3</v>
      </c>
      <c r="I413" s="9">
        <f t="shared" si="6"/>
        <v>2.6349999999999998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1x6</v>
      </c>
      <c r="N413">
        <f>_xlfn.XLOOKUP(E413,'Base SKUs'!E:E,'Base SKUs'!K:K)</f>
        <v>8</v>
      </c>
      <c r="O413" t="str">
        <f>_xlfn.XLOOKUP(E413,'Base SKUs'!E:E,'Base SKUs'!C:C)</f>
        <v>Long</v>
      </c>
      <c r="P413" t="s">
        <v>4926</v>
      </c>
    </row>
    <row r="414" spans="1:16" hidden="1" x14ac:dyDescent="0.25">
      <c r="A414" t="s">
        <v>4948</v>
      </c>
      <c r="B414" t="s">
        <v>19</v>
      </c>
      <c r="C414" t="s">
        <v>266</v>
      </c>
      <c r="D414">
        <v>9007</v>
      </c>
      <c r="E414" t="s">
        <v>288</v>
      </c>
      <c r="F414">
        <v>406</v>
      </c>
      <c r="G414" t="str">
        <f>_xlfn.XLOOKUP(E414,'Base SKUs'!E:E,'Base SKUs'!D:D)</f>
        <v>Hardwoods</v>
      </c>
      <c r="H414" s="10">
        <f>_xlfn.XLOOKUP(E414,'Base SKUs'!E:E,'Base SKUs'!S:S)</f>
        <v>8.1115966799999994E-3</v>
      </c>
      <c r="I414" s="9">
        <f t="shared" si="6"/>
        <v>3.2930000000000001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1x6</v>
      </c>
      <c r="N414">
        <f>_xlfn.XLOOKUP(E414,'Base SKUs'!E:E,'Base SKUs'!K:K)</f>
        <v>10</v>
      </c>
      <c r="O414" t="str">
        <f>_xlfn.XLOOKUP(E414,'Base SKUs'!E:E,'Base SKUs'!C:C)</f>
        <v>Long</v>
      </c>
      <c r="P414" t="s">
        <v>4926</v>
      </c>
    </row>
    <row r="415" spans="1:16" hidden="1" x14ac:dyDescent="0.25">
      <c r="A415" t="s">
        <v>4948</v>
      </c>
      <c r="B415" t="s">
        <v>19</v>
      </c>
      <c r="C415" t="s">
        <v>266</v>
      </c>
      <c r="D415">
        <v>9007</v>
      </c>
      <c r="E415" t="s">
        <v>276</v>
      </c>
      <c r="F415">
        <v>406</v>
      </c>
      <c r="G415" t="str">
        <f>_xlfn.XLOOKUP(E415,'Base SKUs'!E:E,'Base SKUs'!D:D)</f>
        <v>Hardwoods</v>
      </c>
      <c r="H415" s="10">
        <f>_xlfn.XLOOKUP(E415,'Base SKUs'!E:E,'Base SKUs'!S:S)</f>
        <v>9.7339160159999986E-3</v>
      </c>
      <c r="I415" s="9">
        <f t="shared" si="6"/>
        <v>3.952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1x6</v>
      </c>
      <c r="N415">
        <f>_xlfn.XLOOKUP(E415,'Base SKUs'!E:E,'Base SKUs'!K:K)</f>
        <v>12</v>
      </c>
      <c r="O415" t="str">
        <f>_xlfn.XLOOKUP(E415,'Base SKUs'!E:E,'Base SKUs'!C:C)</f>
        <v>Long</v>
      </c>
      <c r="P415" t="s">
        <v>4926</v>
      </c>
    </row>
    <row r="416" spans="1:16" hidden="1" x14ac:dyDescent="0.25">
      <c r="A416" t="s">
        <v>4949</v>
      </c>
      <c r="B416" t="s">
        <v>340</v>
      </c>
      <c r="C416" t="s">
        <v>341</v>
      </c>
      <c r="D416">
        <v>9009</v>
      </c>
      <c r="E416" t="s">
        <v>3904</v>
      </c>
      <c r="F416">
        <v>10</v>
      </c>
      <c r="G416" t="str">
        <f>_xlfn.XLOOKUP(E416,'Base SKUs'!E:E,'Base SKUs'!D:D)</f>
        <v>Thermowood</v>
      </c>
      <c r="H416" s="10">
        <f>_xlfn.XLOOKUP(E416,'Base SKUs'!E:E,'Base SKUs'!S:S)</f>
        <v>1.3439999999999999E-2</v>
      </c>
      <c r="I416" s="9">
        <f t="shared" si="6"/>
        <v>0.13400000000000001</v>
      </c>
      <c r="J416" t="str">
        <f>_xlfn.XLOOKUP(E416,'Base SKUs'!E:E,'Base SKUs'!G:G)</f>
        <v>Maximo Thermo Ayous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2x6</v>
      </c>
      <c r="N416">
        <f>_xlfn.XLOOKUP(E416,'Base SKUs'!E:E,'Base SKUs'!K:K)</f>
        <v>8</v>
      </c>
      <c r="O416" t="str">
        <f>_xlfn.XLOOKUP(E416,'Base SKUs'!E:E,'Base SKUs'!C:C)</f>
        <v>Long</v>
      </c>
      <c r="P416" t="s">
        <v>4926</v>
      </c>
    </row>
    <row r="417" spans="1:16" hidden="1" x14ac:dyDescent="0.25">
      <c r="A417" t="s">
        <v>4949</v>
      </c>
      <c r="B417" t="s">
        <v>340</v>
      </c>
      <c r="C417" t="s">
        <v>341</v>
      </c>
      <c r="D417">
        <v>9009</v>
      </c>
      <c r="E417" t="s">
        <v>3918</v>
      </c>
      <c r="F417">
        <v>5</v>
      </c>
      <c r="G417" t="str">
        <f>_xlfn.XLOOKUP(E417,'Base SKUs'!E:E,'Base SKUs'!D:D)</f>
        <v>Thermowood</v>
      </c>
      <c r="H417" s="10">
        <f>_xlfn.XLOOKUP(E417,'Base SKUs'!E:E,'Base SKUs'!S:S)</f>
        <v>5.3999999999999994E-3</v>
      </c>
      <c r="I417" s="9">
        <f t="shared" si="6"/>
        <v>2.7E-2</v>
      </c>
      <c r="J417" t="str">
        <f>_xlfn.XLOOKUP(E417,'Base SKUs'!E:E,'Base SKUs'!G:G)</f>
        <v>Maximo Thermo Ayous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5/4x4</v>
      </c>
      <c r="N417">
        <f>_xlfn.XLOOKUP(E417,'Base SKUs'!E:E,'Base SKUs'!K:K)</f>
        <v>8</v>
      </c>
      <c r="O417" t="str">
        <f>_xlfn.XLOOKUP(E417,'Base SKUs'!E:E,'Base SKUs'!C:C)</f>
        <v>Long</v>
      </c>
      <c r="P417" t="s">
        <v>4926</v>
      </c>
    </row>
    <row r="418" spans="1:16" hidden="1" x14ac:dyDescent="0.25">
      <c r="A418" t="s">
        <v>4950</v>
      </c>
      <c r="B418" t="s">
        <v>19</v>
      </c>
      <c r="C418" t="s">
        <v>4951</v>
      </c>
      <c r="D418">
        <v>9011</v>
      </c>
      <c r="E418" t="s">
        <v>4317</v>
      </c>
      <c r="F418">
        <v>17</v>
      </c>
      <c r="G418" t="str">
        <f>_xlfn.XLOOKUP(E418,'Base SKUs'!E:E,'Base SKUs'!D:D)</f>
        <v>Thermowood</v>
      </c>
      <c r="H418" s="10">
        <f>_xlfn.XLOOKUP(E418,'Base SKUs'!E:E,'Base SKUs'!S:S)</f>
        <v>1.026E-2</v>
      </c>
      <c r="I418" s="9">
        <f t="shared" si="6"/>
        <v>0.17399999999999999</v>
      </c>
      <c r="J418" t="str">
        <f>_xlfn.XLOOKUP(E418,'Base SKUs'!E:E,'Base SKUs'!G:G)</f>
        <v>Maximo Thermo Ayous</v>
      </c>
      <c r="K418" t="str">
        <f>_xlfn.XLOOKUP(E418,'Base SKUs'!E:E,'Base SKUs'!H:H)</f>
        <v>VJoint - Nickel Gap</v>
      </c>
      <c r="L418" t="str">
        <f>_xlfn.XLOOKUP(E418,'Base SKUs'!E:E,'Base SKUs'!I:I)</f>
        <v>-</v>
      </c>
      <c r="M418" t="str">
        <f>_xlfn.XLOOKUP(E418,'Base SKUs'!E:E,'Base SKUs'!J:J)</f>
        <v>1x6 Plus</v>
      </c>
      <c r="N418">
        <f>_xlfn.XLOOKUP(E418,'Base SKUs'!E:E,'Base SKUs'!K:K)</f>
        <v>12</v>
      </c>
      <c r="O418" t="str">
        <f>_xlfn.XLOOKUP(E418,'Base SKUs'!E:E,'Base SKUs'!C:C)</f>
        <v>Long</v>
      </c>
      <c r="P418" t="s">
        <v>4927</v>
      </c>
    </row>
    <row r="419" spans="1:16" hidden="1" x14ac:dyDescent="0.25">
      <c r="A419" t="s">
        <v>4950</v>
      </c>
      <c r="B419" t="s">
        <v>19</v>
      </c>
      <c r="C419" t="s">
        <v>4951</v>
      </c>
      <c r="D419">
        <v>9011</v>
      </c>
      <c r="E419" t="s">
        <v>4330</v>
      </c>
      <c r="F419">
        <v>56</v>
      </c>
      <c r="G419" t="str">
        <f>_xlfn.XLOOKUP(E419,'Base SKUs'!E:E,'Base SKUs'!D:D)</f>
        <v>Thermowood</v>
      </c>
      <c r="H419" s="10">
        <f>_xlfn.XLOOKUP(E419,'Base SKUs'!E:E,'Base SKUs'!S:S)</f>
        <v>6.8399999999999997E-3</v>
      </c>
      <c r="I419" s="9">
        <f t="shared" si="6"/>
        <v>0.38300000000000001</v>
      </c>
      <c r="J419" t="str">
        <f>_xlfn.XLOOKUP(E419,'Base SKUs'!E:E,'Base SKUs'!G:G)</f>
        <v>Maximo Thermo Ayous</v>
      </c>
      <c r="K419" t="str">
        <f>_xlfn.XLOOKUP(E419,'Base SKUs'!E:E,'Base SKUs'!H:H)</f>
        <v>VJoint - Nickel Gap</v>
      </c>
      <c r="L419" t="str">
        <f>_xlfn.XLOOKUP(E419,'Base SKUs'!E:E,'Base SKUs'!I:I)</f>
        <v>-</v>
      </c>
      <c r="M419" t="str">
        <f>_xlfn.XLOOKUP(E419,'Base SKUs'!E:E,'Base SKUs'!J:J)</f>
        <v>1x6 Plus</v>
      </c>
      <c r="N419">
        <f>_xlfn.XLOOKUP(E419,'Base SKUs'!E:E,'Base SKUs'!K:K)</f>
        <v>8</v>
      </c>
      <c r="O419" t="str">
        <f>_xlfn.XLOOKUP(E419,'Base SKUs'!E:E,'Base SKUs'!C:C)</f>
        <v>Long</v>
      </c>
      <c r="P419" t="s">
        <v>4927</v>
      </c>
    </row>
    <row r="420" spans="1:16" hidden="1" x14ac:dyDescent="0.25">
      <c r="A420" t="s">
        <v>4950</v>
      </c>
      <c r="B420" t="s">
        <v>19</v>
      </c>
      <c r="C420" t="s">
        <v>4951</v>
      </c>
      <c r="D420">
        <v>9011</v>
      </c>
      <c r="E420" t="s">
        <v>3979</v>
      </c>
      <c r="F420">
        <v>7</v>
      </c>
      <c r="G420" t="str">
        <f>_xlfn.XLOOKUP(E420,'Base SKUs'!E:E,'Base SKUs'!D:D)</f>
        <v>Thermowood</v>
      </c>
      <c r="H420" s="10">
        <f>_xlfn.XLOOKUP(E420,'Base SKUs'!E:E,'Base SKUs'!S:S)</f>
        <v>3.192E-3</v>
      </c>
      <c r="I420" s="9">
        <f t="shared" si="6"/>
        <v>2.1999999999999999E-2</v>
      </c>
      <c r="J420" t="str">
        <f>_xlfn.XLOOKUP(E420,'Base SKUs'!E:E,'Base SKUs'!G:G)</f>
        <v>Maximo Thermo Ayous</v>
      </c>
      <c r="K420" t="str">
        <f>_xlfn.XLOOKUP(E420,'Base SKUs'!E:E,'Base SKUs'!H:H)</f>
        <v>VJoint - Nickel Gap</v>
      </c>
      <c r="L420" t="str">
        <f>_xlfn.XLOOKUP(E420,'Base SKUs'!E:E,'Base SKUs'!I:I)</f>
        <v>Pre Finished - Hemel</v>
      </c>
      <c r="M420" t="str">
        <f>_xlfn.XLOOKUP(E420,'Base SKUs'!E:E,'Base SKUs'!J:J)</f>
        <v>1x6</v>
      </c>
      <c r="N420">
        <f>_xlfn.XLOOKUP(E420,'Base SKUs'!E:E,'Base SKUs'!K:K)</f>
        <v>4</v>
      </c>
      <c r="O420" t="str">
        <f>_xlfn.XLOOKUP(E420,'Base SKUs'!E:E,'Base SKUs'!C:C)</f>
        <v>Short</v>
      </c>
      <c r="P420" t="s">
        <v>4927</v>
      </c>
    </row>
    <row r="421" spans="1:16" hidden="1" x14ac:dyDescent="0.25">
      <c r="A421" t="s">
        <v>4950</v>
      </c>
      <c r="B421" t="s">
        <v>19</v>
      </c>
      <c r="C421" t="s">
        <v>4951</v>
      </c>
      <c r="D421">
        <v>9011</v>
      </c>
      <c r="E421" t="s">
        <v>3982</v>
      </c>
      <c r="F421">
        <v>77</v>
      </c>
      <c r="G421" t="str">
        <f>_xlfn.XLOOKUP(E421,'Base SKUs'!E:E,'Base SKUs'!D:D)</f>
        <v>Thermowood</v>
      </c>
      <c r="H421" s="10">
        <f>_xlfn.XLOOKUP(E421,'Base SKUs'!E:E,'Base SKUs'!S:S)</f>
        <v>5.5859999999999998E-3</v>
      </c>
      <c r="I421" s="9">
        <f t="shared" si="6"/>
        <v>0.43</v>
      </c>
      <c r="J421" t="str">
        <f>_xlfn.XLOOKUP(E421,'Base SKUs'!E:E,'Base SKUs'!G:G)</f>
        <v>Maximo Thermo Ayous</v>
      </c>
      <c r="K421" t="str">
        <f>_xlfn.XLOOKUP(E421,'Base SKUs'!E:E,'Base SKUs'!H:H)</f>
        <v>VJoint - Nickel Gap</v>
      </c>
      <c r="L421" t="str">
        <f>_xlfn.XLOOKUP(E421,'Base SKUs'!E:E,'Base SKUs'!I:I)</f>
        <v>Pre Finished - Hemel</v>
      </c>
      <c r="M421" t="str">
        <f>_xlfn.XLOOKUP(E421,'Base SKUs'!E:E,'Base SKUs'!J:J)</f>
        <v>1x6</v>
      </c>
      <c r="N421">
        <f>_xlfn.XLOOKUP(E421,'Base SKUs'!E:E,'Base SKUs'!K:K)</f>
        <v>7</v>
      </c>
      <c r="O421" t="str">
        <f>_xlfn.XLOOKUP(E421,'Base SKUs'!E:E,'Base SKUs'!C:C)</f>
        <v>Short</v>
      </c>
      <c r="P421" t="s">
        <v>4927</v>
      </c>
    </row>
    <row r="422" spans="1:16" hidden="1" x14ac:dyDescent="0.25">
      <c r="A422" t="s">
        <v>4950</v>
      </c>
      <c r="B422" t="s">
        <v>19</v>
      </c>
      <c r="C422" t="s">
        <v>4951</v>
      </c>
      <c r="D422">
        <v>9011</v>
      </c>
      <c r="E422" t="s">
        <v>242</v>
      </c>
      <c r="F422">
        <v>70</v>
      </c>
      <c r="G422" t="str">
        <f>_xlfn.XLOOKUP(E422,'Base SKUs'!E:E,'Base SKUs'!D:D)</f>
        <v>Thermowood</v>
      </c>
      <c r="H422" s="10">
        <f>_xlfn.XLOOKUP(E422,'Base SKUs'!E:E,'Base SKUs'!S:S)</f>
        <v>6.3839999999999999E-3</v>
      </c>
      <c r="I422" s="9">
        <f t="shared" si="6"/>
        <v>0.44700000000000001</v>
      </c>
      <c r="J422" t="str">
        <f>_xlfn.XLOOKUP(E422,'Base SKUs'!E:E,'Base SKUs'!G:G)</f>
        <v>Maximo Thermo Ayous</v>
      </c>
      <c r="K422" t="str">
        <f>_xlfn.XLOOKUP(E422,'Base SKUs'!E:E,'Base SKUs'!H:H)</f>
        <v>VJoint - Nickel Gap</v>
      </c>
      <c r="L422" t="str">
        <f>_xlfn.XLOOKUP(E422,'Base SKUs'!E:E,'Base SKUs'!I:I)</f>
        <v>Pre Finished - Hemel</v>
      </c>
      <c r="M422" t="str">
        <f>_xlfn.XLOOKUP(E422,'Base SKUs'!E:E,'Base SKUs'!J:J)</f>
        <v>1x6</v>
      </c>
      <c r="N422">
        <f>_xlfn.XLOOKUP(E422,'Base SKUs'!E:E,'Base SKUs'!K:K)</f>
        <v>8</v>
      </c>
      <c r="O422" t="str">
        <f>_xlfn.XLOOKUP(E422,'Base SKUs'!E:E,'Base SKUs'!C:C)</f>
        <v>Long</v>
      </c>
      <c r="P422" t="s">
        <v>4927</v>
      </c>
    </row>
    <row r="423" spans="1:16" hidden="1" x14ac:dyDescent="0.25">
      <c r="A423" t="s">
        <v>4950</v>
      </c>
      <c r="B423" t="s">
        <v>19</v>
      </c>
      <c r="C423" t="s">
        <v>4951</v>
      </c>
      <c r="D423">
        <v>9011</v>
      </c>
      <c r="E423" t="s">
        <v>241</v>
      </c>
      <c r="F423">
        <v>245</v>
      </c>
      <c r="G423" t="str">
        <f>_xlfn.XLOOKUP(E423,'Base SKUs'!E:E,'Base SKUs'!D:D)</f>
        <v>Thermowood</v>
      </c>
      <c r="H423" s="10">
        <f>_xlfn.XLOOKUP(E423,'Base SKUs'!E:E,'Base SKUs'!S:S)</f>
        <v>1.1172E-2</v>
      </c>
      <c r="I423" s="9">
        <f t="shared" si="6"/>
        <v>2.7370000000000001</v>
      </c>
      <c r="J423" t="str">
        <f>_xlfn.XLOOKUP(E423,'Base SKUs'!E:E,'Base SKUs'!G:G)</f>
        <v>Maximo Thermo Ayous</v>
      </c>
      <c r="K423" t="str">
        <f>_xlfn.XLOOKUP(E423,'Base SKUs'!E:E,'Base SKUs'!H:H)</f>
        <v>VJoint - Nickel Gap</v>
      </c>
      <c r="L423" t="str">
        <f>_xlfn.XLOOKUP(E423,'Base SKUs'!E:E,'Base SKUs'!I:I)</f>
        <v>Pre Finished - Hemel</v>
      </c>
      <c r="M423" t="str">
        <f>_xlfn.XLOOKUP(E423,'Base SKUs'!E:E,'Base SKUs'!J:J)</f>
        <v>1x6</v>
      </c>
      <c r="N423">
        <f>_xlfn.XLOOKUP(E423,'Base SKUs'!E:E,'Base SKUs'!K:K)</f>
        <v>14</v>
      </c>
      <c r="O423" t="str">
        <f>_xlfn.XLOOKUP(E423,'Base SKUs'!E:E,'Base SKUs'!C:C)</f>
        <v>Long</v>
      </c>
      <c r="P423" t="s">
        <v>4927</v>
      </c>
    </row>
    <row r="424" spans="1:16" hidden="1" x14ac:dyDescent="0.25">
      <c r="A424" t="s">
        <v>4950</v>
      </c>
      <c r="B424" t="s">
        <v>19</v>
      </c>
      <c r="C424" t="s">
        <v>4951</v>
      </c>
      <c r="D424">
        <v>9011</v>
      </c>
      <c r="E424" t="s">
        <v>3976</v>
      </c>
      <c r="F424">
        <v>84</v>
      </c>
      <c r="G424" t="str">
        <f>_xlfn.XLOOKUP(E424,'Base SKUs'!E:E,'Base SKUs'!D:D)</f>
        <v>Thermowood</v>
      </c>
      <c r="H424" s="10">
        <f>_xlfn.XLOOKUP(E424,'Base SKUs'!E:E,'Base SKUs'!S:S)</f>
        <v>1.2768E-2</v>
      </c>
      <c r="I424" s="9">
        <f t="shared" si="6"/>
        <v>1.073</v>
      </c>
      <c r="J424" t="str">
        <f>_xlfn.XLOOKUP(E424,'Base SKUs'!E:E,'Base SKUs'!G:G)</f>
        <v>Maximo Thermo Ayous</v>
      </c>
      <c r="K424" t="str">
        <f>_xlfn.XLOOKUP(E424,'Base SKUs'!E:E,'Base SKUs'!H:H)</f>
        <v>VJoint - Nickel Gap</v>
      </c>
      <c r="L424" t="str">
        <f>_xlfn.XLOOKUP(E424,'Base SKUs'!E:E,'Base SKUs'!I:I)</f>
        <v>Pre Finished - Hemel</v>
      </c>
      <c r="M424" t="str">
        <f>_xlfn.XLOOKUP(E424,'Base SKUs'!E:E,'Base SKUs'!J:J)</f>
        <v>1x6</v>
      </c>
      <c r="N424">
        <f>_xlfn.XLOOKUP(E424,'Base SKUs'!E:E,'Base SKUs'!K:K)</f>
        <v>16</v>
      </c>
      <c r="O424" t="str">
        <f>_xlfn.XLOOKUP(E424,'Base SKUs'!E:E,'Base SKUs'!C:C)</f>
        <v>Long</v>
      </c>
      <c r="P424" t="s">
        <v>4927</v>
      </c>
    </row>
    <row r="425" spans="1:16" hidden="1" x14ac:dyDescent="0.25">
      <c r="A425" t="s">
        <v>4950</v>
      </c>
      <c r="B425" t="s">
        <v>19</v>
      </c>
      <c r="C425" t="s">
        <v>4951</v>
      </c>
      <c r="D425">
        <v>9011</v>
      </c>
      <c r="E425" t="s">
        <v>112</v>
      </c>
      <c r="F425">
        <v>3</v>
      </c>
      <c r="G425" t="str">
        <f>_xlfn.XLOOKUP(E425,'Base SKUs'!E:E,'Base SKUs'!D:D)</f>
        <v>Thermowood</v>
      </c>
      <c r="H425" s="10">
        <f>_xlfn.XLOOKUP(E425,'Base SKUs'!E:E,'Base SKUs'!S:S)</f>
        <v>6.3839999999999999E-3</v>
      </c>
      <c r="I425" s="9">
        <f t="shared" si="6"/>
        <v>1.9E-2</v>
      </c>
      <c r="J425" t="str">
        <f>_xlfn.XLOOKUP(E425,'Base SKUs'!E:E,'Base SKUs'!G:G)</f>
        <v>Maximo Thermo Ayous Dark</v>
      </c>
      <c r="K425" t="str">
        <f>_xlfn.XLOOKUP(E425,'Base SKUs'!E:E,'Base SKUs'!H:H)</f>
        <v>VJoint - Square Back</v>
      </c>
      <c r="L425" t="str">
        <f>_xlfn.XLOOKUP(E425,'Base SKUs'!E:E,'Base SKUs'!I:I)</f>
        <v>-</v>
      </c>
      <c r="M425" t="str">
        <f>_xlfn.XLOOKUP(E425,'Base SKUs'!E:E,'Base SKUs'!J:J)</f>
        <v>1x6</v>
      </c>
      <c r="N425">
        <f>_xlfn.XLOOKUP(E425,'Base SKUs'!E:E,'Base SKUs'!K:K)</f>
        <v>8</v>
      </c>
      <c r="O425" t="str">
        <f>_xlfn.XLOOKUP(E425,'Base SKUs'!E:E,'Base SKUs'!C:C)</f>
        <v>Long</v>
      </c>
      <c r="P425" t="s">
        <v>4927</v>
      </c>
    </row>
    <row r="426" spans="1:16" hidden="1" x14ac:dyDescent="0.25">
      <c r="A426" t="s">
        <v>4950</v>
      </c>
      <c r="B426" t="s">
        <v>19</v>
      </c>
      <c r="C426" t="s">
        <v>4951</v>
      </c>
      <c r="D426">
        <v>9011</v>
      </c>
      <c r="E426" t="s">
        <v>3490</v>
      </c>
      <c r="F426">
        <v>218</v>
      </c>
      <c r="G426" t="str">
        <f>_xlfn.XLOOKUP(E426,'Base SKUs'!E:E,'Base SKUs'!D:D)</f>
        <v>Thermowood</v>
      </c>
      <c r="H426" s="10">
        <f>_xlfn.XLOOKUP(E426,'Base SKUs'!E:E,'Base SKUs'!S:S)</f>
        <v>7.182E-3</v>
      </c>
      <c r="I426" s="9">
        <f t="shared" si="6"/>
        <v>1.5660000000000001</v>
      </c>
      <c r="J426" t="str">
        <f>_xlfn.XLOOKUP(E426,'Base SKUs'!E:E,'Base SKUs'!G:G)</f>
        <v>Maximo Thermo Ayous Dark</v>
      </c>
      <c r="K426" t="str">
        <f>_xlfn.XLOOKUP(E426,'Base SKUs'!E:E,'Base SKUs'!H:H)</f>
        <v>VJoint - Square Back</v>
      </c>
      <c r="L426" t="str">
        <f>_xlfn.XLOOKUP(E426,'Base SKUs'!E:E,'Base SKUs'!I:I)</f>
        <v>-</v>
      </c>
      <c r="M426" t="str">
        <f>_xlfn.XLOOKUP(E426,'Base SKUs'!E:E,'Base SKUs'!J:J)</f>
        <v>1x6</v>
      </c>
      <c r="N426">
        <f>_xlfn.XLOOKUP(E426,'Base SKUs'!E:E,'Base SKUs'!K:K)</f>
        <v>9</v>
      </c>
      <c r="O426" t="str">
        <f>_xlfn.XLOOKUP(E426,'Base SKUs'!E:E,'Base SKUs'!C:C)</f>
        <v>Long</v>
      </c>
      <c r="P426" t="s">
        <v>4927</v>
      </c>
    </row>
    <row r="427" spans="1:16" hidden="1" x14ac:dyDescent="0.25">
      <c r="A427" t="s">
        <v>4950</v>
      </c>
      <c r="B427" t="s">
        <v>19</v>
      </c>
      <c r="C427" t="s">
        <v>4951</v>
      </c>
      <c r="D427">
        <v>9011</v>
      </c>
      <c r="E427" t="s">
        <v>89</v>
      </c>
      <c r="F427">
        <v>445</v>
      </c>
      <c r="G427" t="str">
        <f>_xlfn.XLOOKUP(E427,'Base SKUs'!E:E,'Base SKUs'!D:D)</f>
        <v>Thermowood</v>
      </c>
      <c r="H427" s="10">
        <f>_xlfn.XLOOKUP(E427,'Base SKUs'!E:E,'Base SKUs'!S:S)</f>
        <v>7.980000000000001E-3</v>
      </c>
      <c r="I427" s="9">
        <f t="shared" si="6"/>
        <v>3.5510000000000002</v>
      </c>
      <c r="J427" t="str">
        <f>_xlfn.XLOOKUP(E427,'Base SKUs'!E:E,'Base SKUs'!G:G)</f>
        <v>Maximo Thermo Ayous Dark</v>
      </c>
      <c r="K427" t="str">
        <f>_xlfn.XLOOKUP(E427,'Base SKUs'!E:E,'Base SKUs'!H:H)</f>
        <v>VJoint - Square Back</v>
      </c>
      <c r="L427" t="str">
        <f>_xlfn.XLOOKUP(E427,'Base SKUs'!E:E,'Base SKUs'!I:I)</f>
        <v>-</v>
      </c>
      <c r="M427" t="str">
        <f>_xlfn.XLOOKUP(E427,'Base SKUs'!E:E,'Base SKUs'!J:J)</f>
        <v>1x6</v>
      </c>
      <c r="N427">
        <f>_xlfn.XLOOKUP(E427,'Base SKUs'!E:E,'Base SKUs'!K:K)</f>
        <v>10</v>
      </c>
      <c r="O427" t="str">
        <f>_xlfn.XLOOKUP(E427,'Base SKUs'!E:E,'Base SKUs'!C:C)</f>
        <v>Long</v>
      </c>
      <c r="P427" t="s">
        <v>4927</v>
      </c>
    </row>
    <row r="428" spans="1:16" hidden="1" x14ac:dyDescent="0.25">
      <c r="A428" t="s">
        <v>4950</v>
      </c>
      <c r="B428" t="s">
        <v>19</v>
      </c>
      <c r="C428" t="s">
        <v>4951</v>
      </c>
      <c r="D428">
        <v>9011</v>
      </c>
      <c r="E428" t="s">
        <v>105</v>
      </c>
      <c r="F428">
        <v>417</v>
      </c>
      <c r="G428" t="str">
        <f>_xlfn.XLOOKUP(E428,'Base SKUs'!E:E,'Base SKUs'!D:D)</f>
        <v>Thermowood</v>
      </c>
      <c r="H428" s="10">
        <f>_xlfn.XLOOKUP(E428,'Base SKUs'!E:E,'Base SKUs'!S:S)</f>
        <v>8.7779999999999993E-3</v>
      </c>
      <c r="I428" s="9">
        <f t="shared" si="6"/>
        <v>3.66</v>
      </c>
      <c r="J428" t="str">
        <f>_xlfn.XLOOKUP(E428,'Base SKUs'!E:E,'Base SKUs'!G:G)</f>
        <v>Maximo Thermo Ayous Dark</v>
      </c>
      <c r="K428" t="str">
        <f>_xlfn.XLOOKUP(E428,'Base SKUs'!E:E,'Base SKUs'!H:H)</f>
        <v>VJoint - Square Back</v>
      </c>
      <c r="L428" t="str">
        <f>_xlfn.XLOOKUP(E428,'Base SKUs'!E:E,'Base SKUs'!I:I)</f>
        <v>-</v>
      </c>
      <c r="M428" t="str">
        <f>_xlfn.XLOOKUP(E428,'Base SKUs'!E:E,'Base SKUs'!J:J)</f>
        <v>1x6</v>
      </c>
      <c r="N428">
        <f>_xlfn.XLOOKUP(E428,'Base SKUs'!E:E,'Base SKUs'!K:K)</f>
        <v>11</v>
      </c>
      <c r="O428" t="str">
        <f>_xlfn.XLOOKUP(E428,'Base SKUs'!E:E,'Base SKUs'!C:C)</f>
        <v>Long</v>
      </c>
      <c r="P428" t="s">
        <v>4927</v>
      </c>
    </row>
    <row r="429" spans="1:16" hidden="1" x14ac:dyDescent="0.25">
      <c r="A429" t="s">
        <v>4950</v>
      </c>
      <c r="B429" t="s">
        <v>19</v>
      </c>
      <c r="C429" t="s">
        <v>4951</v>
      </c>
      <c r="D429">
        <v>9011</v>
      </c>
      <c r="E429" t="s">
        <v>345</v>
      </c>
      <c r="F429">
        <v>214</v>
      </c>
      <c r="G429" t="str">
        <f>_xlfn.XLOOKUP(E429,'Base SKUs'!E:E,'Base SKUs'!D:D)</f>
        <v>Thermowood</v>
      </c>
      <c r="H429" s="10">
        <f>_xlfn.XLOOKUP(E429,'Base SKUs'!E:E,'Base SKUs'!S:S)</f>
        <v>9.5760000000000012E-3</v>
      </c>
      <c r="I429" s="9">
        <f t="shared" si="6"/>
        <v>2.0489999999999999</v>
      </c>
      <c r="J429" t="str">
        <f>_xlfn.XLOOKUP(E429,'Base SKUs'!E:E,'Base SKUs'!G:G)</f>
        <v>Maximo Thermo Ayous Dark</v>
      </c>
      <c r="K429" t="str">
        <f>_xlfn.XLOOKUP(E429,'Base SKUs'!E:E,'Base SKUs'!H:H)</f>
        <v>VJoint - Square Back</v>
      </c>
      <c r="L429" t="str">
        <f>_xlfn.XLOOKUP(E429,'Base SKUs'!E:E,'Base SKUs'!I:I)</f>
        <v>-</v>
      </c>
      <c r="M429" t="str">
        <f>_xlfn.XLOOKUP(E429,'Base SKUs'!E:E,'Base SKUs'!J:J)</f>
        <v>1x6</v>
      </c>
      <c r="N429">
        <f>_xlfn.XLOOKUP(E429,'Base SKUs'!E:E,'Base SKUs'!K:K)</f>
        <v>12</v>
      </c>
      <c r="O429" t="str">
        <f>_xlfn.XLOOKUP(E429,'Base SKUs'!E:E,'Base SKUs'!C:C)</f>
        <v>Long</v>
      </c>
      <c r="P429" t="s">
        <v>4927</v>
      </c>
    </row>
    <row r="430" spans="1:16" hidden="1" x14ac:dyDescent="0.25">
      <c r="A430" t="s">
        <v>4950</v>
      </c>
      <c r="B430" t="s">
        <v>19</v>
      </c>
      <c r="C430" t="s">
        <v>4951</v>
      </c>
      <c r="D430">
        <v>9011</v>
      </c>
      <c r="E430" t="s">
        <v>106</v>
      </c>
      <c r="F430">
        <v>139</v>
      </c>
      <c r="G430" t="str">
        <f>_xlfn.XLOOKUP(E430,'Base SKUs'!E:E,'Base SKUs'!D:D)</f>
        <v>Thermowood</v>
      </c>
      <c r="H430" s="10">
        <f>_xlfn.XLOOKUP(E430,'Base SKUs'!E:E,'Base SKUs'!S:S)</f>
        <v>1.0374000000000001E-2</v>
      </c>
      <c r="I430" s="9">
        <f t="shared" si="6"/>
        <v>1.4419999999999999</v>
      </c>
      <c r="J430" t="str">
        <f>_xlfn.XLOOKUP(E430,'Base SKUs'!E:E,'Base SKUs'!G:G)</f>
        <v>Maximo Thermo Ayous Dark</v>
      </c>
      <c r="K430" t="str">
        <f>_xlfn.XLOOKUP(E430,'Base SKUs'!E:E,'Base SKUs'!H:H)</f>
        <v>VJoint - Square Back</v>
      </c>
      <c r="L430" t="str">
        <f>_xlfn.XLOOKUP(E430,'Base SKUs'!E:E,'Base SKUs'!I:I)</f>
        <v>-</v>
      </c>
      <c r="M430" t="str">
        <f>_xlfn.XLOOKUP(E430,'Base SKUs'!E:E,'Base SKUs'!J:J)</f>
        <v>1x6</v>
      </c>
      <c r="N430">
        <f>_xlfn.XLOOKUP(E430,'Base SKUs'!E:E,'Base SKUs'!K:K)</f>
        <v>13</v>
      </c>
      <c r="O430" t="str">
        <f>_xlfn.XLOOKUP(E430,'Base SKUs'!E:E,'Base SKUs'!C:C)</f>
        <v>Long</v>
      </c>
      <c r="P430" t="s">
        <v>4927</v>
      </c>
    </row>
    <row r="431" spans="1:16" hidden="1" x14ac:dyDescent="0.25">
      <c r="A431" t="s">
        <v>4950</v>
      </c>
      <c r="B431" t="s">
        <v>19</v>
      </c>
      <c r="C431" t="s">
        <v>4951</v>
      </c>
      <c r="D431">
        <v>9011</v>
      </c>
      <c r="E431" t="s">
        <v>90</v>
      </c>
      <c r="F431">
        <v>204</v>
      </c>
      <c r="G431" t="str">
        <f>_xlfn.XLOOKUP(E431,'Base SKUs'!E:E,'Base SKUs'!D:D)</f>
        <v>Thermowood</v>
      </c>
      <c r="H431" s="10">
        <f>_xlfn.XLOOKUP(E431,'Base SKUs'!E:E,'Base SKUs'!S:S)</f>
        <v>1.1172E-2</v>
      </c>
      <c r="I431" s="9">
        <f t="shared" si="6"/>
        <v>2.2789999999999999</v>
      </c>
      <c r="J431" t="str">
        <f>_xlfn.XLOOKUP(E431,'Base SKUs'!E:E,'Base SKUs'!G:G)</f>
        <v>Maximo Thermo Ayous Dark</v>
      </c>
      <c r="K431" t="str">
        <f>_xlfn.XLOOKUP(E431,'Base SKUs'!E:E,'Base SKUs'!H:H)</f>
        <v>VJoint - Square Back</v>
      </c>
      <c r="L431" t="str">
        <f>_xlfn.XLOOKUP(E431,'Base SKUs'!E:E,'Base SKUs'!I:I)</f>
        <v>-</v>
      </c>
      <c r="M431" t="str">
        <f>_xlfn.XLOOKUP(E431,'Base SKUs'!E:E,'Base SKUs'!J:J)</f>
        <v>1x6</v>
      </c>
      <c r="N431">
        <f>_xlfn.XLOOKUP(E431,'Base SKUs'!E:E,'Base SKUs'!K:K)</f>
        <v>14</v>
      </c>
      <c r="O431" t="str">
        <f>_xlfn.XLOOKUP(E431,'Base SKUs'!E:E,'Base SKUs'!C:C)</f>
        <v>Long</v>
      </c>
      <c r="P431" t="s">
        <v>4927</v>
      </c>
    </row>
    <row r="432" spans="1:16" hidden="1" x14ac:dyDescent="0.25">
      <c r="A432" t="s">
        <v>4950</v>
      </c>
      <c r="B432" t="s">
        <v>19</v>
      </c>
      <c r="C432" t="s">
        <v>4951</v>
      </c>
      <c r="D432">
        <v>9011</v>
      </c>
      <c r="E432" t="s">
        <v>107</v>
      </c>
      <c r="F432">
        <v>165</v>
      </c>
      <c r="G432" t="str">
        <f>_xlfn.XLOOKUP(E432,'Base SKUs'!E:E,'Base SKUs'!D:D)</f>
        <v>Thermowood</v>
      </c>
      <c r="H432" s="10">
        <f>_xlfn.XLOOKUP(E432,'Base SKUs'!E:E,'Base SKUs'!S:S)</f>
        <v>1.1970000000000001E-2</v>
      </c>
      <c r="I432" s="9">
        <f t="shared" si="6"/>
        <v>1.9750000000000001</v>
      </c>
      <c r="J432" t="str">
        <f>_xlfn.XLOOKUP(E432,'Base SKUs'!E:E,'Base SKUs'!G:G)</f>
        <v>Maximo Thermo Ayous Dark</v>
      </c>
      <c r="K432" t="str">
        <f>_xlfn.XLOOKUP(E432,'Base SKUs'!E:E,'Base SKUs'!H:H)</f>
        <v>VJoint - Square Back</v>
      </c>
      <c r="L432" t="str">
        <f>_xlfn.XLOOKUP(E432,'Base SKUs'!E:E,'Base SKUs'!I:I)</f>
        <v>-</v>
      </c>
      <c r="M432" t="str">
        <f>_xlfn.XLOOKUP(E432,'Base SKUs'!E:E,'Base SKUs'!J:J)</f>
        <v>1x6</v>
      </c>
      <c r="N432">
        <f>_xlfn.XLOOKUP(E432,'Base SKUs'!E:E,'Base SKUs'!K:K)</f>
        <v>15</v>
      </c>
      <c r="O432" t="str">
        <f>_xlfn.XLOOKUP(E432,'Base SKUs'!E:E,'Base SKUs'!C:C)</f>
        <v>Long</v>
      </c>
      <c r="P432" t="s">
        <v>4927</v>
      </c>
    </row>
    <row r="433" spans="1:16" hidden="1" x14ac:dyDescent="0.25">
      <c r="A433" t="s">
        <v>4950</v>
      </c>
      <c r="B433" t="s">
        <v>19</v>
      </c>
      <c r="C433" t="s">
        <v>4951</v>
      </c>
      <c r="D433">
        <v>9011</v>
      </c>
      <c r="E433" t="s">
        <v>3484</v>
      </c>
      <c r="F433">
        <v>475</v>
      </c>
      <c r="G433" t="str">
        <f>_xlfn.XLOOKUP(E433,'Base SKUs'!E:E,'Base SKUs'!D:D)</f>
        <v>Thermowood</v>
      </c>
      <c r="H433" s="10">
        <f>_xlfn.XLOOKUP(E433,'Base SKUs'!E:E,'Base SKUs'!S:S)</f>
        <v>1.3565999999999998E-2</v>
      </c>
      <c r="I433" s="9">
        <f t="shared" si="6"/>
        <v>6.444</v>
      </c>
      <c r="J433" t="str">
        <f>_xlfn.XLOOKUP(E433,'Base SKUs'!E:E,'Base SKUs'!G:G)</f>
        <v>Maximo Thermo Ayous Dark</v>
      </c>
      <c r="K433" t="str">
        <f>_xlfn.XLOOKUP(E433,'Base SKUs'!E:E,'Base SKUs'!H:H)</f>
        <v>VJoint - Square Back</v>
      </c>
      <c r="L433" t="str">
        <f>_xlfn.XLOOKUP(E433,'Base SKUs'!E:E,'Base SKUs'!I:I)</f>
        <v>-</v>
      </c>
      <c r="M433" t="str">
        <f>_xlfn.XLOOKUP(E433,'Base SKUs'!E:E,'Base SKUs'!J:J)</f>
        <v>1x6</v>
      </c>
      <c r="N433">
        <f>_xlfn.XLOOKUP(E433,'Base SKUs'!E:E,'Base SKUs'!K:K)</f>
        <v>17</v>
      </c>
      <c r="O433" t="str">
        <f>_xlfn.XLOOKUP(E433,'Base SKUs'!E:E,'Base SKUs'!C:C)</f>
        <v>Long</v>
      </c>
      <c r="P433" t="s">
        <v>4927</v>
      </c>
    </row>
    <row r="434" spans="1:16" hidden="1" x14ac:dyDescent="0.25">
      <c r="A434" t="s">
        <v>4950</v>
      </c>
      <c r="B434" t="s">
        <v>19</v>
      </c>
      <c r="C434" t="s">
        <v>4951</v>
      </c>
      <c r="D434">
        <v>9011</v>
      </c>
      <c r="E434" t="s">
        <v>179</v>
      </c>
      <c r="F434">
        <v>59</v>
      </c>
      <c r="G434" t="str">
        <f>_xlfn.XLOOKUP(E434,'Base SKUs'!E:E,'Base SKUs'!D:D)</f>
        <v>Thermowood</v>
      </c>
      <c r="H434" s="10">
        <f>_xlfn.XLOOKUP(E434,'Base SKUs'!E:E,'Base SKUs'!S:S)</f>
        <v>3.6707999999999997E-3</v>
      </c>
      <c r="I434" s="9">
        <f t="shared" si="6"/>
        <v>0.217</v>
      </c>
      <c r="J434" t="str">
        <f>_xlfn.XLOOKUP(E434,'Base SKUs'!E:E,'Base SKUs'!G:G)</f>
        <v>Maximo Thermo Ayous</v>
      </c>
      <c r="K434" t="str">
        <f>_xlfn.XLOOKUP(E434,'Base SKUs'!E:E,'Base SKUs'!H:H)</f>
        <v>VJoint - Square Back</v>
      </c>
      <c r="L434" t="str">
        <f>_xlfn.XLOOKUP(E434,'Base SKUs'!E:E,'Base SKUs'!I:I)</f>
        <v>-</v>
      </c>
      <c r="M434" t="str">
        <f>_xlfn.XLOOKUP(E434,'Base SKUs'!E:E,'Base SKUs'!J:J)</f>
        <v>1x4</v>
      </c>
      <c r="N434">
        <f>_xlfn.XLOOKUP(E434,'Base SKUs'!E:E,'Base SKUs'!K:K)</f>
        <v>7</v>
      </c>
      <c r="O434" t="str">
        <f>_xlfn.XLOOKUP(E434,'Base SKUs'!E:E,'Base SKUs'!C:C)</f>
        <v>Short</v>
      </c>
      <c r="P434" t="s">
        <v>4927</v>
      </c>
    </row>
    <row r="435" spans="1:16" hidden="1" x14ac:dyDescent="0.25">
      <c r="A435" t="s">
        <v>4950</v>
      </c>
      <c r="B435" t="s">
        <v>19</v>
      </c>
      <c r="C435" t="s">
        <v>4951</v>
      </c>
      <c r="D435">
        <v>9011</v>
      </c>
      <c r="E435" t="s">
        <v>91</v>
      </c>
      <c r="F435">
        <v>197</v>
      </c>
      <c r="G435" t="str">
        <f>_xlfn.XLOOKUP(E435,'Base SKUs'!E:E,'Base SKUs'!D:D)</f>
        <v>Thermowood</v>
      </c>
      <c r="H435" s="10">
        <f>_xlfn.XLOOKUP(E435,'Base SKUs'!E:E,'Base SKUs'!S:S)</f>
        <v>5.2439999999999995E-3</v>
      </c>
      <c r="I435" s="9">
        <f t="shared" si="6"/>
        <v>1.0329999999999999</v>
      </c>
      <c r="J435" t="str">
        <f>_xlfn.XLOOKUP(E435,'Base SKUs'!E:E,'Base SKUs'!G:G)</f>
        <v>Maximo Thermo Ayous</v>
      </c>
      <c r="K435" t="str">
        <f>_xlfn.XLOOKUP(E435,'Base SKUs'!E:E,'Base SKUs'!H:H)</f>
        <v>VJoint - Square Back</v>
      </c>
      <c r="L435" t="str">
        <f>_xlfn.XLOOKUP(E435,'Base SKUs'!E:E,'Base SKUs'!I:I)</f>
        <v>-</v>
      </c>
      <c r="M435" t="str">
        <f>_xlfn.XLOOKUP(E435,'Base SKUs'!E:E,'Base SKUs'!J:J)</f>
        <v>1x4</v>
      </c>
      <c r="N435">
        <f>_xlfn.XLOOKUP(E435,'Base SKUs'!E:E,'Base SKUs'!K:K)</f>
        <v>10</v>
      </c>
      <c r="O435" t="str">
        <f>_xlfn.XLOOKUP(E435,'Base SKUs'!E:E,'Base SKUs'!C:C)</f>
        <v>Long</v>
      </c>
      <c r="P435" t="s">
        <v>4927</v>
      </c>
    </row>
    <row r="436" spans="1:16" hidden="1" x14ac:dyDescent="0.25">
      <c r="A436" t="s">
        <v>4950</v>
      </c>
      <c r="B436" t="s">
        <v>19</v>
      </c>
      <c r="C436" t="s">
        <v>4951</v>
      </c>
      <c r="D436">
        <v>9011</v>
      </c>
      <c r="E436" t="s">
        <v>3488</v>
      </c>
      <c r="F436">
        <v>354</v>
      </c>
      <c r="G436" t="str">
        <f>_xlfn.XLOOKUP(E436,'Base SKUs'!E:E,'Base SKUs'!D:D)</f>
        <v>Thermowood</v>
      </c>
      <c r="H436" s="10">
        <f>_xlfn.XLOOKUP(E436,'Base SKUs'!E:E,'Base SKUs'!S:S)</f>
        <v>4.7880000000000006E-3</v>
      </c>
      <c r="I436" s="9">
        <f t="shared" si="6"/>
        <v>1.6950000000000001</v>
      </c>
      <c r="J436" t="str">
        <f>_xlfn.XLOOKUP(E436,'Base SKUs'!E:E,'Base SKUs'!G:G)</f>
        <v>Maximo Thermo Ayous Dark</v>
      </c>
      <c r="K436" t="str">
        <f>_xlfn.XLOOKUP(E436,'Base SKUs'!E:E,'Base SKUs'!H:H)</f>
        <v>VJoint - Square Back</v>
      </c>
      <c r="L436" t="str">
        <f>_xlfn.XLOOKUP(E436,'Base SKUs'!E:E,'Base SKUs'!I:I)</f>
        <v>-</v>
      </c>
      <c r="M436" t="str">
        <f>_xlfn.XLOOKUP(E436,'Base SKUs'!E:E,'Base SKUs'!J:J)</f>
        <v>1x6</v>
      </c>
      <c r="N436">
        <f>_xlfn.XLOOKUP(E436,'Base SKUs'!E:E,'Base SKUs'!K:K)</f>
        <v>6</v>
      </c>
      <c r="O436" t="str">
        <f>_xlfn.XLOOKUP(E436,'Base SKUs'!E:E,'Base SKUs'!C:C)</f>
        <v>Short</v>
      </c>
      <c r="P436" t="s">
        <v>4927</v>
      </c>
    </row>
    <row r="437" spans="1:16" hidden="1" x14ac:dyDescent="0.25">
      <c r="A437" t="s">
        <v>4950</v>
      </c>
      <c r="B437" t="s">
        <v>19</v>
      </c>
      <c r="C437" t="s">
        <v>4951</v>
      </c>
      <c r="D437">
        <v>9011</v>
      </c>
      <c r="E437" t="s">
        <v>3489</v>
      </c>
      <c r="F437">
        <v>812</v>
      </c>
      <c r="G437" t="str">
        <f>_xlfn.XLOOKUP(E437,'Base SKUs'!E:E,'Base SKUs'!D:D)</f>
        <v>Thermowood</v>
      </c>
      <c r="H437" s="10">
        <f>_xlfn.XLOOKUP(E437,'Base SKUs'!E:E,'Base SKUs'!S:S)</f>
        <v>5.5859999999999998E-3</v>
      </c>
      <c r="I437" s="9">
        <f t="shared" si="6"/>
        <v>4.5359999999999996</v>
      </c>
      <c r="J437" t="str">
        <f>_xlfn.XLOOKUP(E437,'Base SKUs'!E:E,'Base SKUs'!G:G)</f>
        <v>Maximo Thermo Ayous Dark</v>
      </c>
      <c r="K437" t="str">
        <f>_xlfn.XLOOKUP(E437,'Base SKUs'!E:E,'Base SKUs'!H:H)</f>
        <v>VJoint - Square Back</v>
      </c>
      <c r="L437" t="str">
        <f>_xlfn.XLOOKUP(E437,'Base SKUs'!E:E,'Base SKUs'!I:I)</f>
        <v>-</v>
      </c>
      <c r="M437" t="str">
        <f>_xlfn.XLOOKUP(E437,'Base SKUs'!E:E,'Base SKUs'!J:J)</f>
        <v>1x6</v>
      </c>
      <c r="N437">
        <f>_xlfn.XLOOKUP(E437,'Base SKUs'!E:E,'Base SKUs'!K:K)</f>
        <v>7</v>
      </c>
      <c r="O437" t="str">
        <f>_xlfn.XLOOKUP(E437,'Base SKUs'!E:E,'Base SKUs'!C:C)</f>
        <v>Short</v>
      </c>
      <c r="P437" t="s">
        <v>4927</v>
      </c>
    </row>
    <row r="438" spans="1:16" hidden="1" x14ac:dyDescent="0.25">
      <c r="A438" t="s">
        <v>4950</v>
      </c>
      <c r="B438" t="s">
        <v>19</v>
      </c>
      <c r="C438" t="s">
        <v>4951</v>
      </c>
      <c r="D438">
        <v>9011</v>
      </c>
      <c r="E438" t="s">
        <v>3860</v>
      </c>
      <c r="F438">
        <v>151</v>
      </c>
      <c r="G438" t="str">
        <f>_xlfn.XLOOKUP(E438,'Base SKUs'!E:E,'Base SKUs'!D:D)</f>
        <v>Thermowood</v>
      </c>
      <c r="H438" s="10">
        <f>_xlfn.XLOOKUP(E438,'Base SKUs'!E:E,'Base SKUs'!S:S)</f>
        <v>8.5800000000000008E-3</v>
      </c>
      <c r="I438" s="9">
        <f t="shared" si="6"/>
        <v>1.296</v>
      </c>
      <c r="J438" t="str">
        <f>_xlfn.XLOOKUP(E438,'Base SKUs'!E:E,'Base SKUs'!G:G)</f>
        <v>Maximo Thermo Ayous</v>
      </c>
      <c r="K438" t="str">
        <f>_xlfn.XLOOKUP(E438,'Base SKUs'!E:E,'Base SKUs'!H:H)</f>
        <v>S4S E4E</v>
      </c>
      <c r="L438" t="str">
        <f>_xlfn.XLOOKUP(E438,'Base SKUs'!E:E,'Base SKUs'!I:I)</f>
        <v>-</v>
      </c>
      <c r="M438" t="str">
        <f>_xlfn.XLOOKUP(E438,'Base SKUs'!E:E,'Base SKUs'!J:J)</f>
        <v>2x3</v>
      </c>
      <c r="N438">
        <f>_xlfn.XLOOKUP(E438,'Base SKUs'!E:E,'Base SKUs'!K:K)</f>
        <v>11</v>
      </c>
      <c r="O438" t="str">
        <f>_xlfn.XLOOKUP(E438,'Base SKUs'!E:E,'Base SKUs'!C:C)</f>
        <v>Long</v>
      </c>
      <c r="P438" t="s">
        <v>4927</v>
      </c>
    </row>
    <row r="439" spans="1:16" hidden="1" x14ac:dyDescent="0.25">
      <c r="A439" t="s">
        <v>4950</v>
      </c>
      <c r="B439" t="s">
        <v>19</v>
      </c>
      <c r="C439" t="s">
        <v>4951</v>
      </c>
      <c r="D439">
        <v>9011</v>
      </c>
      <c r="E439" t="s">
        <v>3873</v>
      </c>
      <c r="F439">
        <v>6</v>
      </c>
      <c r="G439" t="str">
        <f>_xlfn.XLOOKUP(E439,'Base SKUs'!E:E,'Base SKUs'!D:D)</f>
        <v>Thermowood</v>
      </c>
      <c r="H439" s="10">
        <f>_xlfn.XLOOKUP(E439,'Base SKUs'!E:E,'Base SKUs'!S:S)</f>
        <v>7.0199999999999993E-3</v>
      </c>
      <c r="I439" s="9">
        <f t="shared" si="6"/>
        <v>4.2000000000000003E-2</v>
      </c>
      <c r="J439" t="str">
        <f>_xlfn.XLOOKUP(E439,'Base SKUs'!E:E,'Base SKUs'!G:G)</f>
        <v>Maximo Thermo Ayous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2x3</v>
      </c>
      <c r="N439">
        <f>_xlfn.XLOOKUP(E439,'Base SKUs'!E:E,'Base SKUs'!K:K)</f>
        <v>9</v>
      </c>
      <c r="O439" t="str">
        <f>_xlfn.XLOOKUP(E439,'Base SKUs'!E:E,'Base SKUs'!C:C)</f>
        <v>Long</v>
      </c>
      <c r="P439" t="s">
        <v>4927</v>
      </c>
    </row>
    <row r="440" spans="1:16" hidden="1" x14ac:dyDescent="0.25">
      <c r="A440" t="s">
        <v>4950</v>
      </c>
      <c r="B440" t="s">
        <v>19</v>
      </c>
      <c r="C440" t="s">
        <v>4951</v>
      </c>
      <c r="D440">
        <v>9011</v>
      </c>
      <c r="E440" t="s">
        <v>3872</v>
      </c>
      <c r="F440">
        <v>6</v>
      </c>
      <c r="G440" t="str">
        <f>_xlfn.XLOOKUP(E440,'Base SKUs'!E:E,'Base SKUs'!D:D)</f>
        <v>Thermowood</v>
      </c>
      <c r="H440" s="10">
        <f>_xlfn.XLOOKUP(E440,'Base SKUs'!E:E,'Base SKUs'!S:S)</f>
        <v>6.2399999999999999E-3</v>
      </c>
      <c r="I440" s="9">
        <f t="shared" si="6"/>
        <v>3.6999999999999998E-2</v>
      </c>
      <c r="J440" t="str">
        <f>_xlfn.XLOOKUP(E440,'Base SKUs'!E:E,'Base SKUs'!G:G)</f>
        <v>Maximo Thermo Ayous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2x3</v>
      </c>
      <c r="N440">
        <f>_xlfn.XLOOKUP(E440,'Base SKUs'!E:E,'Base SKUs'!K:K)</f>
        <v>8</v>
      </c>
      <c r="O440" t="str">
        <f>_xlfn.XLOOKUP(E440,'Base SKUs'!E:E,'Base SKUs'!C:C)</f>
        <v>Long</v>
      </c>
      <c r="P440" t="s">
        <v>4927</v>
      </c>
    </row>
    <row r="441" spans="1:16" hidden="1" x14ac:dyDescent="0.25">
      <c r="A441" t="s">
        <v>4950</v>
      </c>
      <c r="B441" t="s">
        <v>19</v>
      </c>
      <c r="C441" t="s">
        <v>4951</v>
      </c>
      <c r="D441">
        <v>9011</v>
      </c>
      <c r="E441" t="s">
        <v>122</v>
      </c>
      <c r="F441">
        <v>7</v>
      </c>
      <c r="G441" t="str">
        <f>_xlfn.XLOOKUP(E441,'Base SKUs'!E:E,'Base SKUs'!D:D)</f>
        <v>Thermowood</v>
      </c>
      <c r="H441" s="10">
        <f>_xlfn.XLOOKUP(E441,'Base SKUs'!E:E,'Base SKUs'!S:S)</f>
        <v>5.5859999999999998E-3</v>
      </c>
      <c r="I441" s="9">
        <f t="shared" si="6"/>
        <v>3.9E-2</v>
      </c>
      <c r="J441" t="str">
        <f>_xlfn.XLOOKUP(E441,'Base SKUs'!E:E,'Base SKUs'!G:G)</f>
        <v>Maximo Thermo Ayous</v>
      </c>
      <c r="K441" t="str">
        <f>_xlfn.XLOOKUP(E441,'Base SKUs'!E:E,'Base SKUs'!H:H)</f>
        <v>VJoint - Nickel Gap</v>
      </c>
      <c r="L441" t="str">
        <f>_xlfn.XLOOKUP(E441,'Base SKUs'!E:E,'Base SKUs'!I:I)</f>
        <v>-</v>
      </c>
      <c r="M441" t="str">
        <f>_xlfn.XLOOKUP(E441,'Base SKUs'!E:E,'Base SKUs'!J:J)</f>
        <v>1x6</v>
      </c>
      <c r="N441">
        <f>_xlfn.XLOOKUP(E441,'Base SKUs'!E:E,'Base SKUs'!K:K)</f>
        <v>7</v>
      </c>
      <c r="O441" t="str">
        <f>_xlfn.XLOOKUP(E441,'Base SKUs'!E:E,'Base SKUs'!C:C)</f>
        <v>Short</v>
      </c>
      <c r="P441" t="s">
        <v>4927</v>
      </c>
    </row>
    <row r="442" spans="1:16" hidden="1" x14ac:dyDescent="0.25">
      <c r="A442" t="s">
        <v>4950</v>
      </c>
      <c r="B442" t="s">
        <v>19</v>
      </c>
      <c r="C442" t="s">
        <v>4951</v>
      </c>
      <c r="D442">
        <v>9011</v>
      </c>
      <c r="E442" t="s">
        <v>23</v>
      </c>
      <c r="F442">
        <v>24</v>
      </c>
      <c r="G442" t="str">
        <f>_xlfn.XLOOKUP(E442,'Base SKUs'!E:E,'Base SKUs'!D:D)</f>
        <v>Thermowood</v>
      </c>
      <c r="H442" s="10">
        <f>_xlfn.XLOOKUP(E442,'Base SKUs'!E:E,'Base SKUs'!S:S)</f>
        <v>6.3839999999999999E-3</v>
      </c>
      <c r="I442" s="9">
        <f t="shared" si="6"/>
        <v>0.153</v>
      </c>
      <c r="J442" t="str">
        <f>_xlfn.XLOOKUP(E442,'Base SKUs'!E:E,'Base SKUs'!G:G)</f>
        <v>Maximo Thermo Ayous</v>
      </c>
      <c r="K442" t="str">
        <f>_xlfn.XLOOKUP(E442,'Base SKUs'!E:E,'Base SKUs'!H:H)</f>
        <v>VJoint - Nickel Gap</v>
      </c>
      <c r="L442" t="str">
        <f>_xlfn.XLOOKUP(E442,'Base SKUs'!E:E,'Base SKUs'!I:I)</f>
        <v>-</v>
      </c>
      <c r="M442" t="str">
        <f>_xlfn.XLOOKUP(E442,'Base SKUs'!E:E,'Base SKUs'!J:J)</f>
        <v>1x6</v>
      </c>
      <c r="N442">
        <f>_xlfn.XLOOKUP(E442,'Base SKUs'!E:E,'Base SKUs'!K:K)</f>
        <v>8</v>
      </c>
      <c r="O442" t="str">
        <f>_xlfn.XLOOKUP(E442,'Base SKUs'!E:E,'Base SKUs'!C:C)</f>
        <v>Long</v>
      </c>
      <c r="P442" t="s">
        <v>4927</v>
      </c>
    </row>
    <row r="443" spans="1:16" hidden="1" x14ac:dyDescent="0.25">
      <c r="A443" t="s">
        <v>4950</v>
      </c>
      <c r="B443" t="s">
        <v>19</v>
      </c>
      <c r="C443" t="s">
        <v>4951</v>
      </c>
      <c r="D443">
        <v>9011</v>
      </c>
      <c r="E443" t="s">
        <v>67</v>
      </c>
      <c r="F443">
        <v>8</v>
      </c>
      <c r="G443" t="str">
        <f>_xlfn.XLOOKUP(E443,'Base SKUs'!E:E,'Base SKUs'!D:D)</f>
        <v>Thermowood</v>
      </c>
      <c r="H443" s="10">
        <f>_xlfn.XLOOKUP(E443,'Base SKUs'!E:E,'Base SKUs'!S:S)</f>
        <v>7.980000000000001E-3</v>
      </c>
      <c r="I443" s="9">
        <f t="shared" si="6"/>
        <v>6.4000000000000001E-2</v>
      </c>
      <c r="J443" t="str">
        <f>_xlfn.XLOOKUP(E443,'Base SKUs'!E:E,'Base SKUs'!G:G)</f>
        <v>Maximo Thermo Ayous</v>
      </c>
      <c r="K443" t="str">
        <f>_xlfn.XLOOKUP(E443,'Base SKUs'!E:E,'Base SKUs'!H:H)</f>
        <v>VJoint - Nickel Gap</v>
      </c>
      <c r="L443" t="str">
        <f>_xlfn.XLOOKUP(E443,'Base SKUs'!E:E,'Base SKUs'!I:I)</f>
        <v>-</v>
      </c>
      <c r="M443" t="str">
        <f>_xlfn.XLOOKUP(E443,'Base SKUs'!E:E,'Base SKUs'!J:J)</f>
        <v>1x6</v>
      </c>
      <c r="N443">
        <f>_xlfn.XLOOKUP(E443,'Base SKUs'!E:E,'Base SKUs'!K:K)</f>
        <v>10</v>
      </c>
      <c r="O443" t="str">
        <f>_xlfn.XLOOKUP(E443,'Base SKUs'!E:E,'Base SKUs'!C:C)</f>
        <v>Long</v>
      </c>
      <c r="P443" t="s">
        <v>4927</v>
      </c>
    </row>
    <row r="444" spans="1:16" hidden="1" x14ac:dyDescent="0.25">
      <c r="A444" t="s">
        <v>4950</v>
      </c>
      <c r="B444" t="s">
        <v>19</v>
      </c>
      <c r="C444" t="s">
        <v>4951</v>
      </c>
      <c r="D444">
        <v>9011</v>
      </c>
      <c r="E444" t="s">
        <v>68</v>
      </c>
      <c r="F444">
        <v>14</v>
      </c>
      <c r="G444" t="str">
        <f>_xlfn.XLOOKUP(E444,'Base SKUs'!E:E,'Base SKUs'!D:D)</f>
        <v>Thermowood</v>
      </c>
      <c r="H444" s="10">
        <f>_xlfn.XLOOKUP(E444,'Base SKUs'!E:E,'Base SKUs'!S:S)</f>
        <v>8.7779999999999993E-3</v>
      </c>
      <c r="I444" s="9">
        <f t="shared" si="6"/>
        <v>0.123</v>
      </c>
      <c r="J444" t="str">
        <f>_xlfn.XLOOKUP(E444,'Base SKUs'!E:E,'Base SKUs'!G:G)</f>
        <v>Maximo Thermo Ayous</v>
      </c>
      <c r="K444" t="str">
        <f>_xlfn.XLOOKUP(E444,'Base SKUs'!E:E,'Base SKUs'!H:H)</f>
        <v>VJoint - Nickel Gap</v>
      </c>
      <c r="L444" t="str">
        <f>_xlfn.XLOOKUP(E444,'Base SKUs'!E:E,'Base SKUs'!I:I)</f>
        <v>-</v>
      </c>
      <c r="M444" t="str">
        <f>_xlfn.XLOOKUP(E444,'Base SKUs'!E:E,'Base SKUs'!J:J)</f>
        <v>1x6</v>
      </c>
      <c r="N444">
        <f>_xlfn.XLOOKUP(E444,'Base SKUs'!E:E,'Base SKUs'!K:K)</f>
        <v>11</v>
      </c>
      <c r="O444" t="str">
        <f>_xlfn.XLOOKUP(E444,'Base SKUs'!E:E,'Base SKUs'!C:C)</f>
        <v>Long</v>
      </c>
      <c r="P444" t="s">
        <v>4927</v>
      </c>
    </row>
    <row r="445" spans="1:16" hidden="1" x14ac:dyDescent="0.25">
      <c r="A445" t="s">
        <v>4950</v>
      </c>
      <c r="B445" t="s">
        <v>19</v>
      </c>
      <c r="C445" t="s">
        <v>4951</v>
      </c>
      <c r="D445">
        <v>9011</v>
      </c>
      <c r="E445" t="s">
        <v>150</v>
      </c>
      <c r="F445">
        <v>31</v>
      </c>
      <c r="G445" t="str">
        <f>_xlfn.XLOOKUP(E445,'Base SKUs'!E:E,'Base SKUs'!D:D)</f>
        <v>Thermowood</v>
      </c>
      <c r="H445" s="10">
        <f>_xlfn.XLOOKUP(E445,'Base SKUs'!E:E,'Base SKUs'!S:S)</f>
        <v>9.5760000000000012E-3</v>
      </c>
      <c r="I445" s="9">
        <f>IF(OR(G445="Norx",K445="Tiles"),ROUND(F445,3),ROUND(F445*H445,3))</f>
        <v>0.29699999999999999</v>
      </c>
      <c r="J445" t="str">
        <f>_xlfn.XLOOKUP(E445,'Base SKUs'!E:E,'Base SKUs'!G:G)</f>
        <v>Maximo Thermo Ayous</v>
      </c>
      <c r="K445" t="str">
        <f>_xlfn.XLOOKUP(E445,'Base SKUs'!E:E,'Base SKUs'!H:H)</f>
        <v>VJoint - Nickel Gap</v>
      </c>
      <c r="L445" t="str">
        <f>_xlfn.XLOOKUP(E445,'Base SKUs'!E:E,'Base SKUs'!I:I)</f>
        <v>-</v>
      </c>
      <c r="M445" t="str">
        <f>_xlfn.XLOOKUP(E445,'Base SKUs'!E:E,'Base SKUs'!J:J)</f>
        <v>1x6</v>
      </c>
      <c r="N445">
        <f>_xlfn.XLOOKUP(E445,'Base SKUs'!E:E,'Base SKUs'!K:K)</f>
        <v>12</v>
      </c>
      <c r="O445" t="str">
        <f>_xlfn.XLOOKUP(E445,'Base SKUs'!E:E,'Base SKUs'!C:C)</f>
        <v>Long</v>
      </c>
      <c r="P445" t="s">
        <v>4927</v>
      </c>
    </row>
    <row r="446" spans="1:16" hidden="1" x14ac:dyDescent="0.25">
      <c r="A446" t="s">
        <v>4950</v>
      </c>
      <c r="B446" t="s">
        <v>19</v>
      </c>
      <c r="C446" t="s">
        <v>4951</v>
      </c>
      <c r="D446">
        <v>9011</v>
      </c>
      <c r="E446" t="s">
        <v>9</v>
      </c>
      <c r="F446">
        <v>6</v>
      </c>
      <c r="G446" t="str">
        <f>_xlfn.XLOOKUP(E446,'Base SKUs'!E:E,'Base SKUs'!D:D)</f>
        <v>Thermowood</v>
      </c>
      <c r="H446" s="10">
        <f>_xlfn.XLOOKUP(E446,'Base SKUs'!E:E,'Base SKUs'!S:S)</f>
        <v>1.1172E-2</v>
      </c>
      <c r="I446" s="9">
        <f t="shared" ref="I446:I467" si="7">IF(OR(G446="Norx",K446="Tiles"),ROUND(F446,3),ROUND(F446*H446,3))</f>
        <v>6.7000000000000004E-2</v>
      </c>
      <c r="J446" t="str">
        <f>_xlfn.XLOOKUP(E446,'Base SKUs'!E:E,'Base SKUs'!G:G)</f>
        <v>Maximo Thermo Ayous</v>
      </c>
      <c r="K446" t="str">
        <f>_xlfn.XLOOKUP(E446,'Base SKUs'!E:E,'Base SKUs'!H:H)</f>
        <v>VJoint - Nickel Gap</v>
      </c>
      <c r="L446" t="str">
        <f>_xlfn.XLOOKUP(E446,'Base SKUs'!E:E,'Base SKUs'!I:I)</f>
        <v>-</v>
      </c>
      <c r="M446" t="str">
        <f>_xlfn.XLOOKUP(E446,'Base SKUs'!E:E,'Base SKUs'!J:J)</f>
        <v>1x6</v>
      </c>
      <c r="N446">
        <f>_xlfn.XLOOKUP(E446,'Base SKUs'!E:E,'Base SKUs'!K:K)</f>
        <v>14</v>
      </c>
      <c r="O446" t="str">
        <f>_xlfn.XLOOKUP(E446,'Base SKUs'!E:E,'Base SKUs'!C:C)</f>
        <v>Long</v>
      </c>
      <c r="P446" t="s">
        <v>4927</v>
      </c>
    </row>
    <row r="447" spans="1:16" hidden="1" x14ac:dyDescent="0.25">
      <c r="A447" t="s">
        <v>4950</v>
      </c>
      <c r="B447" t="s">
        <v>19</v>
      </c>
      <c r="C447" t="s">
        <v>4951</v>
      </c>
      <c r="D447">
        <v>9011</v>
      </c>
      <c r="E447" t="s">
        <v>23</v>
      </c>
      <c r="F447">
        <v>9</v>
      </c>
      <c r="G447" t="str">
        <f>_xlfn.XLOOKUP(E447,'Base SKUs'!E:E,'Base SKUs'!D:D)</f>
        <v>Thermowood</v>
      </c>
      <c r="H447" s="10">
        <f>_xlfn.XLOOKUP(E447,'Base SKUs'!E:E,'Base SKUs'!S:S)</f>
        <v>6.3839999999999999E-3</v>
      </c>
      <c r="I447" s="9">
        <f t="shared" si="7"/>
        <v>5.7000000000000002E-2</v>
      </c>
      <c r="J447" t="str">
        <f>_xlfn.XLOOKUP(E447,'Base SKUs'!E:E,'Base SKUs'!G:G)</f>
        <v>Maximo Thermo Ayous</v>
      </c>
      <c r="K447" t="str">
        <f>_xlfn.XLOOKUP(E447,'Base SKUs'!E:E,'Base SKUs'!H:H)</f>
        <v>VJoint - Nickel Gap</v>
      </c>
      <c r="L447" t="str">
        <f>_xlfn.XLOOKUP(E447,'Base SKUs'!E:E,'Base SKUs'!I:I)</f>
        <v>-</v>
      </c>
      <c r="M447" t="str">
        <f>_xlfn.XLOOKUP(E447,'Base SKUs'!E:E,'Base SKUs'!J:J)</f>
        <v>1x6</v>
      </c>
      <c r="N447">
        <f>_xlfn.XLOOKUP(E447,'Base SKUs'!E:E,'Base SKUs'!K:K)</f>
        <v>8</v>
      </c>
      <c r="O447" t="str">
        <f>_xlfn.XLOOKUP(E447,'Base SKUs'!E:E,'Base SKUs'!C:C)</f>
        <v>Long</v>
      </c>
      <c r="P447" t="s">
        <v>4927</v>
      </c>
    </row>
    <row r="448" spans="1:16" hidden="1" x14ac:dyDescent="0.25">
      <c r="A448" t="s">
        <v>4950</v>
      </c>
      <c r="B448" t="s">
        <v>19</v>
      </c>
      <c r="C448" t="s">
        <v>4951</v>
      </c>
      <c r="D448">
        <v>9011</v>
      </c>
      <c r="E448" t="s">
        <v>67</v>
      </c>
      <c r="F448">
        <v>15</v>
      </c>
      <c r="G448" t="str">
        <f>_xlfn.XLOOKUP(E448,'Base SKUs'!E:E,'Base SKUs'!D:D)</f>
        <v>Thermowood</v>
      </c>
      <c r="H448" s="10">
        <f>_xlfn.XLOOKUP(E448,'Base SKUs'!E:E,'Base SKUs'!S:S)</f>
        <v>7.980000000000001E-3</v>
      </c>
      <c r="I448" s="9">
        <f t="shared" si="7"/>
        <v>0.12</v>
      </c>
      <c r="J448" t="str">
        <f>_xlfn.XLOOKUP(E448,'Base SKUs'!E:E,'Base SKUs'!G:G)</f>
        <v>Maximo Thermo Ayous</v>
      </c>
      <c r="K448" t="str">
        <f>_xlfn.XLOOKUP(E448,'Base SKUs'!E:E,'Base SKUs'!H:H)</f>
        <v>VJoint - Nickel Gap</v>
      </c>
      <c r="L448" t="str">
        <f>_xlfn.XLOOKUP(E448,'Base SKUs'!E:E,'Base SKUs'!I:I)</f>
        <v>-</v>
      </c>
      <c r="M448" t="str">
        <f>_xlfn.XLOOKUP(E448,'Base SKUs'!E:E,'Base SKUs'!J:J)</f>
        <v>1x6</v>
      </c>
      <c r="N448">
        <f>_xlfn.XLOOKUP(E448,'Base SKUs'!E:E,'Base SKUs'!K:K)</f>
        <v>10</v>
      </c>
      <c r="O448" t="str">
        <f>_xlfn.XLOOKUP(E448,'Base SKUs'!E:E,'Base SKUs'!C:C)</f>
        <v>Long</v>
      </c>
      <c r="P448" t="s">
        <v>4927</v>
      </c>
    </row>
    <row r="449" spans="1:16" hidden="1" x14ac:dyDescent="0.25">
      <c r="A449" t="s">
        <v>4950</v>
      </c>
      <c r="B449" t="s">
        <v>19</v>
      </c>
      <c r="C449" t="s">
        <v>4951</v>
      </c>
      <c r="D449">
        <v>9011</v>
      </c>
      <c r="E449" t="s">
        <v>163</v>
      </c>
      <c r="F449">
        <v>6</v>
      </c>
      <c r="G449" t="str">
        <f>_xlfn.XLOOKUP(E449,'Base SKUs'!E:E,'Base SKUs'!D:D)</f>
        <v>Thermowood</v>
      </c>
      <c r="H449" s="10">
        <f>_xlfn.XLOOKUP(E449,'Base SKUs'!E:E,'Base SKUs'!S:S)</f>
        <v>1.0374000000000001E-2</v>
      </c>
      <c r="I449" s="9">
        <f t="shared" si="7"/>
        <v>6.2E-2</v>
      </c>
      <c r="J449" t="str">
        <f>_xlfn.XLOOKUP(E449,'Base SKUs'!E:E,'Base SKUs'!G:G)</f>
        <v>Maximo Thermo Ayous</v>
      </c>
      <c r="K449" t="str">
        <f>_xlfn.XLOOKUP(E449,'Base SKUs'!E:E,'Base SKUs'!H:H)</f>
        <v>VJoint - Nickel Gap</v>
      </c>
      <c r="L449" t="str">
        <f>_xlfn.XLOOKUP(E449,'Base SKUs'!E:E,'Base SKUs'!I:I)</f>
        <v>-</v>
      </c>
      <c r="M449" t="str">
        <f>_xlfn.XLOOKUP(E449,'Base SKUs'!E:E,'Base SKUs'!J:J)</f>
        <v>1x6</v>
      </c>
      <c r="N449">
        <f>_xlfn.XLOOKUP(E449,'Base SKUs'!E:E,'Base SKUs'!K:K)</f>
        <v>13</v>
      </c>
      <c r="O449" t="str">
        <f>_xlfn.XLOOKUP(E449,'Base SKUs'!E:E,'Base SKUs'!C:C)</f>
        <v>Long</v>
      </c>
      <c r="P449" t="s">
        <v>4927</v>
      </c>
    </row>
    <row r="450" spans="1:16" hidden="1" x14ac:dyDescent="0.25">
      <c r="A450" t="s">
        <v>4950</v>
      </c>
      <c r="B450" t="s">
        <v>19</v>
      </c>
      <c r="C450" t="s">
        <v>4951</v>
      </c>
      <c r="D450">
        <v>9011</v>
      </c>
      <c r="E450" t="s">
        <v>9</v>
      </c>
      <c r="F450">
        <v>1</v>
      </c>
      <c r="G450" t="str">
        <f>_xlfn.XLOOKUP(E450,'Base SKUs'!E:E,'Base SKUs'!D:D)</f>
        <v>Thermowood</v>
      </c>
      <c r="H450" s="10">
        <f>_xlfn.XLOOKUP(E450,'Base SKUs'!E:E,'Base SKUs'!S:S)</f>
        <v>1.1172E-2</v>
      </c>
      <c r="I450" s="9">
        <f t="shared" si="7"/>
        <v>1.0999999999999999E-2</v>
      </c>
      <c r="J450" t="str">
        <f>_xlfn.XLOOKUP(E450,'Base SKUs'!E:E,'Base SKUs'!G:G)</f>
        <v>Maximo Thermo Ayous</v>
      </c>
      <c r="K450" t="str">
        <f>_xlfn.XLOOKUP(E450,'Base SKUs'!E:E,'Base SKUs'!H:H)</f>
        <v>VJoint - Nickel Gap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14</v>
      </c>
      <c r="O450" t="str">
        <f>_xlfn.XLOOKUP(E450,'Base SKUs'!E:E,'Base SKUs'!C:C)</f>
        <v>Long</v>
      </c>
      <c r="P450" t="s">
        <v>4927</v>
      </c>
    </row>
    <row r="451" spans="1:16" hidden="1" x14ac:dyDescent="0.25">
      <c r="A451" t="s">
        <v>4950</v>
      </c>
      <c r="B451" t="s">
        <v>19</v>
      </c>
      <c r="C451" t="s">
        <v>4951</v>
      </c>
      <c r="D451">
        <v>9011</v>
      </c>
      <c r="E451" t="s">
        <v>24</v>
      </c>
      <c r="F451">
        <v>3</v>
      </c>
      <c r="G451" t="str">
        <f>_xlfn.XLOOKUP(E451,'Base SKUs'!E:E,'Base SKUs'!D:D)</f>
        <v>Thermowood</v>
      </c>
      <c r="H451" s="10">
        <f>_xlfn.XLOOKUP(E451,'Base SKUs'!E:E,'Base SKUs'!S:S)</f>
        <v>1.2768E-2</v>
      </c>
      <c r="I451" s="9">
        <f t="shared" si="7"/>
        <v>3.7999999999999999E-2</v>
      </c>
      <c r="J451" t="str">
        <f>_xlfn.XLOOKUP(E451,'Base SKUs'!E:E,'Base SKUs'!G:G)</f>
        <v>Maximo Thermo Ayous</v>
      </c>
      <c r="K451" t="str">
        <f>_xlfn.XLOOKUP(E451,'Base SKUs'!E:E,'Base SKUs'!H:H)</f>
        <v>VJoint - Nickel Gap</v>
      </c>
      <c r="L451" t="str">
        <f>_xlfn.XLOOKUP(E451,'Base SKUs'!E:E,'Base SKUs'!I:I)</f>
        <v>-</v>
      </c>
      <c r="M451" t="str">
        <f>_xlfn.XLOOKUP(E451,'Base SKUs'!E:E,'Base SKUs'!J:J)</f>
        <v>1x6</v>
      </c>
      <c r="N451">
        <f>_xlfn.XLOOKUP(E451,'Base SKUs'!E:E,'Base SKUs'!K:K)</f>
        <v>16</v>
      </c>
      <c r="O451" t="str">
        <f>_xlfn.XLOOKUP(E451,'Base SKUs'!E:E,'Base SKUs'!C:C)</f>
        <v>Long</v>
      </c>
      <c r="P451" t="s">
        <v>4927</v>
      </c>
    </row>
    <row r="452" spans="1:16" hidden="1" x14ac:dyDescent="0.25">
      <c r="A452" t="s">
        <v>4952</v>
      </c>
      <c r="B452" t="s">
        <v>19</v>
      </c>
      <c r="C452" t="s">
        <v>20</v>
      </c>
      <c r="D452">
        <v>9008</v>
      </c>
      <c r="E452" t="s">
        <v>1735</v>
      </c>
      <c r="F452">
        <v>847</v>
      </c>
      <c r="G452" t="str">
        <f>_xlfn.XLOOKUP(E452,'Base SKUs'!E:E,'Base SKUs'!D:D)</f>
        <v>Hardwoods</v>
      </c>
      <c r="H452" s="10">
        <f>_xlfn.XLOOKUP(E452,'Base SKUs'!E:E,'Base SKUs'!S:S)</f>
        <v>9.7339160159999986E-3</v>
      </c>
      <c r="I452" s="9">
        <f t="shared" si="7"/>
        <v>8.2449999999999992</v>
      </c>
      <c r="J452" t="str">
        <f>_xlfn.XLOOKUP(E452,'Base SKUs'!E:E,'Base SKUs'!G:G)</f>
        <v>Ipe</v>
      </c>
      <c r="K452" t="str">
        <f>_xlfn.XLOOKUP(E452,'Base SKUs'!E:E,'Base SKUs'!H:H)</f>
        <v>S4S E4E</v>
      </c>
      <c r="L452" t="str">
        <f>_xlfn.XLOOKUP(E452,'Base SKUs'!E:E,'Base SKUs'!I:I)</f>
        <v>-</v>
      </c>
      <c r="M452" t="str">
        <f>_xlfn.XLOOKUP(E452,'Base SKUs'!E:E,'Base SKUs'!J:J)</f>
        <v>2x6</v>
      </c>
      <c r="N452">
        <f>_xlfn.XLOOKUP(E452,'Base SKUs'!E:E,'Base SKUs'!K:K)</f>
        <v>6</v>
      </c>
      <c r="O452" t="str">
        <f>_xlfn.XLOOKUP(E452,'Base SKUs'!E:E,'Base SKUs'!C:C)</f>
        <v>Short</v>
      </c>
      <c r="P452" t="s">
        <v>4928</v>
      </c>
    </row>
    <row r="453" spans="1:16" hidden="1" x14ac:dyDescent="0.25">
      <c r="A453" t="s">
        <v>4953</v>
      </c>
      <c r="B453" t="s">
        <v>19</v>
      </c>
      <c r="C453" t="s">
        <v>20</v>
      </c>
      <c r="D453">
        <v>9011</v>
      </c>
      <c r="E453" t="s">
        <v>1735</v>
      </c>
      <c r="F453">
        <v>1014</v>
      </c>
      <c r="G453" t="str">
        <f>_xlfn.XLOOKUP(E453,'Base SKUs'!E:E,'Base SKUs'!D:D)</f>
        <v>Hardwoods</v>
      </c>
      <c r="H453" s="10">
        <f>_xlfn.XLOOKUP(E453,'Base SKUs'!E:E,'Base SKUs'!S:S)</f>
        <v>9.7339160159999986E-3</v>
      </c>
      <c r="I453" s="9">
        <f t="shared" si="7"/>
        <v>9.8699999999999992</v>
      </c>
      <c r="J453" t="str">
        <f>_xlfn.XLOOKUP(E453,'Base SKUs'!E:E,'Base SKUs'!G:G)</f>
        <v>Ipe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2x6</v>
      </c>
      <c r="N453">
        <f>_xlfn.XLOOKUP(E453,'Base SKUs'!E:E,'Base SKUs'!K:K)</f>
        <v>6</v>
      </c>
      <c r="O453" t="str">
        <f>_xlfn.XLOOKUP(E453,'Base SKUs'!E:E,'Base SKUs'!C:C)</f>
        <v>Short</v>
      </c>
      <c r="P453" t="s">
        <v>4928</v>
      </c>
    </row>
    <row r="454" spans="1:16" hidden="1" x14ac:dyDescent="0.25">
      <c r="A454" t="s">
        <v>4953</v>
      </c>
      <c r="B454" t="s">
        <v>19</v>
      </c>
      <c r="C454" t="s">
        <v>20</v>
      </c>
      <c r="D454">
        <v>9011</v>
      </c>
      <c r="E454" t="s">
        <v>1737</v>
      </c>
      <c r="F454">
        <v>335</v>
      </c>
      <c r="G454" t="str">
        <f>_xlfn.XLOOKUP(E454,'Base SKUs'!E:E,'Base SKUs'!D:D)</f>
        <v>Hardwoods</v>
      </c>
      <c r="H454" s="10">
        <f>_xlfn.XLOOKUP(E454,'Base SKUs'!E:E,'Base SKUs'!S:S)</f>
        <v>1.1356235352E-2</v>
      </c>
      <c r="I454" s="9">
        <f t="shared" si="7"/>
        <v>3.8039999999999998</v>
      </c>
      <c r="J454" t="str">
        <f>_xlfn.XLOOKUP(E454,'Base SKUs'!E:E,'Base SKUs'!G:G)</f>
        <v>Ipe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2x6</v>
      </c>
      <c r="N454">
        <f>_xlfn.XLOOKUP(E454,'Base SKUs'!E:E,'Base SKUs'!K:K)</f>
        <v>7</v>
      </c>
      <c r="O454" t="str">
        <f>_xlfn.XLOOKUP(E454,'Base SKUs'!E:E,'Base SKUs'!C:C)</f>
        <v>Short</v>
      </c>
      <c r="P454" t="s">
        <v>4928</v>
      </c>
    </row>
    <row r="455" spans="1:16" hidden="1" x14ac:dyDescent="0.25">
      <c r="A455" t="s">
        <v>4954</v>
      </c>
      <c r="B455" t="s">
        <v>19</v>
      </c>
      <c r="C455" t="s">
        <v>266</v>
      </c>
      <c r="D455">
        <v>9009</v>
      </c>
      <c r="E455" t="s">
        <v>214</v>
      </c>
      <c r="F455">
        <v>539</v>
      </c>
      <c r="G455" t="str">
        <f>_xlfn.XLOOKUP(E455,'Base SKUs'!E:E,'Base SKUs'!D:D)</f>
        <v>Thermowood</v>
      </c>
      <c r="H455" s="10">
        <f>_xlfn.XLOOKUP(E455,'Base SKUs'!E:E,'Base SKUs'!S:S)</f>
        <v>1.1172E-2</v>
      </c>
      <c r="I455" s="9">
        <f t="shared" si="7"/>
        <v>6.0220000000000002</v>
      </c>
      <c r="J455" t="str">
        <f>_xlfn.XLOOKUP(E455,'Base SKUs'!E:E,'Base SKUs'!G:G)</f>
        <v>Maximo Thermo Ayous</v>
      </c>
      <c r="K455" t="str">
        <f>_xlfn.XLOOKUP(E455,'Base SKUs'!E:E,'Base SKUs'!H:H)</f>
        <v>S4S E4E</v>
      </c>
      <c r="L455" t="str">
        <f>_xlfn.XLOOKUP(E455,'Base SKUs'!E:E,'Base SKUs'!I:I)</f>
        <v>-</v>
      </c>
      <c r="M455" t="str">
        <f>_xlfn.XLOOKUP(E455,'Base SKUs'!E:E,'Base SKUs'!J:J)</f>
        <v>1x6</v>
      </c>
      <c r="N455">
        <f>_xlfn.XLOOKUP(E455,'Base SKUs'!E:E,'Base SKUs'!K:K)</f>
        <v>14</v>
      </c>
      <c r="O455" t="str">
        <f>_xlfn.XLOOKUP(E455,'Base SKUs'!E:E,'Base SKUs'!C:C)</f>
        <v>Long</v>
      </c>
      <c r="P455" t="s">
        <v>4927</v>
      </c>
    </row>
    <row r="456" spans="1:16" hidden="1" x14ac:dyDescent="0.25">
      <c r="A456" t="s">
        <v>4954</v>
      </c>
      <c r="B456" t="s">
        <v>19</v>
      </c>
      <c r="C456" t="s">
        <v>266</v>
      </c>
      <c r="D456">
        <v>9009</v>
      </c>
      <c r="E456" t="s">
        <v>56</v>
      </c>
      <c r="F456">
        <v>591</v>
      </c>
      <c r="G456" t="str">
        <f>_xlfn.XLOOKUP(E456,'Base SKUs'!E:E,'Base SKUs'!D:D)</f>
        <v>Thermowood</v>
      </c>
      <c r="H456" s="10">
        <f>_xlfn.XLOOKUP(E456,'Base SKUs'!E:E,'Base SKUs'!S:S)</f>
        <v>4.7880000000000006E-3</v>
      </c>
      <c r="I456" s="9">
        <f t="shared" si="7"/>
        <v>2.83</v>
      </c>
      <c r="J456" t="str">
        <f>_xlfn.XLOOKUP(E456,'Base SKUs'!E:E,'Base SKUs'!G:G)</f>
        <v>Maximo Thermo Ayous</v>
      </c>
      <c r="K456" t="str">
        <f>_xlfn.XLOOKUP(E456,'Base SKUs'!E:E,'Base SKUs'!H:H)</f>
        <v>VJoint - Square Back</v>
      </c>
      <c r="L456" t="str">
        <f>_xlfn.XLOOKUP(E456,'Base SKUs'!E:E,'Base SKUs'!I:I)</f>
        <v>-</v>
      </c>
      <c r="M456" t="str">
        <f>_xlfn.XLOOKUP(E456,'Base SKUs'!E:E,'Base SKUs'!J:J)</f>
        <v>1x6</v>
      </c>
      <c r="N456">
        <f>_xlfn.XLOOKUP(E456,'Base SKUs'!E:E,'Base SKUs'!K:K)</f>
        <v>6</v>
      </c>
      <c r="O456" t="str">
        <f>_xlfn.XLOOKUP(E456,'Base SKUs'!E:E,'Base SKUs'!C:C)</f>
        <v>Short</v>
      </c>
      <c r="P456" t="s">
        <v>4927</v>
      </c>
    </row>
    <row r="457" spans="1:16" hidden="1" x14ac:dyDescent="0.25">
      <c r="A457" t="s">
        <v>4954</v>
      </c>
      <c r="B457" t="s">
        <v>19</v>
      </c>
      <c r="C457" t="s">
        <v>266</v>
      </c>
      <c r="D457">
        <v>9009</v>
      </c>
      <c r="E457" t="s">
        <v>123</v>
      </c>
      <c r="F457">
        <v>1029</v>
      </c>
      <c r="G457" t="str">
        <f>_xlfn.XLOOKUP(E457,'Base SKUs'!E:E,'Base SKUs'!D:D)</f>
        <v>Thermowood</v>
      </c>
      <c r="H457" s="10">
        <f>_xlfn.XLOOKUP(E457,'Base SKUs'!E:E,'Base SKUs'!S:S)</f>
        <v>5.5859999999999998E-3</v>
      </c>
      <c r="I457" s="9">
        <f t="shared" si="7"/>
        <v>5.7480000000000002</v>
      </c>
      <c r="J457" t="str">
        <f>_xlfn.XLOOKUP(E457,'Base SKUs'!E:E,'Base SKUs'!G:G)</f>
        <v>Maximo Thermo Ayous</v>
      </c>
      <c r="K457" t="str">
        <f>_xlfn.XLOOKUP(E457,'Base SKUs'!E:E,'Base SKUs'!H:H)</f>
        <v>VJoint - Square Back</v>
      </c>
      <c r="L457" t="str">
        <f>_xlfn.XLOOKUP(E457,'Base SKUs'!E:E,'Base SKUs'!I:I)</f>
        <v>-</v>
      </c>
      <c r="M457" t="str">
        <f>_xlfn.XLOOKUP(E457,'Base SKUs'!E:E,'Base SKUs'!J:J)</f>
        <v>1x6</v>
      </c>
      <c r="N457">
        <f>_xlfn.XLOOKUP(E457,'Base SKUs'!E:E,'Base SKUs'!K:K)</f>
        <v>7</v>
      </c>
      <c r="O457" t="str">
        <f>_xlfn.XLOOKUP(E457,'Base SKUs'!E:E,'Base SKUs'!C:C)</f>
        <v>Short</v>
      </c>
      <c r="P457" t="s">
        <v>4927</v>
      </c>
    </row>
    <row r="458" spans="1:16" hidden="1" x14ac:dyDescent="0.25">
      <c r="A458" t="s">
        <v>4954</v>
      </c>
      <c r="B458" t="s">
        <v>19</v>
      </c>
      <c r="C458" t="s">
        <v>266</v>
      </c>
      <c r="D458">
        <v>9009</v>
      </c>
      <c r="E458" t="s">
        <v>338</v>
      </c>
      <c r="F458">
        <v>714</v>
      </c>
      <c r="G458" t="str">
        <f>_xlfn.XLOOKUP(E458,'Base SKUs'!E:E,'Base SKUs'!D:D)</f>
        <v>Norx</v>
      </c>
      <c r="H458" s="10">
        <f>_xlfn.XLOOKUP(E458,'Base SKUs'!E:E,'Base SKUs'!S:S)</f>
        <v>0</v>
      </c>
      <c r="I458" s="9">
        <f t="shared" si="7"/>
        <v>714</v>
      </c>
      <c r="J458" t="str">
        <f>_xlfn.XLOOKUP(E458,'Base SKUs'!E:E,'Base SKUs'!G:G)</f>
        <v>Teak</v>
      </c>
      <c r="K458" t="str">
        <f>_xlfn.XLOOKUP(E458,'Base SKUs'!E:E,'Base SKUs'!H:H)</f>
        <v>Profile</v>
      </c>
      <c r="L458" t="str">
        <f>_xlfn.XLOOKUP(E458,'Base SKUs'!E:E,'Base SKUs'!I:I)</f>
        <v>-</v>
      </c>
      <c r="M458" t="str">
        <f>_xlfn.XLOOKUP(E458,'Base SKUs'!E:E,'Base SKUs'!J:J)</f>
        <v>1x6</v>
      </c>
      <c r="N458">
        <f>_xlfn.XLOOKUP(E458,'Base SKUs'!E:E,'Base SKUs'!K:K)</f>
        <v>16</v>
      </c>
      <c r="O458" t="str">
        <f>_xlfn.XLOOKUP(E458,'Base SKUs'!E:E,'Base SKUs'!C:C)</f>
        <v>Long</v>
      </c>
      <c r="P458" t="s">
        <v>4927</v>
      </c>
    </row>
    <row r="459" spans="1:16" hidden="1" x14ac:dyDescent="0.25">
      <c r="A459" t="s">
        <v>4954</v>
      </c>
      <c r="B459" t="s">
        <v>19</v>
      </c>
      <c r="C459" t="s">
        <v>266</v>
      </c>
      <c r="D459">
        <v>9009</v>
      </c>
      <c r="E459" t="s">
        <v>3889</v>
      </c>
      <c r="F459">
        <v>360</v>
      </c>
      <c r="G459" t="str">
        <f>_xlfn.XLOOKUP(E459,'Base SKUs'!E:E,'Base SKUs'!D:D)</f>
        <v>Thermowood</v>
      </c>
      <c r="H459" s="10">
        <f>_xlfn.XLOOKUP(E459,'Base SKUs'!E:E,'Base SKUs'!S:S)</f>
        <v>8.6400000000000001E-3</v>
      </c>
      <c r="I459" s="9">
        <f t="shared" si="7"/>
        <v>3.11</v>
      </c>
      <c r="J459" t="str">
        <f>_xlfn.XLOOKUP(E459,'Base SKUs'!E:E,'Base SKUs'!G:G)</f>
        <v>Maximo Thermo Ayous</v>
      </c>
      <c r="K459" t="str">
        <f>_xlfn.XLOOKUP(E459,'Base SKUs'!E:E,'Base SKUs'!H:H)</f>
        <v>S4S E4E</v>
      </c>
      <c r="L459" t="str">
        <f>_xlfn.XLOOKUP(E459,'Base SKUs'!E:E,'Base SKUs'!I:I)</f>
        <v>-</v>
      </c>
      <c r="M459" t="str">
        <f>_xlfn.XLOOKUP(E459,'Base SKUs'!E:E,'Base SKUs'!J:J)</f>
        <v>2x4</v>
      </c>
      <c r="N459">
        <f>_xlfn.XLOOKUP(E459,'Base SKUs'!E:E,'Base SKUs'!K:K)</f>
        <v>8</v>
      </c>
      <c r="O459" t="str">
        <f>_xlfn.XLOOKUP(E459,'Base SKUs'!E:E,'Base SKUs'!C:C)</f>
        <v>Long</v>
      </c>
      <c r="P459" t="s">
        <v>4927</v>
      </c>
    </row>
    <row r="460" spans="1:16" hidden="1" x14ac:dyDescent="0.25">
      <c r="A460" t="s">
        <v>4955</v>
      </c>
      <c r="B460" t="s">
        <v>19</v>
      </c>
      <c r="C460" t="s">
        <v>20</v>
      </c>
      <c r="D460">
        <v>9007</v>
      </c>
      <c r="E460" t="s">
        <v>3935</v>
      </c>
      <c r="F460">
        <v>217</v>
      </c>
      <c r="G460" t="str">
        <f>_xlfn.XLOOKUP(E460,'Base SKUs'!E:E,'Base SKUs'!D:D)</f>
        <v>Thermowood</v>
      </c>
      <c r="H460" s="10">
        <f>_xlfn.XLOOKUP(E460,'Base SKUs'!E:E,'Base SKUs'!S:S)</f>
        <v>7.980000000000001E-3</v>
      </c>
      <c r="I460" s="9">
        <f t="shared" si="7"/>
        <v>1.732</v>
      </c>
      <c r="J460" t="str">
        <f>_xlfn.XLOOKUP(E460,'Base SKUs'!E:E,'Base SKUs'!G:G)</f>
        <v>Maximo Thermo Ayous</v>
      </c>
      <c r="K460" t="str">
        <f>_xlfn.XLOOKUP(E460,'Base SKUs'!E:E,'Base SKUs'!H:H)</f>
        <v>VJoint - Nickel Gap</v>
      </c>
      <c r="L460" t="str">
        <f>_xlfn.XLOOKUP(E460,'Base SKUs'!E:E,'Base SKUs'!I:I)</f>
        <v>Burn Blocked</v>
      </c>
      <c r="M460" t="str">
        <f>_xlfn.XLOOKUP(E460,'Base SKUs'!E:E,'Base SKUs'!J:J)</f>
        <v>1x6</v>
      </c>
      <c r="N460">
        <f>_xlfn.XLOOKUP(E460,'Base SKUs'!E:E,'Base SKUs'!K:K)</f>
        <v>10</v>
      </c>
      <c r="O460" t="str">
        <f>_xlfn.XLOOKUP(E460,'Base SKUs'!E:E,'Base SKUs'!C:C)</f>
        <v>Long</v>
      </c>
      <c r="P460" t="s">
        <v>4926</v>
      </c>
    </row>
    <row r="461" spans="1:16" hidden="1" x14ac:dyDescent="0.25">
      <c r="A461" t="s">
        <v>4955</v>
      </c>
      <c r="B461" t="s">
        <v>19</v>
      </c>
      <c r="C461" t="s">
        <v>20</v>
      </c>
      <c r="D461">
        <v>9007</v>
      </c>
      <c r="E461" t="s">
        <v>3949</v>
      </c>
      <c r="F461">
        <v>170</v>
      </c>
      <c r="G461" t="str">
        <f>_xlfn.XLOOKUP(E461,'Base SKUs'!E:E,'Base SKUs'!D:D)</f>
        <v>Thermowood</v>
      </c>
      <c r="H461" s="10">
        <f>_xlfn.XLOOKUP(E461,'Base SKUs'!E:E,'Base SKUs'!S:S)</f>
        <v>5.5859999999999998E-3</v>
      </c>
      <c r="I461" s="9">
        <f t="shared" si="7"/>
        <v>0.95</v>
      </c>
      <c r="J461" t="str">
        <f>_xlfn.XLOOKUP(E461,'Base SKUs'!E:E,'Base SKUs'!G:G)</f>
        <v>Maximo Thermo Ayous</v>
      </c>
      <c r="K461" t="str">
        <f>_xlfn.XLOOKUP(E461,'Base SKUs'!E:E,'Base SKUs'!H:H)</f>
        <v>VJoint - Nickel Gap</v>
      </c>
      <c r="L461" t="str">
        <f>_xlfn.XLOOKUP(E461,'Base SKUs'!E:E,'Base SKUs'!I:I)</f>
        <v>Burn Blocked</v>
      </c>
      <c r="M461" t="str">
        <f>_xlfn.XLOOKUP(E461,'Base SKUs'!E:E,'Base SKUs'!J:J)</f>
        <v>1x6</v>
      </c>
      <c r="N461">
        <f>_xlfn.XLOOKUP(E461,'Base SKUs'!E:E,'Base SKUs'!K:K)</f>
        <v>7</v>
      </c>
      <c r="O461" t="str">
        <f>_xlfn.XLOOKUP(E461,'Base SKUs'!E:E,'Base SKUs'!C:C)</f>
        <v>Short</v>
      </c>
      <c r="P461" t="s">
        <v>4926</v>
      </c>
    </row>
    <row r="462" spans="1:16" hidden="1" x14ac:dyDescent="0.25">
      <c r="A462" t="s">
        <v>4956</v>
      </c>
      <c r="B462" t="s">
        <v>225</v>
      </c>
      <c r="C462" t="s">
        <v>182</v>
      </c>
      <c r="D462">
        <v>9007</v>
      </c>
      <c r="E462" t="s">
        <v>9</v>
      </c>
      <c r="F462">
        <v>336</v>
      </c>
      <c r="G462" t="str">
        <f>_xlfn.XLOOKUP(E462,'Base SKUs'!E:E,'Base SKUs'!D:D)</f>
        <v>Thermowood</v>
      </c>
      <c r="H462" s="10">
        <f>_xlfn.XLOOKUP(E462,'Base SKUs'!E:E,'Base SKUs'!S:S)</f>
        <v>1.1172E-2</v>
      </c>
      <c r="I462" s="9">
        <f t="shared" si="7"/>
        <v>3.754</v>
      </c>
      <c r="J462" t="str">
        <f>_xlfn.XLOOKUP(E462,'Base SKUs'!E:E,'Base SKUs'!G:G)</f>
        <v>Maximo Thermo Ayous</v>
      </c>
      <c r="K462" t="str">
        <f>_xlfn.XLOOKUP(E462,'Base SKUs'!E:E,'Base SKUs'!H:H)</f>
        <v>VJoint - Nickel Gap</v>
      </c>
      <c r="L462" t="str">
        <f>_xlfn.XLOOKUP(E462,'Base SKUs'!E:E,'Base SKUs'!I:I)</f>
        <v>-</v>
      </c>
      <c r="M462" t="str">
        <f>_xlfn.XLOOKUP(E462,'Base SKUs'!E:E,'Base SKUs'!J:J)</f>
        <v>1x6</v>
      </c>
      <c r="N462">
        <f>_xlfn.XLOOKUP(E462,'Base SKUs'!E:E,'Base SKUs'!K:K)</f>
        <v>14</v>
      </c>
      <c r="O462" t="str">
        <f>_xlfn.XLOOKUP(E462,'Base SKUs'!E:E,'Base SKUs'!C:C)</f>
        <v>Long</v>
      </c>
      <c r="P462" t="s">
        <v>4926</v>
      </c>
    </row>
    <row r="463" spans="1:16" hidden="1" x14ac:dyDescent="0.25">
      <c r="A463" t="s">
        <v>4957</v>
      </c>
      <c r="B463" t="s">
        <v>19</v>
      </c>
      <c r="C463" t="s">
        <v>20</v>
      </c>
      <c r="D463">
        <v>9007</v>
      </c>
      <c r="E463" t="s">
        <v>311</v>
      </c>
      <c r="F463">
        <v>280</v>
      </c>
      <c r="G463" t="str">
        <f>_xlfn.XLOOKUP(E463,'Base SKUs'!E:E,'Base SKUs'!D:D)</f>
        <v>Hardwoods</v>
      </c>
      <c r="H463" s="10">
        <f>_xlfn.XLOOKUP(E463,'Base SKUs'!E:E,'Base SKUs'!S:S)</f>
        <v>8.6523697920000003E-3</v>
      </c>
      <c r="I463" s="9">
        <f t="shared" si="7"/>
        <v>2.423</v>
      </c>
      <c r="J463" t="str">
        <f>_xlfn.XLOOKUP(E463,'Base SKUs'!E:E,'Base SKUs'!G:G)</f>
        <v>Ipe</v>
      </c>
      <c r="K463" t="str">
        <f>_xlfn.XLOOKUP(E463,'Base SKUs'!E:E,'Base SKUs'!H:H)</f>
        <v>S4S E4E</v>
      </c>
      <c r="L463" t="str">
        <f>_xlfn.XLOOKUP(E463,'Base SKUs'!E:E,'Base SKUs'!I:I)</f>
        <v>-</v>
      </c>
      <c r="M463" t="str">
        <f>_xlfn.XLOOKUP(E463,'Base SKUs'!E:E,'Base SKUs'!J:J)</f>
        <v>5/4x6</v>
      </c>
      <c r="N463">
        <f>_xlfn.XLOOKUP(E463,'Base SKUs'!E:E,'Base SKUs'!K:K)</f>
        <v>8</v>
      </c>
      <c r="O463" t="str">
        <f>_xlfn.XLOOKUP(E463,'Base SKUs'!E:E,'Base SKUs'!C:C)</f>
        <v>Long</v>
      </c>
      <c r="P463" t="s">
        <v>4928</v>
      </c>
    </row>
    <row r="464" spans="1:16" hidden="1" x14ac:dyDescent="0.25">
      <c r="A464" t="s">
        <v>4957</v>
      </c>
      <c r="B464" t="s">
        <v>19</v>
      </c>
      <c r="C464" t="s">
        <v>20</v>
      </c>
      <c r="D464">
        <v>9007</v>
      </c>
      <c r="E464" t="s">
        <v>72</v>
      </c>
      <c r="F464">
        <v>301</v>
      </c>
      <c r="G464" t="str">
        <f>_xlfn.XLOOKUP(E464,'Base SKUs'!E:E,'Base SKUs'!D:D)</f>
        <v>Hardwoods</v>
      </c>
      <c r="H464" s="10">
        <f>_xlfn.XLOOKUP(E464,'Base SKUs'!E:E,'Base SKUs'!S:S)</f>
        <v>1.081546224E-2</v>
      </c>
      <c r="I464" s="9">
        <f t="shared" si="7"/>
        <v>3.2549999999999999</v>
      </c>
      <c r="J464" t="str">
        <f>_xlfn.XLOOKUP(E464,'Base SKUs'!E:E,'Base SKUs'!G:G)</f>
        <v>Ipe</v>
      </c>
      <c r="K464" t="str">
        <f>_xlfn.XLOOKUP(E464,'Base SKUs'!E:E,'Base SKUs'!H:H)</f>
        <v>S4S E4E</v>
      </c>
      <c r="L464" t="str">
        <f>_xlfn.XLOOKUP(E464,'Base SKUs'!E:E,'Base SKUs'!I:I)</f>
        <v>-</v>
      </c>
      <c r="M464" t="str">
        <f>_xlfn.XLOOKUP(E464,'Base SKUs'!E:E,'Base SKUs'!J:J)</f>
        <v>5/4x6</v>
      </c>
      <c r="N464">
        <f>_xlfn.XLOOKUP(E464,'Base SKUs'!E:E,'Base SKUs'!K:K)</f>
        <v>10</v>
      </c>
      <c r="O464" t="str">
        <f>_xlfn.XLOOKUP(E464,'Base SKUs'!E:E,'Base SKUs'!C:C)</f>
        <v>Long</v>
      </c>
      <c r="P464" t="s">
        <v>4928</v>
      </c>
    </row>
    <row r="465" spans="1:16" hidden="1" x14ac:dyDescent="0.25">
      <c r="A465" t="s">
        <v>4957</v>
      </c>
      <c r="B465" t="s">
        <v>19</v>
      </c>
      <c r="C465" t="s">
        <v>20</v>
      </c>
      <c r="D465">
        <v>9007</v>
      </c>
      <c r="E465" t="s">
        <v>271</v>
      </c>
      <c r="F465">
        <v>280</v>
      </c>
      <c r="G465" t="str">
        <f>_xlfn.XLOOKUP(E465,'Base SKUs'!E:E,'Base SKUs'!D:D)</f>
        <v>Hardwoods</v>
      </c>
      <c r="H465" s="10">
        <f>_xlfn.XLOOKUP(E465,'Base SKUs'!E:E,'Base SKUs'!S:S)</f>
        <v>1.2978554687999997E-2</v>
      </c>
      <c r="I465" s="9">
        <f t="shared" si="7"/>
        <v>3.6339999999999999</v>
      </c>
      <c r="J465" t="str">
        <f>_xlfn.XLOOKUP(E465,'Base SKUs'!E:E,'Base SKUs'!G:G)</f>
        <v>Ipe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5/4x6</v>
      </c>
      <c r="N465">
        <f>_xlfn.XLOOKUP(E465,'Base SKUs'!E:E,'Base SKUs'!K:K)</f>
        <v>12</v>
      </c>
      <c r="O465" t="str">
        <f>_xlfn.XLOOKUP(E465,'Base SKUs'!E:E,'Base SKUs'!C:C)</f>
        <v>Long</v>
      </c>
      <c r="P465" t="s">
        <v>4928</v>
      </c>
    </row>
    <row r="466" spans="1:16" hidden="1" x14ac:dyDescent="0.25">
      <c r="A466" t="s">
        <v>4957</v>
      </c>
      <c r="B466" t="s">
        <v>19</v>
      </c>
      <c r="C466" t="s">
        <v>20</v>
      </c>
      <c r="D466">
        <v>9007</v>
      </c>
      <c r="E466" t="s">
        <v>270</v>
      </c>
      <c r="F466">
        <v>189</v>
      </c>
      <c r="G466" t="str">
        <f>_xlfn.XLOOKUP(E466,'Base SKUs'!E:E,'Base SKUs'!D:D)</f>
        <v>Hardwoods</v>
      </c>
      <c r="H466" s="10">
        <f>_xlfn.XLOOKUP(E466,'Base SKUs'!E:E,'Base SKUs'!S:S)</f>
        <v>1.5141647135999997E-2</v>
      </c>
      <c r="I466" s="9">
        <f t="shared" si="7"/>
        <v>2.8620000000000001</v>
      </c>
      <c r="J466" t="str">
        <f>_xlfn.XLOOKUP(E466,'Base SKUs'!E:E,'Base SKUs'!G:G)</f>
        <v>Ipe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5/4x6</v>
      </c>
      <c r="N466">
        <f>_xlfn.XLOOKUP(E466,'Base SKUs'!E:E,'Base SKUs'!K:K)</f>
        <v>14</v>
      </c>
      <c r="O466" t="str">
        <f>_xlfn.XLOOKUP(E466,'Base SKUs'!E:E,'Base SKUs'!C:C)</f>
        <v>Long</v>
      </c>
      <c r="P466" t="s">
        <v>4928</v>
      </c>
    </row>
    <row r="467" spans="1:16" hidden="1" x14ac:dyDescent="0.25">
      <c r="A467" t="s">
        <v>4957</v>
      </c>
      <c r="B467" t="s">
        <v>19</v>
      </c>
      <c r="C467" t="s">
        <v>20</v>
      </c>
      <c r="D467">
        <v>9007</v>
      </c>
      <c r="E467" t="s">
        <v>272</v>
      </c>
      <c r="F467">
        <v>112</v>
      </c>
      <c r="G467" t="str">
        <f>_xlfn.XLOOKUP(E467,'Base SKUs'!E:E,'Base SKUs'!D:D)</f>
        <v>Hardwoods</v>
      </c>
      <c r="H467" s="10">
        <f>_xlfn.XLOOKUP(E467,'Base SKUs'!E:E,'Base SKUs'!S:S)</f>
        <v>1.7304739584000001E-2</v>
      </c>
      <c r="I467" s="9">
        <f t="shared" si="7"/>
        <v>1.9379999999999999</v>
      </c>
      <c r="J467" t="str">
        <f>_xlfn.XLOOKUP(E467,'Base SKUs'!E:E,'Base SKUs'!G:G)</f>
        <v>Ipe</v>
      </c>
      <c r="K467" t="str">
        <f>_xlfn.XLOOKUP(E467,'Base SKUs'!E:E,'Base SKUs'!H:H)</f>
        <v>S4S E4E</v>
      </c>
      <c r="L467" t="str">
        <f>_xlfn.XLOOKUP(E467,'Base SKUs'!E:E,'Base SKUs'!I:I)</f>
        <v>-</v>
      </c>
      <c r="M467" t="str">
        <f>_xlfn.XLOOKUP(E467,'Base SKUs'!E:E,'Base SKUs'!J:J)</f>
        <v>5/4x6</v>
      </c>
      <c r="N467">
        <f>_xlfn.XLOOKUP(E467,'Base SKUs'!E:E,'Base SKUs'!K:K)</f>
        <v>16</v>
      </c>
      <c r="O467" t="str">
        <f>_xlfn.XLOOKUP(E467,'Base SKUs'!E:E,'Base SKUs'!C:C)</f>
        <v>Long</v>
      </c>
      <c r="P467" t="s">
        <v>4928</v>
      </c>
    </row>
    <row r="468" spans="1:16" hidden="1" x14ac:dyDescent="0.25">
      <c r="A468" t="s">
        <v>4957</v>
      </c>
      <c r="B468" t="s">
        <v>19</v>
      </c>
      <c r="C468" t="s">
        <v>20</v>
      </c>
      <c r="D468">
        <v>9007</v>
      </c>
      <c r="E468" t="s">
        <v>278</v>
      </c>
      <c r="F468">
        <v>105</v>
      </c>
      <c r="G468" t="str">
        <f>_xlfn.XLOOKUP(E468,'Base SKUs'!E:E,'Base SKUs'!D:D)</f>
        <v>Hardwoods</v>
      </c>
      <c r="H468" s="10">
        <f>_xlfn.XLOOKUP(E468,'Base SKUs'!E:E,'Base SKUs'!S:S)</f>
        <v>1.9467832031999997E-2</v>
      </c>
      <c r="I468" s="9">
        <f t="shared" ref="I468:I507" si="8">IF(OR(G468="Norx",K468="Tiles"),ROUND(F468,3),ROUND(F468*H468,3))</f>
        <v>2.044</v>
      </c>
      <c r="J468" t="str">
        <f>_xlfn.XLOOKUP(E468,'Base SKUs'!E:E,'Base SKUs'!G:G)</f>
        <v>Ipe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5/4x6</v>
      </c>
      <c r="N468">
        <f>_xlfn.XLOOKUP(E468,'Base SKUs'!E:E,'Base SKUs'!K:K)</f>
        <v>18</v>
      </c>
      <c r="O468" t="str">
        <f>_xlfn.XLOOKUP(E468,'Base SKUs'!E:E,'Base SKUs'!C:C)</f>
        <v>Long</v>
      </c>
      <c r="P468" t="s">
        <v>4928</v>
      </c>
    </row>
    <row r="469" spans="1:16" hidden="1" x14ac:dyDescent="0.25">
      <c r="A469" t="s">
        <v>4957</v>
      </c>
      <c r="B469" t="s">
        <v>19</v>
      </c>
      <c r="C469" t="s">
        <v>20</v>
      </c>
      <c r="D469">
        <v>9007</v>
      </c>
      <c r="E469" t="s">
        <v>278</v>
      </c>
      <c r="F469">
        <v>105</v>
      </c>
      <c r="G469" t="str">
        <f>_xlfn.XLOOKUP(E469,'Base SKUs'!E:E,'Base SKUs'!D:D)</f>
        <v>Hardwoods</v>
      </c>
      <c r="H469" s="10">
        <f>_xlfn.XLOOKUP(E469,'Base SKUs'!E:E,'Base SKUs'!S:S)</f>
        <v>1.9467832031999997E-2</v>
      </c>
      <c r="I469" s="9">
        <f t="shared" si="8"/>
        <v>2.044</v>
      </c>
      <c r="J469" t="str">
        <f>_xlfn.XLOOKUP(E469,'Base SKUs'!E:E,'Base SKUs'!G:G)</f>
        <v>Ipe</v>
      </c>
      <c r="K469" t="str">
        <f>_xlfn.XLOOKUP(E469,'Base SKUs'!E:E,'Base SKUs'!H:H)</f>
        <v>S4S E4E</v>
      </c>
      <c r="L469" t="str">
        <f>_xlfn.XLOOKUP(E469,'Base SKUs'!E:E,'Base SKUs'!I:I)</f>
        <v>-</v>
      </c>
      <c r="M469" t="str">
        <f>_xlfn.XLOOKUP(E469,'Base SKUs'!E:E,'Base SKUs'!J:J)</f>
        <v>5/4x6</v>
      </c>
      <c r="N469">
        <f>_xlfn.XLOOKUP(E469,'Base SKUs'!E:E,'Base SKUs'!K:K)</f>
        <v>18</v>
      </c>
      <c r="O469" t="str">
        <f>_xlfn.XLOOKUP(E469,'Base SKUs'!E:E,'Base SKUs'!C:C)</f>
        <v>Long</v>
      </c>
      <c r="P469" t="s">
        <v>4928</v>
      </c>
    </row>
    <row r="470" spans="1:16" hidden="1" x14ac:dyDescent="0.25">
      <c r="A470" t="s">
        <v>4958</v>
      </c>
      <c r="B470" t="s">
        <v>4959</v>
      </c>
      <c r="C470" t="s">
        <v>128</v>
      </c>
      <c r="D470">
        <v>9008</v>
      </c>
      <c r="E470" t="s">
        <v>3602</v>
      </c>
      <c r="F470">
        <v>70</v>
      </c>
      <c r="G470" t="str">
        <f>_xlfn.XLOOKUP(E470,'Base SKUs'!E:E,'Base SKUs'!D:D)</f>
        <v>Thermowood</v>
      </c>
      <c r="H470" s="10">
        <f>_xlfn.XLOOKUP(E470,'Base SKUs'!E:E,'Base SKUs'!S:S)</f>
        <v>1.0699575374999997E-2</v>
      </c>
      <c r="I470" s="9">
        <f t="shared" si="8"/>
        <v>0.749</v>
      </c>
      <c r="J470" t="str">
        <f>_xlfn.XLOOKUP(E470,'Base SKUs'!E:E,'Base SKUs'!G:G)</f>
        <v>Maximo Thermo Ayous JPL</v>
      </c>
      <c r="K470" t="str">
        <f>_xlfn.XLOOKUP(E470,'Base SKUs'!E:E,'Base SKUs'!H:H)</f>
        <v>S4S E4E</v>
      </c>
      <c r="L470" t="str">
        <f>_xlfn.XLOOKUP(E470,'Base SKUs'!E:E,'Base SKUs'!I:I)</f>
        <v>-</v>
      </c>
      <c r="M470" t="str">
        <f>_xlfn.XLOOKUP(E470,'Base SKUs'!E:E,'Base SKUs'!J:J)</f>
        <v>1x8</v>
      </c>
      <c r="N470">
        <f>_xlfn.XLOOKUP(E470,'Base SKUs'!E:E,'Base SKUs'!K:K)</f>
        <v>10</v>
      </c>
      <c r="O470" t="str">
        <f>_xlfn.XLOOKUP(E470,'Base SKUs'!E:E,'Base SKUs'!C:C)</f>
        <v>Long</v>
      </c>
      <c r="P470" t="s">
        <v>4926</v>
      </c>
    </row>
    <row r="471" spans="1:16" hidden="1" x14ac:dyDescent="0.25">
      <c r="A471" t="s">
        <v>4960</v>
      </c>
      <c r="B471" t="s">
        <v>19</v>
      </c>
      <c r="C471" t="s">
        <v>20</v>
      </c>
      <c r="D471">
        <v>9008</v>
      </c>
      <c r="E471" t="s">
        <v>165</v>
      </c>
      <c r="F471">
        <v>525</v>
      </c>
      <c r="G471" t="str">
        <f>_xlfn.XLOOKUP(E471,'Base SKUs'!E:E,'Base SKUs'!D:D)</f>
        <v>Hardwoods</v>
      </c>
      <c r="H471" s="10">
        <f>_xlfn.XLOOKUP(E471,'Base SKUs'!E:E,'Base SKUs'!S:S)</f>
        <v>8.1803360000000012E-4</v>
      </c>
      <c r="I471" s="9">
        <f t="shared" si="8"/>
        <v>525</v>
      </c>
      <c r="J471" t="str">
        <f>_xlfn.XLOOKUP(E471,'Base SKUs'!E:E,'Base SKUs'!G:G)</f>
        <v>Cumaru</v>
      </c>
      <c r="K471" t="str">
        <f>_xlfn.XLOOKUP(E471,'Base SKUs'!E:E,'Base SKUs'!H:H)</f>
        <v>Tiles</v>
      </c>
      <c r="L471" t="str">
        <f>_xlfn.XLOOKUP(E471,'Base SKUs'!E:E,'Base SKUs'!I:I)</f>
        <v>-</v>
      </c>
      <c r="M471" t="str">
        <f>_xlfn.XLOOKUP(E471,'Base SKUs'!E:E,'Base SKUs'!J:J)</f>
        <v>24x24</v>
      </c>
      <c r="N471">
        <f>_xlfn.XLOOKUP(E471,'Base SKUs'!E:E,'Base SKUs'!K:K)</f>
        <v>24</v>
      </c>
      <c r="O471" t="str">
        <f>_xlfn.XLOOKUP(E471,'Base SKUs'!E:E,'Base SKUs'!C:C)</f>
        <v>Tiles</v>
      </c>
      <c r="P471" t="s">
        <v>4926</v>
      </c>
    </row>
    <row r="472" spans="1:16" hidden="1" x14ac:dyDescent="0.25">
      <c r="A472" t="s">
        <v>4961</v>
      </c>
      <c r="B472" t="s">
        <v>4962</v>
      </c>
      <c r="C472" t="s">
        <v>219</v>
      </c>
      <c r="D472">
        <v>9008</v>
      </c>
      <c r="E472" t="s">
        <v>11</v>
      </c>
      <c r="F472">
        <v>140</v>
      </c>
      <c r="G472" t="str">
        <f>_xlfn.XLOOKUP(E472,'Base SKUs'!E:E,'Base SKUs'!D:D)</f>
        <v>Hardwoods</v>
      </c>
      <c r="H472" s="10">
        <f>_xlfn.XLOOKUP(E472,'Base SKUs'!E:E,'Base SKUs'!S:S)</f>
        <v>6.4892773439999994E-3</v>
      </c>
      <c r="I472" s="9">
        <f t="shared" si="8"/>
        <v>0.90800000000000003</v>
      </c>
      <c r="J472" t="str">
        <f>_xlfn.XLOOKUP(E472,'Base SKUs'!E:E,'Base SKUs'!G:G)</f>
        <v>Ipe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1x6</v>
      </c>
      <c r="N472">
        <f>_xlfn.XLOOKUP(E472,'Base SKUs'!E:E,'Base SKUs'!K:K)</f>
        <v>8</v>
      </c>
      <c r="O472" t="str">
        <f>_xlfn.XLOOKUP(E472,'Base SKUs'!E:E,'Base SKUs'!C:C)</f>
        <v>Long</v>
      </c>
      <c r="P472" t="s">
        <v>4926</v>
      </c>
    </row>
    <row r="473" spans="1:16" hidden="1" x14ac:dyDescent="0.25">
      <c r="A473" t="s">
        <v>4961</v>
      </c>
      <c r="B473" t="s">
        <v>4962</v>
      </c>
      <c r="C473" t="s">
        <v>219</v>
      </c>
      <c r="D473">
        <v>9008</v>
      </c>
      <c r="E473" t="s">
        <v>290</v>
      </c>
      <c r="F473">
        <v>180</v>
      </c>
      <c r="G473" t="str">
        <f>_xlfn.XLOOKUP(E473,'Base SKUs'!E:E,'Base SKUs'!D:D)</f>
        <v>Hardwoods</v>
      </c>
      <c r="H473" s="10">
        <f>_xlfn.XLOOKUP(E473,'Base SKUs'!E:E,'Base SKUs'!S:S)</f>
        <v>1.4600874024E-2</v>
      </c>
      <c r="I473" s="9">
        <f t="shared" si="8"/>
        <v>2.6280000000000001</v>
      </c>
      <c r="J473" t="str">
        <f>_xlfn.XLOOKUP(E473,'Base SKUs'!E:E,'Base SKUs'!G:G)</f>
        <v>Ipe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1x6</v>
      </c>
      <c r="N473">
        <f>_xlfn.XLOOKUP(E473,'Base SKUs'!E:E,'Base SKUs'!K:K)</f>
        <v>18</v>
      </c>
      <c r="O473" t="str">
        <f>_xlfn.XLOOKUP(E473,'Base SKUs'!E:E,'Base SKUs'!C:C)</f>
        <v>Long</v>
      </c>
      <c r="P473" t="s">
        <v>4926</v>
      </c>
    </row>
    <row r="474" spans="1:16" hidden="1" x14ac:dyDescent="0.25">
      <c r="A474" t="s">
        <v>4963</v>
      </c>
      <c r="B474" t="s">
        <v>19</v>
      </c>
      <c r="C474" t="s">
        <v>20</v>
      </c>
      <c r="D474">
        <v>9007</v>
      </c>
      <c r="E474" t="s">
        <v>3260</v>
      </c>
      <c r="F474">
        <v>14</v>
      </c>
      <c r="G474" t="str">
        <f>_xlfn.XLOOKUP(E474,'Base SKUs'!E:E,'Base SKUs'!D:D)</f>
        <v>Thermowood</v>
      </c>
      <c r="H474" s="10">
        <f>_xlfn.XLOOKUP(E474,'Base SKUs'!E:E,'Base SKUs'!S:S)</f>
        <v>1.0500000000000001E-2</v>
      </c>
      <c r="I474" s="9">
        <f t="shared" si="8"/>
        <v>0.14699999999999999</v>
      </c>
      <c r="J474" t="str">
        <f>_xlfn.XLOOKUP(E474,'Base SKUs'!E:E,'Base SKUs'!G:G)</f>
        <v>Maximo Thermo Ash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1x10</v>
      </c>
      <c r="N474">
        <f>_xlfn.XLOOKUP(E474,'Base SKUs'!E:E,'Base SKUs'!K:K)</f>
        <v>7</v>
      </c>
      <c r="O474" t="str">
        <f>_xlfn.XLOOKUP(E474,'Base SKUs'!E:E,'Base SKUs'!C:C)</f>
        <v>Short</v>
      </c>
      <c r="P474" t="s">
        <v>4928</v>
      </c>
    </row>
    <row r="475" spans="1:16" hidden="1" x14ac:dyDescent="0.25">
      <c r="A475" t="s">
        <v>4963</v>
      </c>
      <c r="B475" t="s">
        <v>19</v>
      </c>
      <c r="C475" t="s">
        <v>20</v>
      </c>
      <c r="D475">
        <v>9007</v>
      </c>
      <c r="E475" t="s">
        <v>3261</v>
      </c>
      <c r="F475">
        <v>14</v>
      </c>
      <c r="G475" t="str">
        <f>_xlfn.XLOOKUP(E475,'Base SKUs'!E:E,'Base SKUs'!D:D)</f>
        <v>Thermowood</v>
      </c>
      <c r="H475" s="10">
        <f>_xlfn.XLOOKUP(E475,'Base SKUs'!E:E,'Base SKUs'!S:S)</f>
        <v>1.2E-2</v>
      </c>
      <c r="I475" s="9">
        <f t="shared" si="8"/>
        <v>0.16800000000000001</v>
      </c>
      <c r="J475" t="str">
        <f>_xlfn.XLOOKUP(E475,'Base SKUs'!E:E,'Base SKUs'!G:G)</f>
        <v>Maximo Thermo Ash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1x10</v>
      </c>
      <c r="N475">
        <f>_xlfn.XLOOKUP(E475,'Base SKUs'!E:E,'Base SKUs'!K:K)</f>
        <v>8</v>
      </c>
      <c r="O475" t="str">
        <f>_xlfn.XLOOKUP(E475,'Base SKUs'!E:E,'Base SKUs'!C:C)</f>
        <v>Long</v>
      </c>
      <c r="P475" t="s">
        <v>4928</v>
      </c>
    </row>
    <row r="476" spans="1:16" hidden="1" x14ac:dyDescent="0.25">
      <c r="A476" t="s">
        <v>4963</v>
      </c>
      <c r="B476" t="s">
        <v>19</v>
      </c>
      <c r="C476" t="s">
        <v>20</v>
      </c>
      <c r="D476">
        <v>9007</v>
      </c>
      <c r="E476" t="s">
        <v>3262</v>
      </c>
      <c r="F476">
        <v>14</v>
      </c>
      <c r="G476" t="str">
        <f>_xlfn.XLOOKUP(E476,'Base SKUs'!E:E,'Base SKUs'!D:D)</f>
        <v>Thermowood</v>
      </c>
      <c r="H476" s="10">
        <f>_xlfn.XLOOKUP(E476,'Base SKUs'!E:E,'Base SKUs'!S:S)</f>
        <v>1.35E-2</v>
      </c>
      <c r="I476" s="9">
        <f t="shared" si="8"/>
        <v>0.189</v>
      </c>
      <c r="J476" t="str">
        <f>_xlfn.XLOOKUP(E476,'Base SKUs'!E:E,'Base SKUs'!G:G)</f>
        <v>Maximo Thermo Ash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1x10</v>
      </c>
      <c r="N476">
        <f>_xlfn.XLOOKUP(E476,'Base SKUs'!E:E,'Base SKUs'!K:K)</f>
        <v>9</v>
      </c>
      <c r="O476" t="str">
        <f>_xlfn.XLOOKUP(E476,'Base SKUs'!E:E,'Base SKUs'!C:C)</f>
        <v>Long</v>
      </c>
      <c r="P476" t="s">
        <v>4928</v>
      </c>
    </row>
    <row r="477" spans="1:16" hidden="1" x14ac:dyDescent="0.25">
      <c r="A477" t="s">
        <v>4963</v>
      </c>
      <c r="B477" t="s">
        <v>19</v>
      </c>
      <c r="C477" t="s">
        <v>20</v>
      </c>
      <c r="D477">
        <v>9007</v>
      </c>
      <c r="E477" t="s">
        <v>3247</v>
      </c>
      <c r="F477">
        <v>21</v>
      </c>
      <c r="G477" t="str">
        <f>_xlfn.XLOOKUP(E477,'Base SKUs'!E:E,'Base SKUs'!D:D)</f>
        <v>Thermowood</v>
      </c>
      <c r="H477" s="10">
        <f>_xlfn.XLOOKUP(E477,'Base SKUs'!E:E,'Base SKUs'!S:S)</f>
        <v>1.4999999999999999E-2</v>
      </c>
      <c r="I477" s="9">
        <f t="shared" si="8"/>
        <v>0.315</v>
      </c>
      <c r="J477" t="str">
        <f>_xlfn.XLOOKUP(E477,'Base SKUs'!E:E,'Base SKUs'!G:G)</f>
        <v>Maximo Thermo Ash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1x10</v>
      </c>
      <c r="N477">
        <f>_xlfn.XLOOKUP(E477,'Base SKUs'!E:E,'Base SKUs'!K:K)</f>
        <v>10</v>
      </c>
      <c r="O477" t="str">
        <f>_xlfn.XLOOKUP(E477,'Base SKUs'!E:E,'Base SKUs'!C:C)</f>
        <v>Long</v>
      </c>
      <c r="P477" t="s">
        <v>4928</v>
      </c>
    </row>
    <row r="478" spans="1:16" hidden="1" x14ac:dyDescent="0.25">
      <c r="A478" t="s">
        <v>4963</v>
      </c>
      <c r="B478" t="s">
        <v>19</v>
      </c>
      <c r="C478" t="s">
        <v>20</v>
      </c>
      <c r="D478">
        <v>9007</v>
      </c>
      <c r="E478" t="s">
        <v>3251</v>
      </c>
      <c r="F478">
        <v>7</v>
      </c>
      <c r="G478" t="str">
        <f>_xlfn.XLOOKUP(E478,'Base SKUs'!E:E,'Base SKUs'!D:D)</f>
        <v>Thermowood</v>
      </c>
      <c r="H478" s="10">
        <f>_xlfn.XLOOKUP(E478,'Base SKUs'!E:E,'Base SKUs'!S:S)</f>
        <v>1.95E-2</v>
      </c>
      <c r="I478" s="9">
        <f t="shared" si="8"/>
        <v>0.13700000000000001</v>
      </c>
      <c r="J478" t="str">
        <f>_xlfn.XLOOKUP(E478,'Base SKUs'!E:E,'Base SKUs'!G:G)</f>
        <v>Maximo Thermo Ash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1x10</v>
      </c>
      <c r="N478">
        <f>_xlfn.XLOOKUP(E478,'Base SKUs'!E:E,'Base SKUs'!K:K)</f>
        <v>13</v>
      </c>
      <c r="O478" t="str">
        <f>_xlfn.XLOOKUP(E478,'Base SKUs'!E:E,'Base SKUs'!C:C)</f>
        <v>Long</v>
      </c>
      <c r="P478" t="s">
        <v>4928</v>
      </c>
    </row>
    <row r="479" spans="1:16" hidden="1" x14ac:dyDescent="0.25">
      <c r="A479" t="s">
        <v>4963</v>
      </c>
      <c r="B479" t="s">
        <v>19</v>
      </c>
      <c r="C479" t="s">
        <v>20</v>
      </c>
      <c r="D479">
        <v>9007</v>
      </c>
      <c r="E479" t="s">
        <v>3294</v>
      </c>
      <c r="F479">
        <v>21</v>
      </c>
      <c r="G479" t="str">
        <f>_xlfn.XLOOKUP(E479,'Base SKUs'!E:E,'Base SKUs'!D:D)</f>
        <v>Thermowood</v>
      </c>
      <c r="H479" s="10">
        <f>_xlfn.XLOOKUP(E479,'Base SKUs'!E:E,'Base SKUs'!S:S)</f>
        <v>7.5600000000000007E-3</v>
      </c>
      <c r="I479" s="9">
        <f t="shared" si="8"/>
        <v>0.159</v>
      </c>
      <c r="J479" t="str">
        <f>_xlfn.XLOOKUP(E479,'Base SKUs'!E:E,'Base SKUs'!G:G)</f>
        <v>Maximo Thermo Ash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1x8</v>
      </c>
      <c r="N479">
        <f>_xlfn.XLOOKUP(E479,'Base SKUs'!E:E,'Base SKUs'!K:K)</f>
        <v>7</v>
      </c>
      <c r="O479" t="str">
        <f>_xlfn.XLOOKUP(E479,'Base SKUs'!E:E,'Base SKUs'!C:C)</f>
        <v>Short</v>
      </c>
      <c r="P479" t="s">
        <v>4928</v>
      </c>
    </row>
    <row r="480" spans="1:16" hidden="1" x14ac:dyDescent="0.25">
      <c r="A480" t="s">
        <v>4963</v>
      </c>
      <c r="B480" t="s">
        <v>19</v>
      </c>
      <c r="C480" t="s">
        <v>20</v>
      </c>
      <c r="D480">
        <v>9007</v>
      </c>
      <c r="E480" t="s">
        <v>3295</v>
      </c>
      <c r="F480">
        <v>7</v>
      </c>
      <c r="G480" t="str">
        <f>_xlfn.XLOOKUP(E480,'Base SKUs'!E:E,'Base SKUs'!D:D)</f>
        <v>Thermowood</v>
      </c>
      <c r="H480" s="10">
        <f>_xlfn.XLOOKUP(E480,'Base SKUs'!E:E,'Base SKUs'!S:S)</f>
        <v>8.6400000000000001E-3</v>
      </c>
      <c r="I480" s="9">
        <f t="shared" si="8"/>
        <v>0.06</v>
      </c>
      <c r="J480" t="str">
        <f>_xlfn.XLOOKUP(E480,'Base SKUs'!E:E,'Base SKUs'!G:G)</f>
        <v>Maximo Thermo Ash</v>
      </c>
      <c r="K480" t="str">
        <f>_xlfn.XLOOKUP(E480,'Base SKUs'!E:E,'Base SKUs'!H:H)</f>
        <v>S4S E4E</v>
      </c>
      <c r="L480" t="str">
        <f>_xlfn.XLOOKUP(E480,'Base SKUs'!E:E,'Base SKUs'!I:I)</f>
        <v>-</v>
      </c>
      <c r="M480" t="str">
        <f>_xlfn.XLOOKUP(E480,'Base SKUs'!E:E,'Base SKUs'!J:J)</f>
        <v>1x8</v>
      </c>
      <c r="N480">
        <f>_xlfn.XLOOKUP(E480,'Base SKUs'!E:E,'Base SKUs'!K:K)</f>
        <v>8</v>
      </c>
      <c r="O480" t="str">
        <f>_xlfn.XLOOKUP(E480,'Base SKUs'!E:E,'Base SKUs'!C:C)</f>
        <v>Long</v>
      </c>
      <c r="P480" t="s">
        <v>4928</v>
      </c>
    </row>
    <row r="481" spans="1:16" hidden="1" x14ac:dyDescent="0.25">
      <c r="A481" t="s">
        <v>4963</v>
      </c>
      <c r="B481" t="s">
        <v>19</v>
      </c>
      <c r="C481" t="s">
        <v>20</v>
      </c>
      <c r="D481">
        <v>9007</v>
      </c>
      <c r="E481" t="s">
        <v>296</v>
      </c>
      <c r="F481">
        <v>54</v>
      </c>
      <c r="G481" t="str">
        <f>_xlfn.XLOOKUP(E481,'Base SKUs'!E:E,'Base SKUs'!D:D)</f>
        <v>Thermowood</v>
      </c>
      <c r="H481" s="10">
        <f>_xlfn.XLOOKUP(E481,'Base SKUs'!E:E,'Base SKUs'!S:S)</f>
        <v>6.1740000000000007E-3</v>
      </c>
      <c r="I481" s="9">
        <f t="shared" si="8"/>
        <v>0.33300000000000002</v>
      </c>
      <c r="J481" t="str">
        <f>_xlfn.XLOOKUP(E481,'Base SKUs'!E:E,'Base SKUs'!G:G)</f>
        <v>Maximo Thermo Ash</v>
      </c>
      <c r="K481" t="str">
        <f>_xlfn.XLOOKUP(E481,'Base SKUs'!E:E,'Base SKUs'!H:H)</f>
        <v>S4S E4E End Match</v>
      </c>
      <c r="L481" t="str">
        <f>_xlfn.XLOOKUP(E481,'Base SKUs'!E:E,'Base SKUs'!I:I)</f>
        <v>-</v>
      </c>
      <c r="M481" t="str">
        <f>_xlfn.XLOOKUP(E481,'Base SKUs'!E:E,'Base SKUs'!J:J)</f>
        <v>1x6 Plus</v>
      </c>
      <c r="N481">
        <f>_xlfn.XLOOKUP(E481,'Base SKUs'!E:E,'Base SKUs'!K:K)</f>
        <v>7</v>
      </c>
      <c r="O481" t="str">
        <f>_xlfn.XLOOKUP(E481,'Base SKUs'!E:E,'Base SKUs'!C:C)</f>
        <v>Short</v>
      </c>
      <c r="P481" t="s">
        <v>4928</v>
      </c>
    </row>
    <row r="482" spans="1:16" hidden="1" x14ac:dyDescent="0.25">
      <c r="A482" t="s">
        <v>4963</v>
      </c>
      <c r="B482" t="s">
        <v>19</v>
      </c>
      <c r="C482" t="s">
        <v>20</v>
      </c>
      <c r="D482">
        <v>9007</v>
      </c>
      <c r="E482" t="s">
        <v>297</v>
      </c>
      <c r="F482">
        <v>30</v>
      </c>
      <c r="G482" t="str">
        <f>_xlfn.XLOOKUP(E482,'Base SKUs'!E:E,'Base SKUs'!D:D)</f>
        <v>Thermowood</v>
      </c>
      <c r="H482" s="10">
        <f>_xlfn.XLOOKUP(E482,'Base SKUs'!E:E,'Base SKUs'!S:S)</f>
        <v>7.0559999999999998E-3</v>
      </c>
      <c r="I482" s="9">
        <f t="shared" si="8"/>
        <v>0.21199999999999999</v>
      </c>
      <c r="J482" t="str">
        <f>_xlfn.XLOOKUP(E482,'Base SKUs'!E:E,'Base SKUs'!G:G)</f>
        <v>Maximo Thermo Ash</v>
      </c>
      <c r="K482" t="str">
        <f>_xlfn.XLOOKUP(E482,'Base SKUs'!E:E,'Base SKUs'!H:H)</f>
        <v>S4S E4E End Match</v>
      </c>
      <c r="L482" t="str">
        <f>_xlfn.XLOOKUP(E482,'Base SKUs'!E:E,'Base SKUs'!I:I)</f>
        <v>-</v>
      </c>
      <c r="M482" t="str">
        <f>_xlfn.XLOOKUP(E482,'Base SKUs'!E:E,'Base SKUs'!J:J)</f>
        <v>1x6 Plus</v>
      </c>
      <c r="N482">
        <f>_xlfn.XLOOKUP(E482,'Base SKUs'!E:E,'Base SKUs'!K:K)</f>
        <v>8</v>
      </c>
      <c r="O482" t="str">
        <f>_xlfn.XLOOKUP(E482,'Base SKUs'!E:E,'Base SKUs'!C:C)</f>
        <v>Long</v>
      </c>
      <c r="P482" t="s">
        <v>4928</v>
      </c>
    </row>
    <row r="483" spans="1:16" hidden="1" x14ac:dyDescent="0.25">
      <c r="A483" t="s">
        <v>4963</v>
      </c>
      <c r="B483" t="s">
        <v>19</v>
      </c>
      <c r="C483" t="s">
        <v>20</v>
      </c>
      <c r="D483">
        <v>9007</v>
      </c>
      <c r="E483" t="s">
        <v>298</v>
      </c>
      <c r="F483">
        <v>60</v>
      </c>
      <c r="G483" t="str">
        <f>_xlfn.XLOOKUP(E483,'Base SKUs'!E:E,'Base SKUs'!D:D)</f>
        <v>Thermowood</v>
      </c>
      <c r="H483" s="10">
        <f>_xlfn.XLOOKUP(E483,'Base SKUs'!E:E,'Base SKUs'!S:S)</f>
        <v>7.9379999999999989E-3</v>
      </c>
      <c r="I483" s="9">
        <f t="shared" si="8"/>
        <v>0.47599999999999998</v>
      </c>
      <c r="J483" t="str">
        <f>_xlfn.XLOOKUP(E483,'Base SKUs'!E:E,'Base SKUs'!G:G)</f>
        <v>Maximo Thermo Ash</v>
      </c>
      <c r="K483" t="str">
        <f>_xlfn.XLOOKUP(E483,'Base SKUs'!E:E,'Base SKUs'!H:H)</f>
        <v>S4S E4E End Match</v>
      </c>
      <c r="L483" t="str">
        <f>_xlfn.XLOOKUP(E483,'Base SKUs'!E:E,'Base SKUs'!I:I)</f>
        <v>-</v>
      </c>
      <c r="M483" t="str">
        <f>_xlfn.XLOOKUP(E483,'Base SKUs'!E:E,'Base SKUs'!J:J)</f>
        <v>1x6 Plus</v>
      </c>
      <c r="N483">
        <f>_xlfn.XLOOKUP(E483,'Base SKUs'!E:E,'Base SKUs'!K:K)</f>
        <v>9</v>
      </c>
      <c r="O483" t="str">
        <f>_xlfn.XLOOKUP(E483,'Base SKUs'!E:E,'Base SKUs'!C:C)</f>
        <v>Long</v>
      </c>
      <c r="P483" t="s">
        <v>4928</v>
      </c>
    </row>
    <row r="484" spans="1:16" hidden="1" x14ac:dyDescent="0.25">
      <c r="A484" t="s">
        <v>4963</v>
      </c>
      <c r="B484" t="s">
        <v>19</v>
      </c>
      <c r="C484" t="s">
        <v>20</v>
      </c>
      <c r="D484">
        <v>9007</v>
      </c>
      <c r="E484" t="s">
        <v>300</v>
      </c>
      <c r="F484">
        <v>24</v>
      </c>
      <c r="G484" t="str">
        <f>_xlfn.XLOOKUP(E484,'Base SKUs'!E:E,'Base SKUs'!D:D)</f>
        <v>Thermowood</v>
      </c>
      <c r="H484" s="10">
        <f>_xlfn.XLOOKUP(E484,'Base SKUs'!E:E,'Base SKUs'!S:S)</f>
        <v>9.7020000000000006E-3</v>
      </c>
      <c r="I484" s="9">
        <f t="shared" si="8"/>
        <v>0.23300000000000001</v>
      </c>
      <c r="J484" t="str">
        <f>_xlfn.XLOOKUP(E484,'Base SKUs'!E:E,'Base SKUs'!G:G)</f>
        <v>Maximo Thermo Ash</v>
      </c>
      <c r="K484" t="str">
        <f>_xlfn.XLOOKUP(E484,'Base SKUs'!E:E,'Base SKUs'!H:H)</f>
        <v>S4S E4E End Match</v>
      </c>
      <c r="L484" t="str">
        <f>_xlfn.XLOOKUP(E484,'Base SKUs'!E:E,'Base SKUs'!I:I)</f>
        <v>-</v>
      </c>
      <c r="M484" t="str">
        <f>_xlfn.XLOOKUP(E484,'Base SKUs'!E:E,'Base SKUs'!J:J)</f>
        <v>1x6 Plus</v>
      </c>
      <c r="N484">
        <f>_xlfn.XLOOKUP(E484,'Base SKUs'!E:E,'Base SKUs'!K:K)</f>
        <v>11</v>
      </c>
      <c r="O484" t="str">
        <f>_xlfn.XLOOKUP(E484,'Base SKUs'!E:E,'Base SKUs'!C:C)</f>
        <v>Long</v>
      </c>
      <c r="P484" t="s">
        <v>4928</v>
      </c>
    </row>
    <row r="485" spans="1:16" hidden="1" x14ac:dyDescent="0.25">
      <c r="A485" t="s">
        <v>4963</v>
      </c>
      <c r="B485" t="s">
        <v>19</v>
      </c>
      <c r="C485" t="s">
        <v>20</v>
      </c>
      <c r="D485">
        <v>9007</v>
      </c>
      <c r="E485" t="s">
        <v>301</v>
      </c>
      <c r="F485">
        <v>24</v>
      </c>
      <c r="G485" t="str">
        <f>_xlfn.XLOOKUP(E485,'Base SKUs'!E:E,'Base SKUs'!D:D)</f>
        <v>Thermowood</v>
      </c>
      <c r="H485" s="10">
        <f>_xlfn.XLOOKUP(E485,'Base SKUs'!E:E,'Base SKUs'!S:S)</f>
        <v>1.1465999999999997E-2</v>
      </c>
      <c r="I485" s="9">
        <f t="shared" si="8"/>
        <v>0.27500000000000002</v>
      </c>
      <c r="J485" t="str">
        <f>_xlfn.XLOOKUP(E485,'Base SKUs'!E:E,'Base SKUs'!G:G)</f>
        <v>Maximo Thermo Ash</v>
      </c>
      <c r="K485" t="str">
        <f>_xlfn.XLOOKUP(E485,'Base SKUs'!E:E,'Base SKUs'!H:H)</f>
        <v>S4S E4E End Match</v>
      </c>
      <c r="L485" t="str">
        <f>_xlfn.XLOOKUP(E485,'Base SKUs'!E:E,'Base SKUs'!I:I)</f>
        <v>-</v>
      </c>
      <c r="M485" t="str">
        <f>_xlfn.XLOOKUP(E485,'Base SKUs'!E:E,'Base SKUs'!J:J)</f>
        <v>1x6 Plus</v>
      </c>
      <c r="N485">
        <f>_xlfn.XLOOKUP(E485,'Base SKUs'!E:E,'Base SKUs'!K:K)</f>
        <v>13</v>
      </c>
      <c r="O485" t="str">
        <f>_xlfn.XLOOKUP(E485,'Base SKUs'!E:E,'Base SKUs'!C:C)</f>
        <v>Long</v>
      </c>
      <c r="P485" t="s">
        <v>4928</v>
      </c>
    </row>
    <row r="486" spans="1:16" hidden="1" x14ac:dyDescent="0.25">
      <c r="A486" t="s">
        <v>4963</v>
      </c>
      <c r="B486" t="s">
        <v>19</v>
      </c>
      <c r="C486" t="s">
        <v>20</v>
      </c>
      <c r="D486">
        <v>9007</v>
      </c>
      <c r="E486" t="s">
        <v>52</v>
      </c>
      <c r="F486">
        <v>300</v>
      </c>
      <c r="G486" t="str">
        <f>_xlfn.XLOOKUP(E486,'Base SKUs'!E:E,'Base SKUs'!D:D)</f>
        <v>Thermowood</v>
      </c>
      <c r="H486" s="10">
        <f>_xlfn.XLOOKUP(E486,'Base SKUs'!E:E,'Base SKUs'!S:S)</f>
        <v>8.4000000000000012E-3</v>
      </c>
      <c r="I486" s="9">
        <f t="shared" si="8"/>
        <v>2.52</v>
      </c>
      <c r="J486" t="str">
        <f>_xlfn.XLOOKUP(E486,'Base SKUs'!E:E,'Base SKUs'!G:G)</f>
        <v>Maximo Thermo Ash</v>
      </c>
      <c r="K486" t="str">
        <f>_xlfn.XLOOKUP(E486,'Base SKUs'!E:E,'Base SKUs'!H:H)</f>
        <v>S4S E4E End Match</v>
      </c>
      <c r="L486" t="str">
        <f>_xlfn.XLOOKUP(E486,'Base SKUs'!E:E,'Base SKUs'!I:I)</f>
        <v>-</v>
      </c>
      <c r="M486" t="str">
        <f>_xlfn.XLOOKUP(E486,'Base SKUs'!E:E,'Base SKUs'!J:J)</f>
        <v>5/4x6</v>
      </c>
      <c r="N486">
        <f>_xlfn.XLOOKUP(E486,'Base SKUs'!E:E,'Base SKUs'!K:K)</f>
        <v>8</v>
      </c>
      <c r="O486" t="str">
        <f>_xlfn.XLOOKUP(E486,'Base SKUs'!E:E,'Base SKUs'!C:C)</f>
        <v>Long</v>
      </c>
      <c r="P486" t="s">
        <v>4928</v>
      </c>
    </row>
    <row r="487" spans="1:16" hidden="1" x14ac:dyDescent="0.25">
      <c r="A487" t="s">
        <v>4963</v>
      </c>
      <c r="B487" t="s">
        <v>19</v>
      </c>
      <c r="C487" t="s">
        <v>20</v>
      </c>
      <c r="D487">
        <v>9007</v>
      </c>
      <c r="E487" t="s">
        <v>53</v>
      </c>
      <c r="F487">
        <v>55</v>
      </c>
      <c r="G487" t="str">
        <f>_xlfn.XLOOKUP(E487,'Base SKUs'!E:E,'Base SKUs'!D:D)</f>
        <v>Thermowood</v>
      </c>
      <c r="H487" s="10">
        <f>_xlfn.XLOOKUP(E487,'Base SKUs'!E:E,'Base SKUs'!S:S)</f>
        <v>9.4500000000000018E-3</v>
      </c>
      <c r="I487" s="9">
        <f t="shared" si="8"/>
        <v>0.52</v>
      </c>
      <c r="J487" t="str">
        <f>_xlfn.XLOOKUP(E487,'Base SKUs'!E:E,'Base SKUs'!G:G)</f>
        <v>Maximo Thermo Ash</v>
      </c>
      <c r="K487" t="str">
        <f>_xlfn.XLOOKUP(E487,'Base SKUs'!E:E,'Base SKUs'!H:H)</f>
        <v>S4S E4E End Match</v>
      </c>
      <c r="L487" t="str">
        <f>_xlfn.XLOOKUP(E487,'Base SKUs'!E:E,'Base SKUs'!I:I)</f>
        <v>-</v>
      </c>
      <c r="M487" t="str">
        <f>_xlfn.XLOOKUP(E487,'Base SKUs'!E:E,'Base SKUs'!J:J)</f>
        <v>5/4x6</v>
      </c>
      <c r="N487">
        <f>_xlfn.XLOOKUP(E487,'Base SKUs'!E:E,'Base SKUs'!K:K)</f>
        <v>9</v>
      </c>
      <c r="O487" t="str">
        <f>_xlfn.XLOOKUP(E487,'Base SKUs'!E:E,'Base SKUs'!C:C)</f>
        <v>Long</v>
      </c>
      <c r="P487" t="s">
        <v>4928</v>
      </c>
    </row>
    <row r="488" spans="1:16" hidden="1" x14ac:dyDescent="0.25">
      <c r="A488" t="s">
        <v>4964</v>
      </c>
      <c r="B488" t="s">
        <v>245</v>
      </c>
      <c r="C488" t="s">
        <v>246</v>
      </c>
      <c r="D488">
        <v>9007</v>
      </c>
      <c r="E488" t="s">
        <v>276</v>
      </c>
      <c r="F488">
        <v>280</v>
      </c>
      <c r="G488" t="str">
        <f>_xlfn.XLOOKUP(E488,'Base SKUs'!E:E,'Base SKUs'!D:D)</f>
        <v>Hardwoods</v>
      </c>
      <c r="H488" s="10">
        <f>_xlfn.XLOOKUP(E488,'Base SKUs'!E:E,'Base SKUs'!S:S)</f>
        <v>9.7339160159999986E-3</v>
      </c>
      <c r="I488" s="9">
        <f t="shared" si="8"/>
        <v>2.7250000000000001</v>
      </c>
      <c r="J488" t="str">
        <f>_xlfn.XLOOKUP(E488,'Base SKUs'!E:E,'Base SKUs'!G:G)</f>
        <v>Ipe</v>
      </c>
      <c r="K488" t="str">
        <f>_xlfn.XLOOKUP(E488,'Base SKUs'!E:E,'Base SKUs'!H:H)</f>
        <v>S4S E4E</v>
      </c>
      <c r="L488" t="str">
        <f>_xlfn.XLOOKUP(E488,'Base SKUs'!E:E,'Base SKUs'!I:I)</f>
        <v>-</v>
      </c>
      <c r="M488" t="str">
        <f>_xlfn.XLOOKUP(E488,'Base SKUs'!E:E,'Base SKUs'!J:J)</f>
        <v>1x6</v>
      </c>
      <c r="N488">
        <f>_xlfn.XLOOKUP(E488,'Base SKUs'!E:E,'Base SKUs'!K:K)</f>
        <v>12</v>
      </c>
      <c r="O488" t="str">
        <f>_xlfn.XLOOKUP(E488,'Base SKUs'!E:E,'Base SKUs'!C:C)</f>
        <v>Long</v>
      </c>
      <c r="P488" t="s">
        <v>4926</v>
      </c>
    </row>
    <row r="489" spans="1:16" hidden="1" x14ac:dyDescent="0.25">
      <c r="A489" t="s">
        <v>4964</v>
      </c>
      <c r="B489" t="s">
        <v>245</v>
      </c>
      <c r="C489" t="s">
        <v>246</v>
      </c>
      <c r="D489">
        <v>9007</v>
      </c>
      <c r="E489" t="s">
        <v>289</v>
      </c>
      <c r="F489">
        <v>350</v>
      </c>
      <c r="G489" t="str">
        <f>_xlfn.XLOOKUP(E489,'Base SKUs'!E:E,'Base SKUs'!D:D)</f>
        <v>Hardwoods</v>
      </c>
      <c r="H489" s="10">
        <f>_xlfn.XLOOKUP(E489,'Base SKUs'!E:E,'Base SKUs'!S:S)</f>
        <v>1.1356235352E-2</v>
      </c>
      <c r="I489" s="9">
        <f t="shared" si="8"/>
        <v>3.9750000000000001</v>
      </c>
      <c r="J489" t="str">
        <f>_xlfn.XLOOKUP(E489,'Base SKUs'!E:E,'Base SKUs'!G:G)</f>
        <v>Ipe</v>
      </c>
      <c r="K489" t="str">
        <f>_xlfn.XLOOKUP(E489,'Base SKUs'!E:E,'Base SKUs'!H:H)</f>
        <v>S4S E4E</v>
      </c>
      <c r="L489" t="str">
        <f>_xlfn.XLOOKUP(E489,'Base SKUs'!E:E,'Base SKUs'!I:I)</f>
        <v>-</v>
      </c>
      <c r="M489" t="str">
        <f>_xlfn.XLOOKUP(E489,'Base SKUs'!E:E,'Base SKUs'!J:J)</f>
        <v>1x6</v>
      </c>
      <c r="N489">
        <f>_xlfn.XLOOKUP(E489,'Base SKUs'!E:E,'Base SKUs'!K:K)</f>
        <v>14</v>
      </c>
      <c r="O489" t="str">
        <f>_xlfn.XLOOKUP(E489,'Base SKUs'!E:E,'Base SKUs'!C:C)</f>
        <v>Long</v>
      </c>
      <c r="P489" t="s">
        <v>4926</v>
      </c>
    </row>
    <row r="490" spans="1:16" hidden="1" x14ac:dyDescent="0.25">
      <c r="A490" t="s">
        <v>4964</v>
      </c>
      <c r="B490" t="s">
        <v>245</v>
      </c>
      <c r="C490" t="s">
        <v>246</v>
      </c>
      <c r="D490">
        <v>9007</v>
      </c>
      <c r="E490" t="s">
        <v>277</v>
      </c>
      <c r="F490">
        <v>140</v>
      </c>
      <c r="G490" t="str">
        <f>_xlfn.XLOOKUP(E490,'Base SKUs'!E:E,'Base SKUs'!D:D)</f>
        <v>Hardwoods</v>
      </c>
      <c r="H490" s="10">
        <f>_xlfn.XLOOKUP(E490,'Base SKUs'!E:E,'Base SKUs'!S:S)</f>
        <v>1.2978554687999999E-2</v>
      </c>
      <c r="I490" s="9">
        <f t="shared" si="8"/>
        <v>1.8169999999999999</v>
      </c>
      <c r="J490" t="str">
        <f>_xlfn.XLOOKUP(E490,'Base SKUs'!E:E,'Base SKUs'!G:G)</f>
        <v>Ipe</v>
      </c>
      <c r="K490" t="str">
        <f>_xlfn.XLOOKUP(E490,'Base SKUs'!E:E,'Base SKUs'!H:H)</f>
        <v>S4S E4E</v>
      </c>
      <c r="L490" t="str">
        <f>_xlfn.XLOOKUP(E490,'Base SKUs'!E:E,'Base SKUs'!I:I)</f>
        <v>-</v>
      </c>
      <c r="M490" t="str">
        <f>_xlfn.XLOOKUP(E490,'Base SKUs'!E:E,'Base SKUs'!J:J)</f>
        <v>1x6</v>
      </c>
      <c r="N490">
        <f>_xlfn.XLOOKUP(E490,'Base SKUs'!E:E,'Base SKUs'!K:K)</f>
        <v>16</v>
      </c>
      <c r="O490" t="str">
        <f>_xlfn.XLOOKUP(E490,'Base SKUs'!E:E,'Base SKUs'!C:C)</f>
        <v>Long</v>
      </c>
      <c r="P490" t="s">
        <v>4926</v>
      </c>
    </row>
    <row r="491" spans="1:16" hidden="1" x14ac:dyDescent="0.25">
      <c r="A491" t="s">
        <v>4964</v>
      </c>
      <c r="B491" t="s">
        <v>245</v>
      </c>
      <c r="C491" t="s">
        <v>246</v>
      </c>
      <c r="D491">
        <v>9007</v>
      </c>
      <c r="E491" t="s">
        <v>290</v>
      </c>
      <c r="F491">
        <v>420</v>
      </c>
      <c r="G491" t="str">
        <f>_xlfn.XLOOKUP(E491,'Base SKUs'!E:E,'Base SKUs'!D:D)</f>
        <v>Hardwoods</v>
      </c>
      <c r="H491" s="10">
        <f>_xlfn.XLOOKUP(E491,'Base SKUs'!E:E,'Base SKUs'!S:S)</f>
        <v>1.4600874024E-2</v>
      </c>
      <c r="I491" s="9">
        <f t="shared" si="8"/>
        <v>6.1319999999999997</v>
      </c>
      <c r="J491" t="str">
        <f>_xlfn.XLOOKUP(E491,'Base SKUs'!E:E,'Base SKUs'!G:G)</f>
        <v>Ipe</v>
      </c>
      <c r="K491" t="str">
        <f>_xlfn.XLOOKUP(E491,'Base SKUs'!E:E,'Base SKUs'!H:H)</f>
        <v>S4S E4E</v>
      </c>
      <c r="L491" t="str">
        <f>_xlfn.XLOOKUP(E491,'Base SKUs'!E:E,'Base SKUs'!I:I)</f>
        <v>-</v>
      </c>
      <c r="M491" t="str">
        <f>_xlfn.XLOOKUP(E491,'Base SKUs'!E:E,'Base SKUs'!J:J)</f>
        <v>1x6</v>
      </c>
      <c r="N491">
        <f>_xlfn.XLOOKUP(E491,'Base SKUs'!E:E,'Base SKUs'!K:K)</f>
        <v>18</v>
      </c>
      <c r="O491" t="str">
        <f>_xlfn.XLOOKUP(E491,'Base SKUs'!E:E,'Base SKUs'!C:C)</f>
        <v>Long</v>
      </c>
      <c r="P491" t="s">
        <v>4926</v>
      </c>
    </row>
    <row r="492" spans="1:16" hidden="1" x14ac:dyDescent="0.25">
      <c r="A492" t="s">
        <v>4964</v>
      </c>
      <c r="B492" t="s">
        <v>245</v>
      </c>
      <c r="C492" t="s">
        <v>246</v>
      </c>
      <c r="D492">
        <v>9007</v>
      </c>
      <c r="E492" t="s">
        <v>291</v>
      </c>
      <c r="F492">
        <v>91</v>
      </c>
      <c r="G492" t="str">
        <f>_xlfn.XLOOKUP(E492,'Base SKUs'!E:E,'Base SKUs'!D:D)</f>
        <v>Hardwoods</v>
      </c>
      <c r="H492" s="10">
        <f>_xlfn.XLOOKUP(E492,'Base SKUs'!E:E,'Base SKUs'!S:S)</f>
        <v>1.6223193359999999E-2</v>
      </c>
      <c r="I492" s="9">
        <f t="shared" si="8"/>
        <v>1.476</v>
      </c>
      <c r="J492" t="str">
        <f>_xlfn.XLOOKUP(E492,'Base SKUs'!E:E,'Base SKUs'!G:G)</f>
        <v>Ipe</v>
      </c>
      <c r="K492" t="str">
        <f>_xlfn.XLOOKUP(E492,'Base SKUs'!E:E,'Base SKUs'!H:H)</f>
        <v>S4S E4E</v>
      </c>
      <c r="L492" t="str">
        <f>_xlfn.XLOOKUP(E492,'Base SKUs'!E:E,'Base SKUs'!I:I)</f>
        <v>-</v>
      </c>
      <c r="M492" t="str">
        <f>_xlfn.XLOOKUP(E492,'Base SKUs'!E:E,'Base SKUs'!J:J)</f>
        <v>1x6</v>
      </c>
      <c r="N492">
        <f>_xlfn.XLOOKUP(E492,'Base SKUs'!E:E,'Base SKUs'!K:K)</f>
        <v>20</v>
      </c>
      <c r="O492" t="str">
        <f>_xlfn.XLOOKUP(E492,'Base SKUs'!E:E,'Base SKUs'!C:C)</f>
        <v>Long</v>
      </c>
      <c r="P492" t="s">
        <v>4926</v>
      </c>
    </row>
    <row r="493" spans="1:16" hidden="1" x14ac:dyDescent="0.25">
      <c r="A493" t="s">
        <v>4964</v>
      </c>
      <c r="B493" t="s">
        <v>245</v>
      </c>
      <c r="C493" t="s">
        <v>246</v>
      </c>
      <c r="D493">
        <v>9007</v>
      </c>
      <c r="E493" t="s">
        <v>292</v>
      </c>
      <c r="F493">
        <v>140</v>
      </c>
      <c r="G493" t="str">
        <f>_xlfn.XLOOKUP(E493,'Base SKUs'!E:E,'Base SKUs'!D:D)</f>
        <v>Hardwoods</v>
      </c>
      <c r="H493" s="10">
        <f>_xlfn.XLOOKUP(E493,'Base SKUs'!E:E,'Base SKUs'!S:S)</f>
        <v>1.7845512695999998E-2</v>
      </c>
      <c r="I493" s="9">
        <f t="shared" si="8"/>
        <v>2.4980000000000002</v>
      </c>
      <c r="J493" t="str">
        <f>_xlfn.XLOOKUP(E493,'Base SKUs'!E:E,'Base SKUs'!G:G)</f>
        <v>Ipe</v>
      </c>
      <c r="K493" t="str">
        <f>_xlfn.XLOOKUP(E493,'Base SKUs'!E:E,'Base SKUs'!H:H)</f>
        <v>S4S E4E</v>
      </c>
      <c r="L493" t="str">
        <f>_xlfn.XLOOKUP(E493,'Base SKUs'!E:E,'Base SKUs'!I:I)</f>
        <v>-</v>
      </c>
      <c r="M493" t="str">
        <f>_xlfn.XLOOKUP(E493,'Base SKUs'!E:E,'Base SKUs'!J:J)</f>
        <v>1x6</v>
      </c>
      <c r="N493">
        <f>_xlfn.XLOOKUP(E493,'Base SKUs'!E:E,'Base SKUs'!K:K)</f>
        <v>22</v>
      </c>
      <c r="O493" t="str">
        <f>_xlfn.XLOOKUP(E493,'Base SKUs'!E:E,'Base SKUs'!C:C)</f>
        <v>Long</v>
      </c>
      <c r="P493" t="s">
        <v>4926</v>
      </c>
    </row>
    <row r="494" spans="1:16" hidden="1" x14ac:dyDescent="0.25">
      <c r="A494" t="s">
        <v>4965</v>
      </c>
      <c r="B494" t="s">
        <v>4966</v>
      </c>
      <c r="C494" t="s">
        <v>153</v>
      </c>
      <c r="D494">
        <v>9007</v>
      </c>
      <c r="E494" t="s">
        <v>3733</v>
      </c>
      <c r="F494">
        <v>35</v>
      </c>
      <c r="G494" t="str">
        <f>_xlfn.XLOOKUP(E494,'Base SKUs'!E:E,'Base SKUs'!D:D)</f>
        <v>Thermowood</v>
      </c>
      <c r="H494" s="10">
        <f>_xlfn.XLOOKUP(E494,'Base SKUs'!E:E,'Base SKUs'!S:S)</f>
        <v>7.2919208999999985E-3</v>
      </c>
      <c r="I494" s="9">
        <f t="shared" si="8"/>
        <v>0.255</v>
      </c>
      <c r="J494" t="str">
        <f>_xlfn.XLOOKUP(E494,'Base SKUs'!E:E,'Base SKUs'!G:G)</f>
        <v>Maximo Thermo Ayous JPL</v>
      </c>
      <c r="K494" t="str">
        <f>_xlfn.XLOOKUP(E494,'Base SKUs'!E:E,'Base SKUs'!H:H)</f>
        <v>VJoint - Nickel Gap</v>
      </c>
      <c r="L494" t="str">
        <f>_xlfn.XLOOKUP(E494,'Base SKUs'!E:E,'Base SKUs'!I:I)</f>
        <v>-</v>
      </c>
      <c r="M494" t="str">
        <f>_xlfn.XLOOKUP(E494,'Base SKUs'!E:E,'Base SKUs'!J:J)</f>
        <v>1x6</v>
      </c>
      <c r="N494">
        <f>_xlfn.XLOOKUP(E494,'Base SKUs'!E:E,'Base SKUs'!K:K)</f>
        <v>9</v>
      </c>
      <c r="O494" t="str">
        <f>_xlfn.XLOOKUP(E494,'Base SKUs'!E:E,'Base SKUs'!C:C)</f>
        <v>Long</v>
      </c>
      <c r="P494" t="s">
        <v>4926</v>
      </c>
    </row>
    <row r="495" spans="1:16" hidden="1" x14ac:dyDescent="0.25">
      <c r="A495" t="s">
        <v>4965</v>
      </c>
      <c r="B495" t="s">
        <v>4966</v>
      </c>
      <c r="C495" t="s">
        <v>153</v>
      </c>
      <c r="D495">
        <v>9007</v>
      </c>
      <c r="E495" t="s">
        <v>3721</v>
      </c>
      <c r="F495">
        <v>56</v>
      </c>
      <c r="G495" t="str">
        <f>_xlfn.XLOOKUP(E495,'Base SKUs'!E:E,'Base SKUs'!D:D)</f>
        <v>Thermowood</v>
      </c>
      <c r="H495" s="10">
        <f>_xlfn.XLOOKUP(E495,'Base SKUs'!E:E,'Base SKUs'!S:S)</f>
        <v>8.1169192499999966E-3</v>
      </c>
      <c r="I495" s="9">
        <f t="shared" si="8"/>
        <v>0.45500000000000002</v>
      </c>
      <c r="J495" t="str">
        <f>_xlfn.XLOOKUP(E495,'Base SKUs'!E:E,'Base SKUs'!G:G)</f>
        <v>Maximo Thermo Ayous JPL</v>
      </c>
      <c r="K495" t="str">
        <f>_xlfn.XLOOKUP(E495,'Base SKUs'!E:E,'Base SKUs'!H:H)</f>
        <v>VJoint - Nickel Gap</v>
      </c>
      <c r="L495" t="str">
        <f>_xlfn.XLOOKUP(E495,'Base SKUs'!E:E,'Base SKUs'!I:I)</f>
        <v>-</v>
      </c>
      <c r="M495" t="str">
        <f>_xlfn.XLOOKUP(E495,'Base SKUs'!E:E,'Base SKUs'!J:J)</f>
        <v>1x6</v>
      </c>
      <c r="N495">
        <f>_xlfn.XLOOKUP(E495,'Base SKUs'!E:E,'Base SKUs'!K:K)</f>
        <v>10</v>
      </c>
      <c r="O495" t="str">
        <f>_xlfn.XLOOKUP(E495,'Base SKUs'!E:E,'Base SKUs'!C:C)</f>
        <v>Long</v>
      </c>
      <c r="P495" t="s">
        <v>4926</v>
      </c>
    </row>
    <row r="496" spans="1:16" hidden="1" x14ac:dyDescent="0.25">
      <c r="A496" t="s">
        <v>4965</v>
      </c>
      <c r="B496" t="s">
        <v>4966</v>
      </c>
      <c r="C496" t="s">
        <v>153</v>
      </c>
      <c r="D496">
        <v>9007</v>
      </c>
      <c r="E496" t="s">
        <v>329</v>
      </c>
      <c r="F496">
        <v>343</v>
      </c>
      <c r="G496" t="str">
        <f>_xlfn.XLOOKUP(E496,'Base SKUs'!E:E,'Base SKUs'!D:D)</f>
        <v>Thermowood</v>
      </c>
      <c r="H496" s="10">
        <f>_xlfn.XLOOKUP(E496,'Base SKUs'!E:E,'Base SKUs'!S:S)</f>
        <v>8.9153047499999985E-3</v>
      </c>
      <c r="I496" s="9">
        <f t="shared" si="8"/>
        <v>3.0579999999999998</v>
      </c>
      <c r="J496" t="str">
        <f>_xlfn.XLOOKUP(E496,'Base SKUs'!E:E,'Base SKUs'!G:G)</f>
        <v>Maximo Thermo Ayous JPL</v>
      </c>
      <c r="K496" t="str">
        <f>_xlfn.XLOOKUP(E496,'Base SKUs'!E:E,'Base SKUs'!H:H)</f>
        <v>VJoint - Nickel Gap</v>
      </c>
      <c r="L496" t="str">
        <f>_xlfn.XLOOKUP(E496,'Base SKUs'!E:E,'Base SKUs'!I:I)</f>
        <v>-</v>
      </c>
      <c r="M496" t="str">
        <f>_xlfn.XLOOKUP(E496,'Base SKUs'!E:E,'Base SKUs'!J:J)</f>
        <v>1x6</v>
      </c>
      <c r="N496">
        <f>_xlfn.XLOOKUP(E496,'Base SKUs'!E:E,'Base SKUs'!K:K)</f>
        <v>11</v>
      </c>
      <c r="O496" t="str">
        <f>_xlfn.XLOOKUP(E496,'Base SKUs'!E:E,'Base SKUs'!C:C)</f>
        <v>Long</v>
      </c>
      <c r="P496" t="s">
        <v>4926</v>
      </c>
    </row>
    <row r="497" spans="1:16" hidden="1" x14ac:dyDescent="0.25">
      <c r="A497" t="s">
        <v>4965</v>
      </c>
      <c r="B497" t="s">
        <v>4966</v>
      </c>
      <c r="C497" t="s">
        <v>153</v>
      </c>
      <c r="D497">
        <v>9007</v>
      </c>
      <c r="E497" t="s">
        <v>330</v>
      </c>
      <c r="F497">
        <v>305</v>
      </c>
      <c r="G497" t="str">
        <f>_xlfn.XLOOKUP(E497,'Base SKUs'!E:E,'Base SKUs'!D:D)</f>
        <v>Thermowood</v>
      </c>
      <c r="H497" s="10">
        <f>_xlfn.XLOOKUP(E497,'Base SKUs'!E:E,'Base SKUs'!S:S)</f>
        <v>9.7403030999999984E-3</v>
      </c>
      <c r="I497" s="9">
        <f t="shared" si="8"/>
        <v>2.9710000000000001</v>
      </c>
      <c r="J497" t="str">
        <f>_xlfn.XLOOKUP(E497,'Base SKUs'!E:E,'Base SKUs'!G:G)</f>
        <v>Maximo Thermo Ayous JPL</v>
      </c>
      <c r="K497" t="str">
        <f>_xlfn.XLOOKUP(E497,'Base SKUs'!E:E,'Base SKUs'!H:H)</f>
        <v>VJoint - Nickel Gap</v>
      </c>
      <c r="L497" t="str">
        <f>_xlfn.XLOOKUP(E497,'Base SKUs'!E:E,'Base SKUs'!I:I)</f>
        <v>-</v>
      </c>
      <c r="M497" t="str">
        <f>_xlfn.XLOOKUP(E497,'Base SKUs'!E:E,'Base SKUs'!J:J)</f>
        <v>1x6</v>
      </c>
      <c r="N497">
        <f>_xlfn.XLOOKUP(E497,'Base SKUs'!E:E,'Base SKUs'!K:K)</f>
        <v>12</v>
      </c>
      <c r="O497" t="str">
        <f>_xlfn.XLOOKUP(E497,'Base SKUs'!E:E,'Base SKUs'!C:C)</f>
        <v>Long</v>
      </c>
      <c r="P497" t="s">
        <v>4926</v>
      </c>
    </row>
    <row r="498" spans="1:16" hidden="1" x14ac:dyDescent="0.25">
      <c r="A498" t="s">
        <v>4965</v>
      </c>
      <c r="B498" t="s">
        <v>4966</v>
      </c>
      <c r="C498" t="s">
        <v>153</v>
      </c>
      <c r="D498">
        <v>9007</v>
      </c>
      <c r="E498" t="s">
        <v>239</v>
      </c>
      <c r="F498">
        <v>238</v>
      </c>
      <c r="G498" t="str">
        <f>_xlfn.XLOOKUP(E498,'Base SKUs'!E:E,'Base SKUs'!D:D)</f>
        <v>Thermowood</v>
      </c>
      <c r="H498" s="10">
        <f>_xlfn.XLOOKUP(E498,'Base SKUs'!E:E,'Base SKUs'!S:S)</f>
        <v>1.1363686949999995E-2</v>
      </c>
      <c r="I498" s="9">
        <f t="shared" si="8"/>
        <v>2.7050000000000001</v>
      </c>
      <c r="J498" t="str">
        <f>_xlfn.XLOOKUP(E498,'Base SKUs'!E:E,'Base SKUs'!G:G)</f>
        <v>Maximo Thermo Ayous JPL</v>
      </c>
      <c r="K498" t="str">
        <f>_xlfn.XLOOKUP(E498,'Base SKUs'!E:E,'Base SKUs'!H:H)</f>
        <v>VJoint - Nickel Gap</v>
      </c>
      <c r="L498" t="str">
        <f>_xlfn.XLOOKUP(E498,'Base SKUs'!E:E,'Base SKUs'!I:I)</f>
        <v>-</v>
      </c>
      <c r="M498" t="str">
        <f>_xlfn.XLOOKUP(E498,'Base SKUs'!E:E,'Base SKUs'!J:J)</f>
        <v>1x6</v>
      </c>
      <c r="N498">
        <f>_xlfn.XLOOKUP(E498,'Base SKUs'!E:E,'Base SKUs'!K:K)</f>
        <v>14</v>
      </c>
      <c r="O498" t="str">
        <f>_xlfn.XLOOKUP(E498,'Base SKUs'!E:E,'Base SKUs'!C:C)</f>
        <v>Long</v>
      </c>
      <c r="P498" t="s">
        <v>4926</v>
      </c>
    </row>
    <row r="499" spans="1:16" hidden="1" x14ac:dyDescent="0.25">
      <c r="A499" t="s">
        <v>4965</v>
      </c>
      <c r="B499" t="s">
        <v>4966</v>
      </c>
      <c r="C499" t="s">
        <v>153</v>
      </c>
      <c r="D499">
        <v>9007</v>
      </c>
      <c r="E499" t="s">
        <v>3725</v>
      </c>
      <c r="F499">
        <v>252</v>
      </c>
      <c r="G499" t="str">
        <f>_xlfn.XLOOKUP(E499,'Base SKUs'!E:E,'Base SKUs'!D:D)</f>
        <v>Thermowood</v>
      </c>
      <c r="H499" s="10">
        <f>_xlfn.XLOOKUP(E499,'Base SKUs'!E:E,'Base SKUs'!S:S)</f>
        <v>1.3785456299999995E-2</v>
      </c>
      <c r="I499" s="9">
        <f t="shared" si="8"/>
        <v>3.4740000000000002</v>
      </c>
      <c r="J499" t="str">
        <f>_xlfn.XLOOKUP(E499,'Base SKUs'!E:E,'Base SKUs'!G:G)</f>
        <v>Maximo Thermo Ayous JPL</v>
      </c>
      <c r="K499" t="str">
        <f>_xlfn.XLOOKUP(E499,'Base SKUs'!E:E,'Base SKUs'!H:H)</f>
        <v>VJoint - Nickel Gap</v>
      </c>
      <c r="L499" t="str">
        <f>_xlfn.XLOOKUP(E499,'Base SKUs'!E:E,'Base SKUs'!I:I)</f>
        <v>-</v>
      </c>
      <c r="M499" t="str">
        <f>_xlfn.XLOOKUP(E499,'Base SKUs'!E:E,'Base SKUs'!J:J)</f>
        <v>1x6</v>
      </c>
      <c r="N499">
        <f>_xlfn.XLOOKUP(E499,'Base SKUs'!E:E,'Base SKUs'!K:K)</f>
        <v>17</v>
      </c>
      <c r="O499" t="str">
        <f>_xlfn.XLOOKUP(E499,'Base SKUs'!E:E,'Base SKUs'!C:C)</f>
        <v>Long</v>
      </c>
      <c r="P499" t="s">
        <v>4926</v>
      </c>
    </row>
    <row r="500" spans="1:16" hidden="1" x14ac:dyDescent="0.25">
      <c r="A500" t="s">
        <v>4965</v>
      </c>
      <c r="B500" t="s">
        <v>4966</v>
      </c>
      <c r="C500" t="s">
        <v>153</v>
      </c>
      <c r="D500">
        <v>9007</v>
      </c>
      <c r="E500" t="s">
        <v>3726</v>
      </c>
      <c r="F500">
        <v>294</v>
      </c>
      <c r="G500" t="str">
        <f>_xlfn.XLOOKUP(E500,'Base SKUs'!E:E,'Base SKUs'!D:D)</f>
        <v>Thermowood</v>
      </c>
      <c r="H500" s="10">
        <f>_xlfn.XLOOKUP(E500,'Base SKUs'!E:E,'Base SKUs'!S:S)</f>
        <v>1.4610454649999998E-2</v>
      </c>
      <c r="I500" s="9">
        <f t="shared" si="8"/>
        <v>4.2949999999999999</v>
      </c>
      <c r="J500" t="str">
        <f>_xlfn.XLOOKUP(E500,'Base SKUs'!E:E,'Base SKUs'!G:G)</f>
        <v>Maximo Thermo Ayous JPL</v>
      </c>
      <c r="K500" t="str">
        <f>_xlfn.XLOOKUP(E500,'Base SKUs'!E:E,'Base SKUs'!H:H)</f>
        <v>VJoint - Nickel Gap</v>
      </c>
      <c r="L500" t="str">
        <f>_xlfn.XLOOKUP(E500,'Base SKUs'!E:E,'Base SKUs'!I:I)</f>
        <v>-</v>
      </c>
      <c r="M500" t="str">
        <f>_xlfn.XLOOKUP(E500,'Base SKUs'!E:E,'Base SKUs'!J:J)</f>
        <v>1x6</v>
      </c>
      <c r="N500">
        <f>_xlfn.XLOOKUP(E500,'Base SKUs'!E:E,'Base SKUs'!K:K)</f>
        <v>18</v>
      </c>
      <c r="O500" t="str">
        <f>_xlfn.XLOOKUP(E500,'Base SKUs'!E:E,'Base SKUs'!C:C)</f>
        <v>Long</v>
      </c>
      <c r="P500" t="s">
        <v>4926</v>
      </c>
    </row>
    <row r="501" spans="1:16" hidden="1" x14ac:dyDescent="0.25">
      <c r="A501" t="s">
        <v>4965</v>
      </c>
      <c r="B501" t="s">
        <v>4966</v>
      </c>
      <c r="C501" t="s">
        <v>153</v>
      </c>
      <c r="D501">
        <v>9007</v>
      </c>
      <c r="E501" t="s">
        <v>13</v>
      </c>
      <c r="F501">
        <v>119</v>
      </c>
      <c r="G501" t="str">
        <f>_xlfn.XLOOKUP(E501,'Base SKUs'!E:E,'Base SKUs'!D:D)</f>
        <v>Thermowood</v>
      </c>
      <c r="H501" s="10">
        <f>_xlfn.XLOOKUP(E501,'Base SKUs'!E:E,'Base SKUs'!S:S)</f>
        <v>7.980000000000001E-3</v>
      </c>
      <c r="I501" s="9">
        <f t="shared" si="8"/>
        <v>0.95</v>
      </c>
      <c r="J501" t="str">
        <f>_xlfn.XLOOKUP(E501,'Base SKUs'!E:E,'Base SKUs'!G:G)</f>
        <v>Maximo Thermo Ayous</v>
      </c>
      <c r="K501" t="str">
        <f>_xlfn.XLOOKUP(E501,'Base SKUs'!E:E,'Base SKUs'!H:H)</f>
        <v>Fluted</v>
      </c>
      <c r="L501" t="str">
        <f>_xlfn.XLOOKUP(E501,'Base SKUs'!E:E,'Base SKUs'!I:I)</f>
        <v>-</v>
      </c>
      <c r="M501" t="str">
        <f>_xlfn.XLOOKUP(E501,'Base SKUs'!E:E,'Base SKUs'!J:J)</f>
        <v>1x6</v>
      </c>
      <c r="N501">
        <f>_xlfn.XLOOKUP(E501,'Base SKUs'!E:E,'Base SKUs'!K:K)</f>
        <v>10</v>
      </c>
      <c r="O501" t="str">
        <f>_xlfn.XLOOKUP(E501,'Base SKUs'!E:E,'Base SKUs'!C:C)</f>
        <v>Long</v>
      </c>
      <c r="P501" t="s">
        <v>4926</v>
      </c>
    </row>
    <row r="502" spans="1:16" hidden="1" x14ac:dyDescent="0.25">
      <c r="A502" t="s">
        <v>4965</v>
      </c>
      <c r="B502" t="s">
        <v>4966</v>
      </c>
      <c r="C502" t="s">
        <v>153</v>
      </c>
      <c r="D502">
        <v>9007</v>
      </c>
      <c r="E502" t="s">
        <v>293</v>
      </c>
      <c r="F502">
        <v>119</v>
      </c>
      <c r="G502" t="str">
        <f>_xlfn.XLOOKUP(E502,'Base SKUs'!E:E,'Base SKUs'!D:D)</f>
        <v>Thermowood</v>
      </c>
      <c r="H502" s="10">
        <f>_xlfn.XLOOKUP(E502,'Base SKUs'!E:E,'Base SKUs'!S:S)</f>
        <v>8.7779999999999993E-3</v>
      </c>
      <c r="I502" s="9">
        <f t="shared" si="8"/>
        <v>1.0449999999999999</v>
      </c>
      <c r="J502" t="str">
        <f>_xlfn.XLOOKUP(E502,'Base SKUs'!E:E,'Base SKUs'!G:G)</f>
        <v>Maximo Thermo Ayous</v>
      </c>
      <c r="K502" t="str">
        <f>_xlfn.XLOOKUP(E502,'Base SKUs'!E:E,'Base SKUs'!H:H)</f>
        <v>Fluted</v>
      </c>
      <c r="L502" t="str">
        <f>_xlfn.XLOOKUP(E502,'Base SKUs'!E:E,'Base SKUs'!I:I)</f>
        <v>-</v>
      </c>
      <c r="M502" t="str">
        <f>_xlfn.XLOOKUP(E502,'Base SKUs'!E:E,'Base SKUs'!J:J)</f>
        <v>1x6</v>
      </c>
      <c r="N502">
        <f>_xlfn.XLOOKUP(E502,'Base SKUs'!E:E,'Base SKUs'!K:K)</f>
        <v>11</v>
      </c>
      <c r="O502" t="str">
        <f>_xlfn.XLOOKUP(E502,'Base SKUs'!E:E,'Base SKUs'!C:C)</f>
        <v>Long</v>
      </c>
      <c r="P502" t="s">
        <v>4926</v>
      </c>
    </row>
    <row r="503" spans="1:16" hidden="1" x14ac:dyDescent="0.25">
      <c r="A503" t="s">
        <v>4965</v>
      </c>
      <c r="B503" t="s">
        <v>4966</v>
      </c>
      <c r="C503" t="s">
        <v>153</v>
      </c>
      <c r="D503">
        <v>9007</v>
      </c>
      <c r="E503" t="s">
        <v>228</v>
      </c>
      <c r="F503">
        <v>91</v>
      </c>
      <c r="G503" t="str">
        <f>_xlfn.XLOOKUP(E503,'Base SKUs'!E:E,'Base SKUs'!D:D)</f>
        <v>Thermowood</v>
      </c>
      <c r="H503" s="10">
        <f>_xlfn.XLOOKUP(E503,'Base SKUs'!E:E,'Base SKUs'!S:S)</f>
        <v>9.5760000000000012E-3</v>
      </c>
      <c r="I503" s="9">
        <f t="shared" si="8"/>
        <v>0.871</v>
      </c>
      <c r="J503" t="str">
        <f>_xlfn.XLOOKUP(E503,'Base SKUs'!E:E,'Base SKUs'!G:G)</f>
        <v>Maximo Thermo Ayous</v>
      </c>
      <c r="K503" t="str">
        <f>_xlfn.XLOOKUP(E503,'Base SKUs'!E:E,'Base SKUs'!H:H)</f>
        <v>Fluted</v>
      </c>
      <c r="L503" t="str">
        <f>_xlfn.XLOOKUP(E503,'Base SKUs'!E:E,'Base SKUs'!I:I)</f>
        <v>-</v>
      </c>
      <c r="M503" t="str">
        <f>_xlfn.XLOOKUP(E503,'Base SKUs'!E:E,'Base SKUs'!J:J)</f>
        <v>1x6</v>
      </c>
      <c r="N503">
        <f>_xlfn.XLOOKUP(E503,'Base SKUs'!E:E,'Base SKUs'!K:K)</f>
        <v>12</v>
      </c>
      <c r="O503" t="str">
        <f>_xlfn.XLOOKUP(E503,'Base SKUs'!E:E,'Base SKUs'!C:C)</f>
        <v>Long</v>
      </c>
      <c r="P503" t="s">
        <v>4926</v>
      </c>
    </row>
    <row r="504" spans="1:16" hidden="1" x14ac:dyDescent="0.25">
      <c r="A504" t="s">
        <v>4965</v>
      </c>
      <c r="B504" t="s">
        <v>4966</v>
      </c>
      <c r="C504" t="s">
        <v>153</v>
      </c>
      <c r="D504">
        <v>9007</v>
      </c>
      <c r="E504" t="s">
        <v>3889</v>
      </c>
      <c r="F504">
        <v>44</v>
      </c>
      <c r="G504" t="str">
        <f>_xlfn.XLOOKUP(E504,'Base SKUs'!E:E,'Base SKUs'!D:D)</f>
        <v>Thermowood</v>
      </c>
      <c r="H504" s="10">
        <f>_xlfn.XLOOKUP(E504,'Base SKUs'!E:E,'Base SKUs'!S:S)</f>
        <v>8.6400000000000001E-3</v>
      </c>
      <c r="I504" s="9">
        <f t="shared" si="8"/>
        <v>0.38</v>
      </c>
      <c r="J504" t="str">
        <f>_xlfn.XLOOKUP(E504,'Base SKUs'!E:E,'Base SKUs'!G:G)</f>
        <v>Maximo Thermo Ayous</v>
      </c>
      <c r="K504" t="str">
        <f>_xlfn.XLOOKUP(E504,'Base SKUs'!E:E,'Base SKUs'!H:H)</f>
        <v>S4S E4E</v>
      </c>
      <c r="L504" t="str">
        <f>_xlfn.XLOOKUP(E504,'Base SKUs'!E:E,'Base SKUs'!I:I)</f>
        <v>-</v>
      </c>
      <c r="M504" t="str">
        <f>_xlfn.XLOOKUP(E504,'Base SKUs'!E:E,'Base SKUs'!J:J)</f>
        <v>2x4</v>
      </c>
      <c r="N504">
        <f>_xlfn.XLOOKUP(E504,'Base SKUs'!E:E,'Base SKUs'!K:K)</f>
        <v>8</v>
      </c>
      <c r="O504" t="str">
        <f>_xlfn.XLOOKUP(E504,'Base SKUs'!E:E,'Base SKUs'!C:C)</f>
        <v>Long</v>
      </c>
      <c r="P504" t="s">
        <v>4926</v>
      </c>
    </row>
    <row r="505" spans="1:16" hidden="1" x14ac:dyDescent="0.25">
      <c r="A505" t="s">
        <v>4965</v>
      </c>
      <c r="B505" t="s">
        <v>4966</v>
      </c>
      <c r="C505" t="s">
        <v>153</v>
      </c>
      <c r="D505">
        <v>9007</v>
      </c>
      <c r="E505" t="s">
        <v>3875</v>
      </c>
      <c r="F505">
        <v>44</v>
      </c>
      <c r="G505" t="str">
        <f>_xlfn.XLOOKUP(E505,'Base SKUs'!E:E,'Base SKUs'!D:D)</f>
        <v>Thermowood</v>
      </c>
      <c r="H505" s="10">
        <f>_xlfn.XLOOKUP(E505,'Base SKUs'!E:E,'Base SKUs'!S:S)</f>
        <v>1.0799999999999999E-2</v>
      </c>
      <c r="I505" s="9">
        <f t="shared" si="8"/>
        <v>0.47499999999999998</v>
      </c>
      <c r="J505" t="str">
        <f>_xlfn.XLOOKUP(E505,'Base SKUs'!E:E,'Base SKUs'!G:G)</f>
        <v>Maximo Thermo Ayous</v>
      </c>
      <c r="K505" t="str">
        <f>_xlfn.XLOOKUP(E505,'Base SKUs'!E:E,'Base SKUs'!H:H)</f>
        <v>S4S E4E</v>
      </c>
      <c r="L505" t="str">
        <f>_xlfn.XLOOKUP(E505,'Base SKUs'!E:E,'Base SKUs'!I:I)</f>
        <v>-</v>
      </c>
      <c r="M505" t="str">
        <f>_xlfn.XLOOKUP(E505,'Base SKUs'!E:E,'Base SKUs'!J:J)</f>
        <v>2x4</v>
      </c>
      <c r="N505">
        <f>_xlfn.XLOOKUP(E505,'Base SKUs'!E:E,'Base SKUs'!K:K)</f>
        <v>10</v>
      </c>
      <c r="O505" t="str">
        <f>_xlfn.XLOOKUP(E505,'Base SKUs'!E:E,'Base SKUs'!C:C)</f>
        <v>Long</v>
      </c>
      <c r="P505" t="s">
        <v>4926</v>
      </c>
    </row>
    <row r="506" spans="1:16" hidden="1" x14ac:dyDescent="0.25">
      <c r="A506" t="s">
        <v>4965</v>
      </c>
      <c r="B506" t="s">
        <v>4966</v>
      </c>
      <c r="C506" t="s">
        <v>153</v>
      </c>
      <c r="D506">
        <v>9007</v>
      </c>
      <c r="E506" t="s">
        <v>3878</v>
      </c>
      <c r="F506">
        <v>33</v>
      </c>
      <c r="G506" t="str">
        <f>_xlfn.XLOOKUP(E506,'Base SKUs'!E:E,'Base SKUs'!D:D)</f>
        <v>Thermowood</v>
      </c>
      <c r="H506" s="10">
        <f>_xlfn.XLOOKUP(E506,'Base SKUs'!E:E,'Base SKUs'!S:S)</f>
        <v>1.2959999999999999E-2</v>
      </c>
      <c r="I506" s="9">
        <f t="shared" si="8"/>
        <v>0.42799999999999999</v>
      </c>
      <c r="J506" t="str">
        <f>_xlfn.XLOOKUP(E506,'Base SKUs'!E:E,'Base SKUs'!G:G)</f>
        <v>Maximo Thermo Ayous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2x4</v>
      </c>
      <c r="N506">
        <f>_xlfn.XLOOKUP(E506,'Base SKUs'!E:E,'Base SKUs'!K:K)</f>
        <v>12</v>
      </c>
      <c r="O506" t="str">
        <f>_xlfn.XLOOKUP(E506,'Base SKUs'!E:E,'Base SKUs'!C:C)</f>
        <v>Long</v>
      </c>
      <c r="P506" t="s">
        <v>4926</v>
      </c>
    </row>
    <row r="507" spans="1:16" hidden="1" x14ac:dyDescent="0.25">
      <c r="A507" t="s">
        <v>4965</v>
      </c>
      <c r="B507" t="s">
        <v>4966</v>
      </c>
      <c r="C507" t="s">
        <v>153</v>
      </c>
      <c r="D507">
        <v>9007</v>
      </c>
      <c r="E507" t="s">
        <v>3890</v>
      </c>
      <c r="F507">
        <v>44</v>
      </c>
      <c r="G507" t="str">
        <f>_xlfn.XLOOKUP(E507,'Base SKUs'!E:E,'Base SKUs'!D:D)</f>
        <v>Thermowood</v>
      </c>
      <c r="H507" s="10">
        <f>_xlfn.XLOOKUP(E507,'Base SKUs'!E:E,'Base SKUs'!S:S)</f>
        <v>9.7200000000000012E-3</v>
      </c>
      <c r="I507" s="9">
        <f t="shared" si="8"/>
        <v>0.42799999999999999</v>
      </c>
      <c r="J507" t="str">
        <f>_xlfn.XLOOKUP(E507,'Base SKUs'!E:E,'Base SKUs'!G:G)</f>
        <v>Maximo Thermo Ayous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2x4</v>
      </c>
      <c r="N507">
        <f>_xlfn.XLOOKUP(E507,'Base SKUs'!E:E,'Base SKUs'!K:K)</f>
        <v>9</v>
      </c>
      <c r="O507" t="str">
        <f>_xlfn.XLOOKUP(E507,'Base SKUs'!E:E,'Base SKUs'!C:C)</f>
        <v>Long</v>
      </c>
      <c r="P507" t="s">
        <v>4926</v>
      </c>
    </row>
    <row r="508" spans="1:16" x14ac:dyDescent="0.25">
      <c r="H508" s="10"/>
      <c r="I508" s="9"/>
    </row>
    <row r="509" spans="1:16" x14ac:dyDescent="0.25">
      <c r="H509" s="10"/>
      <c r="I509" s="9"/>
    </row>
    <row r="510" spans="1:16" x14ac:dyDescent="0.25">
      <c r="H510" s="10"/>
      <c r="I510" s="9"/>
    </row>
    <row r="511" spans="1:16" x14ac:dyDescent="0.25">
      <c r="H511" s="10"/>
      <c r="I511" s="9"/>
    </row>
    <row r="512" spans="1:16" x14ac:dyDescent="0.25">
      <c r="H512" s="10"/>
      <c r="I512" s="9"/>
    </row>
    <row r="513" spans="8:9" x14ac:dyDescent="0.25">
      <c r="H513" s="10"/>
      <c r="I513" s="9"/>
    </row>
    <row r="514" spans="8:9" x14ac:dyDescent="0.25">
      <c r="H514" s="10"/>
      <c r="I514" s="9"/>
    </row>
    <row r="515" spans="8:9" x14ac:dyDescent="0.25">
      <c r="H515" s="10"/>
      <c r="I515" s="9"/>
    </row>
    <row r="516" spans="8:9" x14ac:dyDescent="0.25">
      <c r="H516" s="10"/>
      <c r="I516" s="9"/>
    </row>
    <row r="517" spans="8:9" x14ac:dyDescent="0.25">
      <c r="H517" s="10"/>
      <c r="I517" s="9"/>
    </row>
    <row r="518" spans="8:9" x14ac:dyDescent="0.25">
      <c r="H518" s="10"/>
      <c r="I518" s="9"/>
    </row>
    <row r="519" spans="8:9" x14ac:dyDescent="0.25">
      <c r="H519" s="10"/>
      <c r="I519" s="9"/>
    </row>
    <row r="520" spans="8:9" x14ac:dyDescent="0.25">
      <c r="H520" s="10"/>
      <c r="I520" s="9"/>
    </row>
    <row r="521" spans="8:9" x14ac:dyDescent="0.25">
      <c r="H521" s="10"/>
      <c r="I521" s="9"/>
    </row>
    <row r="522" spans="8:9" x14ac:dyDescent="0.25">
      <c r="H522" s="10"/>
      <c r="I522" s="9"/>
    </row>
    <row r="523" spans="8:9" x14ac:dyDescent="0.25">
      <c r="H523" s="10"/>
      <c r="I523" s="9"/>
    </row>
    <row r="524" spans="8:9" x14ac:dyDescent="0.25">
      <c r="H524" s="10"/>
      <c r="I524" s="9"/>
    </row>
    <row r="525" spans="8:9" x14ac:dyDescent="0.25">
      <c r="H525" s="10"/>
      <c r="I525" s="9"/>
    </row>
    <row r="526" spans="8:9" x14ac:dyDescent="0.25">
      <c r="H526" s="10"/>
      <c r="I526" s="9"/>
    </row>
    <row r="527" spans="8:9" x14ac:dyDescent="0.25">
      <c r="H527" s="10"/>
      <c r="I527" s="9"/>
    </row>
    <row r="528" spans="8:9" x14ac:dyDescent="0.25">
      <c r="H528" s="10"/>
      <c r="I528" s="9"/>
    </row>
    <row r="529" spans="8:9" x14ac:dyDescent="0.25">
      <c r="H529" s="10"/>
      <c r="I529" s="9"/>
    </row>
    <row r="530" spans="8:9" x14ac:dyDescent="0.25">
      <c r="H530" s="10"/>
      <c r="I530" s="9"/>
    </row>
    <row r="531" spans="8:9" x14ac:dyDescent="0.25">
      <c r="H531" s="10"/>
      <c r="I531" s="9"/>
    </row>
  </sheetData>
  <autoFilter ref="A1:P507" xr:uid="{00000000-0001-0000-0000-000000000000}">
    <filterColumn colId="9">
      <filters>
        <filter val="Maximo Thermo Ayous"/>
        <filter val="Maximo Thermo Ayous JPL"/>
      </filters>
    </filterColumn>
    <filterColumn colId="15">
      <filters>
        <filter val="Offer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D9048-6D8E-4B4A-859F-F564485BE747}">
  <sheetPr>
    <tabColor theme="3" tint="-0.249977111117893"/>
  </sheetPr>
  <dimension ref="A1:T4017"/>
  <sheetViews>
    <sheetView zoomScale="80" zoomScaleNormal="80" workbookViewId="0">
      <pane ySplit="1" topLeftCell="A2" activePane="bottomLeft" state="frozen"/>
      <selection pane="bottomLeft" activeCell="G2" sqref="G2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347</v>
      </c>
      <c r="B1" s="3" t="s">
        <v>348</v>
      </c>
      <c r="C1" s="3" t="s">
        <v>349</v>
      </c>
      <c r="D1" s="3" t="s">
        <v>350</v>
      </c>
      <c r="E1" s="3" t="s">
        <v>4</v>
      </c>
      <c r="F1" s="3" t="s">
        <v>351</v>
      </c>
      <c r="G1" s="3" t="s">
        <v>352</v>
      </c>
      <c r="H1" s="3" t="s">
        <v>353</v>
      </c>
      <c r="I1" s="3" t="s">
        <v>354</v>
      </c>
      <c r="J1" s="3" t="s">
        <v>355</v>
      </c>
      <c r="K1" s="3" t="s">
        <v>356</v>
      </c>
      <c r="L1" s="4" t="s">
        <v>357</v>
      </c>
      <c r="M1" s="3" t="s">
        <v>358</v>
      </c>
      <c r="N1" s="3" t="s">
        <v>359</v>
      </c>
      <c r="O1" s="3" t="s">
        <v>360</v>
      </c>
      <c r="P1" s="3" t="s">
        <v>361</v>
      </c>
      <c r="Q1" s="3" t="s">
        <v>362</v>
      </c>
      <c r="R1" s="3" t="s">
        <v>363</v>
      </c>
      <c r="S1" s="3" t="s">
        <v>364</v>
      </c>
      <c r="T1" s="3" t="s">
        <v>365</v>
      </c>
    </row>
    <row r="2" spans="1:20" x14ac:dyDescent="0.25">
      <c r="A2" t="s">
        <v>366</v>
      </c>
      <c r="B2" t="s">
        <v>367</v>
      </c>
      <c r="C2" t="s">
        <v>368</v>
      </c>
      <c r="D2" t="s">
        <v>369</v>
      </c>
      <c r="E2" t="s">
        <v>370</v>
      </c>
      <c r="F2" t="s">
        <v>371</v>
      </c>
      <c r="G2" t="s">
        <v>372</v>
      </c>
      <c r="H2" t="s">
        <v>373</v>
      </c>
      <c r="I2" t="s">
        <v>374</v>
      </c>
      <c r="J2" t="s">
        <v>375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366</v>
      </c>
      <c r="B3" t="s">
        <v>367</v>
      </c>
      <c r="C3" t="s">
        <v>368</v>
      </c>
      <c r="D3" t="s">
        <v>369</v>
      </c>
      <c r="E3" t="s">
        <v>376</v>
      </c>
      <c r="F3" t="s">
        <v>371</v>
      </c>
      <c r="G3" t="s">
        <v>372</v>
      </c>
      <c r="H3" t="s">
        <v>373</v>
      </c>
      <c r="I3" t="s">
        <v>374</v>
      </c>
      <c r="J3" t="s">
        <v>375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366</v>
      </c>
      <c r="B4" t="s">
        <v>367</v>
      </c>
      <c r="C4" t="s">
        <v>368</v>
      </c>
      <c r="D4" t="s">
        <v>369</v>
      </c>
      <c r="E4" t="s">
        <v>377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366</v>
      </c>
      <c r="B5" t="s">
        <v>367</v>
      </c>
      <c r="C5" t="s">
        <v>368</v>
      </c>
      <c r="D5" t="s">
        <v>369</v>
      </c>
      <c r="E5" t="s">
        <v>378</v>
      </c>
      <c r="F5" t="s">
        <v>371</v>
      </c>
      <c r="G5" t="s">
        <v>372</v>
      </c>
      <c r="H5" t="s">
        <v>373</v>
      </c>
      <c r="I5" t="s">
        <v>374</v>
      </c>
      <c r="J5" t="s">
        <v>375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366</v>
      </c>
      <c r="B6" t="s">
        <v>367</v>
      </c>
      <c r="C6" t="s">
        <v>368</v>
      </c>
      <c r="D6" t="s">
        <v>369</v>
      </c>
      <c r="E6" t="s">
        <v>379</v>
      </c>
      <c r="F6" t="s">
        <v>371</v>
      </c>
      <c r="G6" t="s">
        <v>372</v>
      </c>
      <c r="H6" t="s">
        <v>373</v>
      </c>
      <c r="I6" t="s">
        <v>374</v>
      </c>
      <c r="J6" t="s">
        <v>375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366</v>
      </c>
      <c r="B7" t="s">
        <v>367</v>
      </c>
      <c r="C7" t="s">
        <v>368</v>
      </c>
      <c r="D7" t="s">
        <v>369</v>
      </c>
      <c r="E7" t="s">
        <v>380</v>
      </c>
      <c r="F7" t="s">
        <v>371</v>
      </c>
      <c r="G7" t="s">
        <v>372</v>
      </c>
      <c r="H7" t="s">
        <v>373</v>
      </c>
      <c r="I7" t="s">
        <v>374</v>
      </c>
      <c r="J7" t="s">
        <v>375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366</v>
      </c>
      <c r="B8" t="s">
        <v>367</v>
      </c>
      <c r="C8" t="s">
        <v>368</v>
      </c>
      <c r="D8" t="s">
        <v>369</v>
      </c>
      <c r="E8" t="s">
        <v>381</v>
      </c>
      <c r="F8" t="s">
        <v>371</v>
      </c>
      <c r="G8" t="s">
        <v>372</v>
      </c>
      <c r="H8" t="s">
        <v>373</v>
      </c>
      <c r="I8" t="s">
        <v>374</v>
      </c>
      <c r="J8" t="s">
        <v>375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366</v>
      </c>
      <c r="B9" t="s">
        <v>367</v>
      </c>
      <c r="C9" t="s">
        <v>368</v>
      </c>
      <c r="D9" t="s">
        <v>369</v>
      </c>
      <c r="E9" t="s">
        <v>382</v>
      </c>
      <c r="F9" t="s">
        <v>371</v>
      </c>
      <c r="G9" t="s">
        <v>372</v>
      </c>
      <c r="H9" t="s">
        <v>373</v>
      </c>
      <c r="I9" t="s">
        <v>374</v>
      </c>
      <c r="J9" t="s">
        <v>375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366</v>
      </c>
      <c r="B10" t="s">
        <v>367</v>
      </c>
      <c r="C10" t="s">
        <v>368</v>
      </c>
      <c r="D10" t="s">
        <v>369</v>
      </c>
      <c r="E10" t="s">
        <v>383</v>
      </c>
      <c r="F10" t="s">
        <v>371</v>
      </c>
      <c r="G10" t="s">
        <v>372</v>
      </c>
      <c r="H10" t="s">
        <v>373</v>
      </c>
      <c r="I10" t="s">
        <v>374</v>
      </c>
      <c r="J10" t="s">
        <v>375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366</v>
      </c>
      <c r="B11" t="s">
        <v>367</v>
      </c>
      <c r="C11" t="s">
        <v>368</v>
      </c>
      <c r="D11" t="s">
        <v>369</v>
      </c>
      <c r="E11" t="s">
        <v>384</v>
      </c>
      <c r="F11" t="s">
        <v>385</v>
      </c>
      <c r="G11" t="s">
        <v>372</v>
      </c>
      <c r="H11" t="s">
        <v>373</v>
      </c>
      <c r="I11" t="s">
        <v>374</v>
      </c>
      <c r="J11" t="s">
        <v>386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366</v>
      </c>
      <c r="B12" t="s">
        <v>367</v>
      </c>
      <c r="C12" t="s">
        <v>368</v>
      </c>
      <c r="D12" t="s">
        <v>369</v>
      </c>
      <c r="E12" t="s">
        <v>387</v>
      </c>
      <c r="F12" t="s">
        <v>385</v>
      </c>
      <c r="G12" t="s">
        <v>372</v>
      </c>
      <c r="H12" t="s">
        <v>373</v>
      </c>
      <c r="I12" t="s">
        <v>374</v>
      </c>
      <c r="J12" t="s">
        <v>386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366</v>
      </c>
      <c r="B13" t="s">
        <v>367</v>
      </c>
      <c r="C13" t="s">
        <v>368</v>
      </c>
      <c r="D13" t="s">
        <v>369</v>
      </c>
      <c r="E13" t="s">
        <v>388</v>
      </c>
      <c r="F13" t="s">
        <v>385</v>
      </c>
      <c r="G13" t="s">
        <v>372</v>
      </c>
      <c r="H13" t="s">
        <v>373</v>
      </c>
      <c r="I13" t="s">
        <v>374</v>
      </c>
      <c r="J13" t="s">
        <v>386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366</v>
      </c>
      <c r="B14" t="s">
        <v>367</v>
      </c>
      <c r="C14" t="s">
        <v>368</v>
      </c>
      <c r="D14" t="s">
        <v>369</v>
      </c>
      <c r="E14" t="s">
        <v>389</v>
      </c>
      <c r="F14" t="s">
        <v>385</v>
      </c>
      <c r="G14" t="s">
        <v>372</v>
      </c>
      <c r="H14" t="s">
        <v>373</v>
      </c>
      <c r="I14" t="s">
        <v>374</v>
      </c>
      <c r="J14" t="s">
        <v>386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366</v>
      </c>
      <c r="B15" t="s">
        <v>367</v>
      </c>
      <c r="C15" t="s">
        <v>368</v>
      </c>
      <c r="D15" t="s">
        <v>369</v>
      </c>
      <c r="E15" t="s">
        <v>390</v>
      </c>
      <c r="F15" t="s">
        <v>385</v>
      </c>
      <c r="G15" t="s">
        <v>372</v>
      </c>
      <c r="H15" t="s">
        <v>373</v>
      </c>
      <c r="I15" t="s">
        <v>374</v>
      </c>
      <c r="J15" t="s">
        <v>386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366</v>
      </c>
      <c r="B16" t="s">
        <v>367</v>
      </c>
      <c r="C16" t="s">
        <v>368</v>
      </c>
      <c r="D16" t="s">
        <v>369</v>
      </c>
      <c r="E16" t="s">
        <v>391</v>
      </c>
      <c r="F16" t="s">
        <v>385</v>
      </c>
      <c r="G16" t="s">
        <v>372</v>
      </c>
      <c r="H16" t="s">
        <v>373</v>
      </c>
      <c r="I16" t="s">
        <v>374</v>
      </c>
      <c r="J16" t="s">
        <v>386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366</v>
      </c>
      <c r="B17" t="s">
        <v>367</v>
      </c>
      <c r="C17" t="s">
        <v>368</v>
      </c>
      <c r="D17" t="s">
        <v>369</v>
      </c>
      <c r="E17" t="s">
        <v>392</v>
      </c>
      <c r="F17" t="s">
        <v>385</v>
      </c>
      <c r="G17" t="s">
        <v>372</v>
      </c>
      <c r="H17" t="s">
        <v>373</v>
      </c>
      <c r="I17" t="s">
        <v>374</v>
      </c>
      <c r="J17" t="s">
        <v>386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366</v>
      </c>
      <c r="B18" t="s">
        <v>367</v>
      </c>
      <c r="C18" t="s">
        <v>368</v>
      </c>
      <c r="D18" t="s">
        <v>369</v>
      </c>
      <c r="E18" t="s">
        <v>393</v>
      </c>
      <c r="F18" t="s">
        <v>385</v>
      </c>
      <c r="G18" t="s">
        <v>372</v>
      </c>
      <c r="H18" t="s">
        <v>373</v>
      </c>
      <c r="I18" t="s">
        <v>374</v>
      </c>
      <c r="J18" t="s">
        <v>386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366</v>
      </c>
      <c r="B19" t="s">
        <v>367</v>
      </c>
      <c r="C19" t="s">
        <v>368</v>
      </c>
      <c r="D19" t="s">
        <v>369</v>
      </c>
      <c r="E19" t="s">
        <v>394</v>
      </c>
      <c r="F19" t="s">
        <v>385</v>
      </c>
      <c r="G19" t="s">
        <v>372</v>
      </c>
      <c r="H19" t="s">
        <v>373</v>
      </c>
      <c r="I19" t="s">
        <v>374</v>
      </c>
      <c r="J19" t="s">
        <v>386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366</v>
      </c>
      <c r="B20" t="s">
        <v>367</v>
      </c>
      <c r="C20" t="s">
        <v>368</v>
      </c>
      <c r="D20" t="s">
        <v>369</v>
      </c>
      <c r="E20" t="s">
        <v>395</v>
      </c>
      <c r="F20" t="s">
        <v>396</v>
      </c>
      <c r="G20" t="s">
        <v>372</v>
      </c>
      <c r="H20" t="s">
        <v>373</v>
      </c>
      <c r="I20" t="s">
        <v>397</v>
      </c>
      <c r="J20" t="s">
        <v>375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366</v>
      </c>
      <c r="B21" t="s">
        <v>367</v>
      </c>
      <c r="C21" t="s">
        <v>368</v>
      </c>
      <c r="D21" t="s">
        <v>369</v>
      </c>
      <c r="E21" t="s">
        <v>398</v>
      </c>
      <c r="F21" t="s">
        <v>396</v>
      </c>
      <c r="G21" t="s">
        <v>372</v>
      </c>
      <c r="H21" t="s">
        <v>373</v>
      </c>
      <c r="I21" t="s">
        <v>397</v>
      </c>
      <c r="J21" t="s">
        <v>375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366</v>
      </c>
      <c r="B22" t="s">
        <v>367</v>
      </c>
      <c r="C22" t="s">
        <v>368</v>
      </c>
      <c r="D22" t="s">
        <v>369</v>
      </c>
      <c r="E22" t="s">
        <v>399</v>
      </c>
      <c r="F22" t="s">
        <v>396</v>
      </c>
      <c r="G22" t="s">
        <v>372</v>
      </c>
      <c r="H22" t="s">
        <v>373</v>
      </c>
      <c r="I22" t="s">
        <v>397</v>
      </c>
      <c r="J22" t="s">
        <v>375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366</v>
      </c>
      <c r="B23" t="s">
        <v>367</v>
      </c>
      <c r="C23" t="s">
        <v>368</v>
      </c>
      <c r="D23" t="s">
        <v>369</v>
      </c>
      <c r="E23" t="s">
        <v>400</v>
      </c>
      <c r="F23" t="s">
        <v>396</v>
      </c>
      <c r="G23" t="s">
        <v>372</v>
      </c>
      <c r="H23" t="s">
        <v>373</v>
      </c>
      <c r="I23" t="s">
        <v>397</v>
      </c>
      <c r="J23" t="s">
        <v>375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366</v>
      </c>
      <c r="B24" t="s">
        <v>367</v>
      </c>
      <c r="C24" t="s">
        <v>368</v>
      </c>
      <c r="D24" t="s">
        <v>369</v>
      </c>
      <c r="E24" t="s">
        <v>401</v>
      </c>
      <c r="F24" t="s">
        <v>396</v>
      </c>
      <c r="G24" t="s">
        <v>372</v>
      </c>
      <c r="H24" t="s">
        <v>373</v>
      </c>
      <c r="I24" t="s">
        <v>397</v>
      </c>
      <c r="J24" t="s">
        <v>375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366</v>
      </c>
      <c r="B25" t="s">
        <v>367</v>
      </c>
      <c r="C25" t="s">
        <v>368</v>
      </c>
      <c r="D25" t="s">
        <v>369</v>
      </c>
      <c r="E25" t="s">
        <v>402</v>
      </c>
      <c r="F25" t="s">
        <v>396</v>
      </c>
      <c r="G25" t="s">
        <v>372</v>
      </c>
      <c r="H25" t="s">
        <v>373</v>
      </c>
      <c r="I25" t="s">
        <v>397</v>
      </c>
      <c r="J25" t="s">
        <v>375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366</v>
      </c>
      <c r="B26" t="s">
        <v>367</v>
      </c>
      <c r="C26" t="s">
        <v>368</v>
      </c>
      <c r="D26" t="s">
        <v>369</v>
      </c>
      <c r="E26" t="s">
        <v>403</v>
      </c>
      <c r="F26" t="s">
        <v>396</v>
      </c>
      <c r="G26" t="s">
        <v>372</v>
      </c>
      <c r="H26" t="s">
        <v>373</v>
      </c>
      <c r="I26" t="s">
        <v>397</v>
      </c>
      <c r="J26" t="s">
        <v>375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366</v>
      </c>
      <c r="B27" t="s">
        <v>367</v>
      </c>
      <c r="C27" t="s">
        <v>368</v>
      </c>
      <c r="D27" t="s">
        <v>369</v>
      </c>
      <c r="E27" t="s">
        <v>404</v>
      </c>
      <c r="F27" t="s">
        <v>396</v>
      </c>
      <c r="G27" t="s">
        <v>372</v>
      </c>
      <c r="H27" t="s">
        <v>373</v>
      </c>
      <c r="I27" t="s">
        <v>397</v>
      </c>
      <c r="J27" t="s">
        <v>375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366</v>
      </c>
      <c r="B28" t="s">
        <v>367</v>
      </c>
      <c r="C28" t="s">
        <v>368</v>
      </c>
      <c r="D28" t="s">
        <v>369</v>
      </c>
      <c r="E28" t="s">
        <v>405</v>
      </c>
      <c r="F28" t="s">
        <v>396</v>
      </c>
      <c r="G28" t="s">
        <v>372</v>
      </c>
      <c r="H28" t="s">
        <v>373</v>
      </c>
      <c r="I28" t="s">
        <v>397</v>
      </c>
      <c r="J28" t="s">
        <v>375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366</v>
      </c>
      <c r="B29" t="s">
        <v>406</v>
      </c>
      <c r="C29" t="s">
        <v>368</v>
      </c>
      <c r="D29" t="s">
        <v>369</v>
      </c>
      <c r="E29" t="s">
        <v>407</v>
      </c>
      <c r="F29" t="s">
        <v>408</v>
      </c>
      <c r="G29" t="s">
        <v>372</v>
      </c>
      <c r="H29" t="s">
        <v>409</v>
      </c>
      <c r="I29" t="s">
        <v>410</v>
      </c>
      <c r="J29" t="s">
        <v>386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366</v>
      </c>
      <c r="B30" t="s">
        <v>406</v>
      </c>
      <c r="C30" t="s">
        <v>368</v>
      </c>
      <c r="D30" t="s">
        <v>369</v>
      </c>
      <c r="E30" t="s">
        <v>411</v>
      </c>
      <c r="F30" t="s">
        <v>408</v>
      </c>
      <c r="G30" t="s">
        <v>372</v>
      </c>
      <c r="H30" t="s">
        <v>409</v>
      </c>
      <c r="I30" t="s">
        <v>410</v>
      </c>
      <c r="J30" t="s">
        <v>386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366</v>
      </c>
      <c r="B31" t="s">
        <v>406</v>
      </c>
      <c r="C31" t="s">
        <v>368</v>
      </c>
      <c r="D31" t="s">
        <v>369</v>
      </c>
      <c r="E31" t="s">
        <v>412</v>
      </c>
      <c r="F31" t="s">
        <v>408</v>
      </c>
      <c r="G31" t="s">
        <v>372</v>
      </c>
      <c r="H31" t="s">
        <v>409</v>
      </c>
      <c r="I31" t="s">
        <v>410</v>
      </c>
      <c r="J31" t="s">
        <v>386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366</v>
      </c>
      <c r="B32" t="s">
        <v>406</v>
      </c>
      <c r="C32" t="s">
        <v>368</v>
      </c>
      <c r="D32" t="s">
        <v>369</v>
      </c>
      <c r="E32" t="s">
        <v>413</v>
      </c>
      <c r="F32" t="s">
        <v>408</v>
      </c>
      <c r="G32" t="s">
        <v>372</v>
      </c>
      <c r="H32" t="s">
        <v>409</v>
      </c>
      <c r="I32" t="s">
        <v>410</v>
      </c>
      <c r="J32" t="s">
        <v>386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366</v>
      </c>
      <c r="B33" t="s">
        <v>406</v>
      </c>
      <c r="C33" t="s">
        <v>368</v>
      </c>
      <c r="D33" t="s">
        <v>369</v>
      </c>
      <c r="E33" t="s">
        <v>414</v>
      </c>
      <c r="F33" t="s">
        <v>408</v>
      </c>
      <c r="G33" t="s">
        <v>372</v>
      </c>
      <c r="H33" t="s">
        <v>409</v>
      </c>
      <c r="I33" t="s">
        <v>410</v>
      </c>
      <c r="J33" t="s">
        <v>386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366</v>
      </c>
      <c r="B34" t="s">
        <v>406</v>
      </c>
      <c r="C34" t="s">
        <v>368</v>
      </c>
      <c r="D34" t="s">
        <v>369</v>
      </c>
      <c r="E34" t="s">
        <v>415</v>
      </c>
      <c r="F34" t="s">
        <v>408</v>
      </c>
      <c r="G34" t="s">
        <v>372</v>
      </c>
      <c r="H34" t="s">
        <v>409</v>
      </c>
      <c r="I34" t="s">
        <v>410</v>
      </c>
      <c r="J34" t="s">
        <v>386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366</v>
      </c>
      <c r="B35" t="s">
        <v>406</v>
      </c>
      <c r="C35" t="s">
        <v>368</v>
      </c>
      <c r="D35" t="s">
        <v>369</v>
      </c>
      <c r="E35" t="s">
        <v>416</v>
      </c>
      <c r="F35" t="s">
        <v>408</v>
      </c>
      <c r="G35" t="s">
        <v>372</v>
      </c>
      <c r="H35" t="s">
        <v>409</v>
      </c>
      <c r="I35" t="s">
        <v>410</v>
      </c>
      <c r="J35" t="s">
        <v>386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366</v>
      </c>
      <c r="B36" t="s">
        <v>406</v>
      </c>
      <c r="C36" t="s">
        <v>368</v>
      </c>
      <c r="D36" t="s">
        <v>369</v>
      </c>
      <c r="E36" t="s">
        <v>417</v>
      </c>
      <c r="F36" t="s">
        <v>408</v>
      </c>
      <c r="G36" t="s">
        <v>372</v>
      </c>
      <c r="H36" t="s">
        <v>409</v>
      </c>
      <c r="I36" t="s">
        <v>410</v>
      </c>
      <c r="J36" t="s">
        <v>386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366</v>
      </c>
      <c r="B37" t="s">
        <v>406</v>
      </c>
      <c r="C37" t="s">
        <v>368</v>
      </c>
      <c r="D37" t="s">
        <v>369</v>
      </c>
      <c r="E37" t="s">
        <v>418</v>
      </c>
      <c r="F37" t="s">
        <v>408</v>
      </c>
      <c r="G37" t="s">
        <v>372</v>
      </c>
      <c r="H37" t="s">
        <v>409</v>
      </c>
      <c r="I37" t="s">
        <v>410</v>
      </c>
      <c r="J37" t="s">
        <v>386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366</v>
      </c>
      <c r="B38" t="s">
        <v>406</v>
      </c>
      <c r="C38" t="s">
        <v>368</v>
      </c>
      <c r="D38" t="s">
        <v>369</v>
      </c>
      <c r="E38" t="s">
        <v>419</v>
      </c>
      <c r="F38" t="s">
        <v>408</v>
      </c>
      <c r="G38" t="s">
        <v>372</v>
      </c>
      <c r="H38" t="s">
        <v>409</v>
      </c>
      <c r="I38" t="s">
        <v>410</v>
      </c>
      <c r="J38" t="s">
        <v>386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366</v>
      </c>
      <c r="B39" t="s">
        <v>406</v>
      </c>
      <c r="C39" t="s">
        <v>368</v>
      </c>
      <c r="D39" t="s">
        <v>369</v>
      </c>
      <c r="E39" t="s">
        <v>420</v>
      </c>
      <c r="F39" t="s">
        <v>408</v>
      </c>
      <c r="G39" t="s">
        <v>372</v>
      </c>
      <c r="H39" t="s">
        <v>409</v>
      </c>
      <c r="I39" t="s">
        <v>410</v>
      </c>
      <c r="J39" t="s">
        <v>386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366</v>
      </c>
      <c r="B40" t="s">
        <v>406</v>
      </c>
      <c r="C40" t="s">
        <v>368</v>
      </c>
      <c r="D40" t="s">
        <v>369</v>
      </c>
      <c r="E40" t="s">
        <v>421</v>
      </c>
      <c r="F40" t="s">
        <v>408</v>
      </c>
      <c r="G40" t="s">
        <v>372</v>
      </c>
      <c r="H40" t="s">
        <v>409</v>
      </c>
      <c r="I40" t="s">
        <v>410</v>
      </c>
      <c r="J40" t="s">
        <v>386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366</v>
      </c>
      <c r="B41" t="s">
        <v>406</v>
      </c>
      <c r="C41" t="s">
        <v>368</v>
      </c>
      <c r="D41" t="s">
        <v>369</v>
      </c>
      <c r="E41" t="s">
        <v>422</v>
      </c>
      <c r="F41" t="s">
        <v>408</v>
      </c>
      <c r="G41" t="s">
        <v>372</v>
      </c>
      <c r="H41" t="s">
        <v>409</v>
      </c>
      <c r="I41" t="s">
        <v>410</v>
      </c>
      <c r="J41" t="s">
        <v>386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366</v>
      </c>
      <c r="B42" t="s">
        <v>406</v>
      </c>
      <c r="C42" t="s">
        <v>368</v>
      </c>
      <c r="D42" t="s">
        <v>369</v>
      </c>
      <c r="E42" t="s">
        <v>423</v>
      </c>
      <c r="F42" t="s">
        <v>408</v>
      </c>
      <c r="G42" t="s">
        <v>372</v>
      </c>
      <c r="H42" t="s">
        <v>409</v>
      </c>
      <c r="I42" t="s">
        <v>410</v>
      </c>
      <c r="J42" t="s">
        <v>386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366</v>
      </c>
      <c r="B43" t="s">
        <v>406</v>
      </c>
      <c r="C43" t="s">
        <v>368</v>
      </c>
      <c r="D43" t="s">
        <v>369</v>
      </c>
      <c r="E43" t="s">
        <v>424</v>
      </c>
      <c r="F43" t="s">
        <v>408</v>
      </c>
      <c r="G43" t="s">
        <v>372</v>
      </c>
      <c r="H43" t="s">
        <v>409</v>
      </c>
      <c r="I43" t="s">
        <v>410</v>
      </c>
      <c r="J43" t="s">
        <v>386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366</v>
      </c>
      <c r="B44" t="s">
        <v>425</v>
      </c>
      <c r="C44" t="s">
        <v>368</v>
      </c>
      <c r="D44" t="s">
        <v>369</v>
      </c>
      <c r="E44" t="s">
        <v>426</v>
      </c>
      <c r="F44" t="s">
        <v>427</v>
      </c>
      <c r="G44" t="s">
        <v>372</v>
      </c>
      <c r="H44" t="s">
        <v>409</v>
      </c>
      <c r="I44" t="s">
        <v>428</v>
      </c>
      <c r="J44" t="s">
        <v>429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366</v>
      </c>
      <c r="B45" t="s">
        <v>425</v>
      </c>
      <c r="C45" t="s">
        <v>368</v>
      </c>
      <c r="D45" t="s">
        <v>369</v>
      </c>
      <c r="E45" t="s">
        <v>430</v>
      </c>
      <c r="F45" t="s">
        <v>427</v>
      </c>
      <c r="G45" t="s">
        <v>372</v>
      </c>
      <c r="H45" t="s">
        <v>409</v>
      </c>
      <c r="I45" t="s">
        <v>428</v>
      </c>
      <c r="J45" t="s">
        <v>429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366</v>
      </c>
      <c r="B46" t="s">
        <v>425</v>
      </c>
      <c r="C46" t="s">
        <v>368</v>
      </c>
      <c r="D46" t="s">
        <v>369</v>
      </c>
      <c r="E46" t="s">
        <v>431</v>
      </c>
      <c r="F46" t="s">
        <v>427</v>
      </c>
      <c r="G46" t="s">
        <v>372</v>
      </c>
      <c r="H46" t="s">
        <v>409</v>
      </c>
      <c r="I46" t="s">
        <v>428</v>
      </c>
      <c r="J46" t="s">
        <v>429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366</v>
      </c>
      <c r="B47" t="s">
        <v>425</v>
      </c>
      <c r="C47" t="s">
        <v>368</v>
      </c>
      <c r="D47" t="s">
        <v>369</v>
      </c>
      <c r="E47" t="s">
        <v>432</v>
      </c>
      <c r="F47" t="s">
        <v>427</v>
      </c>
      <c r="G47" t="s">
        <v>372</v>
      </c>
      <c r="H47" t="s">
        <v>409</v>
      </c>
      <c r="I47" t="s">
        <v>428</v>
      </c>
      <c r="J47" t="s">
        <v>429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366</v>
      </c>
      <c r="B48" t="s">
        <v>425</v>
      </c>
      <c r="C48" t="s">
        <v>368</v>
      </c>
      <c r="D48" t="s">
        <v>369</v>
      </c>
      <c r="E48" t="s">
        <v>433</v>
      </c>
      <c r="F48" t="s">
        <v>427</v>
      </c>
      <c r="G48" t="s">
        <v>372</v>
      </c>
      <c r="H48" t="s">
        <v>409</v>
      </c>
      <c r="I48" t="s">
        <v>428</v>
      </c>
      <c r="J48" t="s">
        <v>429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366</v>
      </c>
      <c r="B49" t="s">
        <v>425</v>
      </c>
      <c r="C49" t="s">
        <v>368</v>
      </c>
      <c r="D49" t="s">
        <v>369</v>
      </c>
      <c r="E49" t="s">
        <v>434</v>
      </c>
      <c r="F49" t="s">
        <v>427</v>
      </c>
      <c r="G49" t="s">
        <v>372</v>
      </c>
      <c r="H49" t="s">
        <v>409</v>
      </c>
      <c r="I49" t="s">
        <v>428</v>
      </c>
      <c r="J49" t="s">
        <v>429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366</v>
      </c>
      <c r="B50" t="s">
        <v>425</v>
      </c>
      <c r="C50" t="s">
        <v>368</v>
      </c>
      <c r="D50" t="s">
        <v>369</v>
      </c>
      <c r="E50" t="s">
        <v>435</v>
      </c>
      <c r="F50" t="s">
        <v>427</v>
      </c>
      <c r="G50" t="s">
        <v>372</v>
      </c>
      <c r="H50" t="s">
        <v>409</v>
      </c>
      <c r="I50" t="s">
        <v>428</v>
      </c>
      <c r="J50" t="s">
        <v>429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366</v>
      </c>
      <c r="B51" t="s">
        <v>425</v>
      </c>
      <c r="C51" t="s">
        <v>368</v>
      </c>
      <c r="D51" t="s">
        <v>369</v>
      </c>
      <c r="E51" t="s">
        <v>436</v>
      </c>
      <c r="F51" t="s">
        <v>427</v>
      </c>
      <c r="G51" t="s">
        <v>372</v>
      </c>
      <c r="H51" t="s">
        <v>409</v>
      </c>
      <c r="I51" t="s">
        <v>428</v>
      </c>
      <c r="J51" t="s">
        <v>429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366</v>
      </c>
      <c r="B52" t="s">
        <v>425</v>
      </c>
      <c r="C52" t="s">
        <v>368</v>
      </c>
      <c r="D52" t="s">
        <v>369</v>
      </c>
      <c r="E52" t="s">
        <v>437</v>
      </c>
      <c r="F52" t="s">
        <v>427</v>
      </c>
      <c r="G52" t="s">
        <v>372</v>
      </c>
      <c r="H52" t="s">
        <v>409</v>
      </c>
      <c r="I52" t="s">
        <v>428</v>
      </c>
      <c r="J52" t="s">
        <v>429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366</v>
      </c>
      <c r="B53" t="s">
        <v>425</v>
      </c>
      <c r="C53" t="s">
        <v>368</v>
      </c>
      <c r="D53" t="s">
        <v>369</v>
      </c>
      <c r="E53" t="s">
        <v>438</v>
      </c>
      <c r="F53" t="s">
        <v>427</v>
      </c>
      <c r="G53" t="s">
        <v>372</v>
      </c>
      <c r="H53" t="s">
        <v>409</v>
      </c>
      <c r="I53" t="s">
        <v>428</v>
      </c>
      <c r="J53" t="s">
        <v>429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366</v>
      </c>
      <c r="B54" t="s">
        <v>425</v>
      </c>
      <c r="C54" t="s">
        <v>368</v>
      </c>
      <c r="D54" t="s">
        <v>369</v>
      </c>
      <c r="E54" t="s">
        <v>439</v>
      </c>
      <c r="F54" t="s">
        <v>427</v>
      </c>
      <c r="G54" t="s">
        <v>372</v>
      </c>
      <c r="H54" t="s">
        <v>409</v>
      </c>
      <c r="I54" t="s">
        <v>428</v>
      </c>
      <c r="J54" t="s">
        <v>429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366</v>
      </c>
      <c r="B55" t="s">
        <v>425</v>
      </c>
      <c r="C55" t="s">
        <v>368</v>
      </c>
      <c r="D55" t="s">
        <v>369</v>
      </c>
      <c r="E55" t="s">
        <v>440</v>
      </c>
      <c r="F55" t="s">
        <v>427</v>
      </c>
      <c r="G55" t="s">
        <v>372</v>
      </c>
      <c r="H55" t="s">
        <v>409</v>
      </c>
      <c r="I55" t="s">
        <v>428</v>
      </c>
      <c r="J55" t="s">
        <v>429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366</v>
      </c>
      <c r="B56" t="s">
        <v>425</v>
      </c>
      <c r="C56" t="s">
        <v>368</v>
      </c>
      <c r="D56" t="s">
        <v>369</v>
      </c>
      <c r="E56" t="s">
        <v>441</v>
      </c>
      <c r="F56" t="s">
        <v>427</v>
      </c>
      <c r="G56" t="s">
        <v>372</v>
      </c>
      <c r="H56" t="s">
        <v>409</v>
      </c>
      <c r="I56" t="s">
        <v>428</v>
      </c>
      <c r="J56" t="s">
        <v>429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366</v>
      </c>
      <c r="B57" t="s">
        <v>406</v>
      </c>
      <c r="C57" t="s">
        <v>368</v>
      </c>
      <c r="D57" t="s">
        <v>369</v>
      </c>
      <c r="E57" t="s">
        <v>442</v>
      </c>
      <c r="F57" t="s">
        <v>443</v>
      </c>
      <c r="G57" t="s">
        <v>372</v>
      </c>
      <c r="H57" t="s">
        <v>409</v>
      </c>
      <c r="I57" t="s">
        <v>428</v>
      </c>
      <c r="J57" t="s">
        <v>386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366</v>
      </c>
      <c r="B58" t="s">
        <v>406</v>
      </c>
      <c r="C58" t="s">
        <v>368</v>
      </c>
      <c r="D58" t="s">
        <v>369</v>
      </c>
      <c r="E58" t="s">
        <v>444</v>
      </c>
      <c r="F58" t="s">
        <v>443</v>
      </c>
      <c r="G58" t="s">
        <v>372</v>
      </c>
      <c r="H58" t="s">
        <v>409</v>
      </c>
      <c r="I58" t="s">
        <v>428</v>
      </c>
      <c r="J58" t="s">
        <v>386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366</v>
      </c>
      <c r="B59" t="s">
        <v>406</v>
      </c>
      <c r="C59" t="s">
        <v>368</v>
      </c>
      <c r="D59" t="s">
        <v>369</v>
      </c>
      <c r="E59" t="s">
        <v>445</v>
      </c>
      <c r="F59" t="s">
        <v>443</v>
      </c>
      <c r="G59" t="s">
        <v>372</v>
      </c>
      <c r="H59" t="s">
        <v>409</v>
      </c>
      <c r="I59" t="s">
        <v>428</v>
      </c>
      <c r="J59" t="s">
        <v>386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366</v>
      </c>
      <c r="B60" t="s">
        <v>406</v>
      </c>
      <c r="C60" t="s">
        <v>368</v>
      </c>
      <c r="D60" t="s">
        <v>369</v>
      </c>
      <c r="E60" t="s">
        <v>446</v>
      </c>
      <c r="F60" t="s">
        <v>443</v>
      </c>
      <c r="G60" t="s">
        <v>372</v>
      </c>
      <c r="H60" t="s">
        <v>409</v>
      </c>
      <c r="I60" t="s">
        <v>428</v>
      </c>
      <c r="J60" t="s">
        <v>386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366</v>
      </c>
      <c r="B61" t="s">
        <v>406</v>
      </c>
      <c r="C61" t="s">
        <v>368</v>
      </c>
      <c r="D61" t="s">
        <v>369</v>
      </c>
      <c r="E61" t="s">
        <v>447</v>
      </c>
      <c r="F61" t="s">
        <v>443</v>
      </c>
      <c r="G61" t="s">
        <v>372</v>
      </c>
      <c r="H61" t="s">
        <v>409</v>
      </c>
      <c r="I61" t="s">
        <v>428</v>
      </c>
      <c r="J61" t="s">
        <v>386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366</v>
      </c>
      <c r="B62" t="s">
        <v>406</v>
      </c>
      <c r="C62" t="s">
        <v>368</v>
      </c>
      <c r="D62" t="s">
        <v>369</v>
      </c>
      <c r="E62" t="s">
        <v>448</v>
      </c>
      <c r="F62" t="s">
        <v>443</v>
      </c>
      <c r="G62" t="s">
        <v>372</v>
      </c>
      <c r="H62" t="s">
        <v>409</v>
      </c>
      <c r="I62" t="s">
        <v>428</v>
      </c>
      <c r="J62" t="s">
        <v>386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366</v>
      </c>
      <c r="B63" t="s">
        <v>406</v>
      </c>
      <c r="C63" t="s">
        <v>368</v>
      </c>
      <c r="D63" t="s">
        <v>369</v>
      </c>
      <c r="E63" t="s">
        <v>449</v>
      </c>
      <c r="F63" t="s">
        <v>443</v>
      </c>
      <c r="G63" t="s">
        <v>372</v>
      </c>
      <c r="H63" t="s">
        <v>409</v>
      </c>
      <c r="I63" t="s">
        <v>428</v>
      </c>
      <c r="J63" t="s">
        <v>386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366</v>
      </c>
      <c r="B64" t="s">
        <v>406</v>
      </c>
      <c r="C64" t="s">
        <v>368</v>
      </c>
      <c r="D64" t="s">
        <v>369</v>
      </c>
      <c r="E64" t="s">
        <v>450</v>
      </c>
      <c r="F64" t="s">
        <v>443</v>
      </c>
      <c r="G64" t="s">
        <v>372</v>
      </c>
      <c r="H64" t="s">
        <v>409</v>
      </c>
      <c r="I64" t="s">
        <v>428</v>
      </c>
      <c r="J64" t="s">
        <v>386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366</v>
      </c>
      <c r="B65" t="s">
        <v>406</v>
      </c>
      <c r="C65" t="s">
        <v>368</v>
      </c>
      <c r="D65" t="s">
        <v>369</v>
      </c>
      <c r="E65" t="s">
        <v>451</v>
      </c>
      <c r="F65" t="s">
        <v>443</v>
      </c>
      <c r="G65" t="s">
        <v>372</v>
      </c>
      <c r="H65" t="s">
        <v>409</v>
      </c>
      <c r="I65" t="s">
        <v>428</v>
      </c>
      <c r="J65" t="s">
        <v>386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366</v>
      </c>
      <c r="B66" t="s">
        <v>406</v>
      </c>
      <c r="C66" t="s">
        <v>368</v>
      </c>
      <c r="D66" t="s">
        <v>369</v>
      </c>
      <c r="E66" t="s">
        <v>452</v>
      </c>
      <c r="F66" t="s">
        <v>443</v>
      </c>
      <c r="G66" t="s">
        <v>372</v>
      </c>
      <c r="H66" t="s">
        <v>409</v>
      </c>
      <c r="I66" t="s">
        <v>428</v>
      </c>
      <c r="J66" t="s">
        <v>386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366</v>
      </c>
      <c r="B67" t="s">
        <v>406</v>
      </c>
      <c r="C67" t="s">
        <v>368</v>
      </c>
      <c r="D67" t="s">
        <v>369</v>
      </c>
      <c r="E67" t="s">
        <v>453</v>
      </c>
      <c r="F67" t="s">
        <v>443</v>
      </c>
      <c r="G67" t="s">
        <v>372</v>
      </c>
      <c r="H67" t="s">
        <v>409</v>
      </c>
      <c r="I67" t="s">
        <v>428</v>
      </c>
      <c r="J67" t="s">
        <v>386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366</v>
      </c>
      <c r="B68" t="s">
        <v>406</v>
      </c>
      <c r="C68" t="s">
        <v>368</v>
      </c>
      <c r="D68" t="s">
        <v>369</v>
      </c>
      <c r="E68" t="s">
        <v>454</v>
      </c>
      <c r="F68" t="s">
        <v>443</v>
      </c>
      <c r="G68" t="s">
        <v>372</v>
      </c>
      <c r="H68" t="s">
        <v>409</v>
      </c>
      <c r="I68" t="s">
        <v>428</v>
      </c>
      <c r="J68" t="s">
        <v>386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366</v>
      </c>
      <c r="B69" t="s">
        <v>406</v>
      </c>
      <c r="C69" t="s">
        <v>368</v>
      </c>
      <c r="D69" t="s">
        <v>369</v>
      </c>
      <c r="E69" t="s">
        <v>455</v>
      </c>
      <c r="F69" t="s">
        <v>443</v>
      </c>
      <c r="G69" t="s">
        <v>372</v>
      </c>
      <c r="H69" t="s">
        <v>409</v>
      </c>
      <c r="I69" t="s">
        <v>428</v>
      </c>
      <c r="J69" t="s">
        <v>386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366</v>
      </c>
      <c r="B70" t="s">
        <v>425</v>
      </c>
      <c r="C70" t="s">
        <v>368</v>
      </c>
      <c r="D70" t="s">
        <v>369</v>
      </c>
      <c r="E70" t="s">
        <v>456</v>
      </c>
      <c r="F70" t="s">
        <v>457</v>
      </c>
      <c r="G70" t="s">
        <v>372</v>
      </c>
      <c r="H70" t="s">
        <v>458</v>
      </c>
      <c r="I70" t="s">
        <v>374</v>
      </c>
      <c r="J70" t="s">
        <v>429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366</v>
      </c>
      <c r="B71" t="s">
        <v>425</v>
      </c>
      <c r="C71" t="s">
        <v>368</v>
      </c>
      <c r="D71" t="s">
        <v>369</v>
      </c>
      <c r="E71" t="s">
        <v>459</v>
      </c>
      <c r="F71" t="s">
        <v>457</v>
      </c>
      <c r="G71" t="s">
        <v>372</v>
      </c>
      <c r="H71" t="s">
        <v>458</v>
      </c>
      <c r="I71" t="s">
        <v>374</v>
      </c>
      <c r="J71" t="s">
        <v>429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366</v>
      </c>
      <c r="B72" t="s">
        <v>425</v>
      </c>
      <c r="C72" t="s">
        <v>368</v>
      </c>
      <c r="D72" t="s">
        <v>369</v>
      </c>
      <c r="E72" t="s">
        <v>460</v>
      </c>
      <c r="F72" t="s">
        <v>457</v>
      </c>
      <c r="G72" t="s">
        <v>372</v>
      </c>
      <c r="H72" t="s">
        <v>458</v>
      </c>
      <c r="I72" t="s">
        <v>374</v>
      </c>
      <c r="J72" t="s">
        <v>429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366</v>
      </c>
      <c r="B73" t="s">
        <v>425</v>
      </c>
      <c r="C73" t="s">
        <v>368</v>
      </c>
      <c r="D73" t="s">
        <v>369</v>
      </c>
      <c r="E73" t="s">
        <v>461</v>
      </c>
      <c r="F73" t="s">
        <v>457</v>
      </c>
      <c r="G73" t="s">
        <v>372</v>
      </c>
      <c r="H73" t="s">
        <v>458</v>
      </c>
      <c r="I73" t="s">
        <v>374</v>
      </c>
      <c r="J73" t="s">
        <v>429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366</v>
      </c>
      <c r="B74" t="s">
        <v>425</v>
      </c>
      <c r="C74" t="s">
        <v>368</v>
      </c>
      <c r="D74" t="s">
        <v>369</v>
      </c>
      <c r="E74" t="s">
        <v>462</v>
      </c>
      <c r="F74" t="s">
        <v>457</v>
      </c>
      <c r="G74" t="s">
        <v>372</v>
      </c>
      <c r="H74" t="s">
        <v>458</v>
      </c>
      <c r="I74" t="s">
        <v>374</v>
      </c>
      <c r="J74" t="s">
        <v>429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366</v>
      </c>
      <c r="B75" t="s">
        <v>425</v>
      </c>
      <c r="C75" t="s">
        <v>368</v>
      </c>
      <c r="D75" t="s">
        <v>369</v>
      </c>
      <c r="E75" t="s">
        <v>463</v>
      </c>
      <c r="F75" t="s">
        <v>457</v>
      </c>
      <c r="G75" t="s">
        <v>372</v>
      </c>
      <c r="H75" t="s">
        <v>458</v>
      </c>
      <c r="I75" t="s">
        <v>374</v>
      </c>
      <c r="J75" t="s">
        <v>429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366</v>
      </c>
      <c r="B76" t="s">
        <v>425</v>
      </c>
      <c r="C76" t="s">
        <v>368</v>
      </c>
      <c r="D76" t="s">
        <v>369</v>
      </c>
      <c r="E76" t="s">
        <v>464</v>
      </c>
      <c r="F76" t="s">
        <v>457</v>
      </c>
      <c r="G76" t="s">
        <v>372</v>
      </c>
      <c r="H76" t="s">
        <v>458</v>
      </c>
      <c r="I76" t="s">
        <v>374</v>
      </c>
      <c r="J76" t="s">
        <v>429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366</v>
      </c>
      <c r="B77" t="s">
        <v>425</v>
      </c>
      <c r="C77" t="s">
        <v>368</v>
      </c>
      <c r="D77" t="s">
        <v>369</v>
      </c>
      <c r="E77" t="s">
        <v>465</v>
      </c>
      <c r="F77" t="s">
        <v>457</v>
      </c>
      <c r="G77" t="s">
        <v>372</v>
      </c>
      <c r="H77" t="s">
        <v>458</v>
      </c>
      <c r="I77" t="s">
        <v>374</v>
      </c>
      <c r="J77" t="s">
        <v>429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366</v>
      </c>
      <c r="B78" t="s">
        <v>425</v>
      </c>
      <c r="C78" t="s">
        <v>368</v>
      </c>
      <c r="D78" t="s">
        <v>369</v>
      </c>
      <c r="E78" t="s">
        <v>466</v>
      </c>
      <c r="F78" t="s">
        <v>457</v>
      </c>
      <c r="G78" t="s">
        <v>372</v>
      </c>
      <c r="H78" t="s">
        <v>458</v>
      </c>
      <c r="I78" t="s">
        <v>374</v>
      </c>
      <c r="J78" t="s">
        <v>429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366</v>
      </c>
      <c r="B79" t="s">
        <v>406</v>
      </c>
      <c r="C79" t="s">
        <v>368</v>
      </c>
      <c r="D79" t="s">
        <v>369</v>
      </c>
      <c r="E79" t="s">
        <v>467</v>
      </c>
      <c r="F79" t="s">
        <v>468</v>
      </c>
      <c r="G79" t="s">
        <v>372</v>
      </c>
      <c r="H79" t="s">
        <v>458</v>
      </c>
      <c r="I79" t="s">
        <v>374</v>
      </c>
      <c r="J79" t="s">
        <v>386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366</v>
      </c>
      <c r="B80" t="s">
        <v>406</v>
      </c>
      <c r="C80" t="s">
        <v>368</v>
      </c>
      <c r="D80" t="s">
        <v>369</v>
      </c>
      <c r="E80" t="s">
        <v>469</v>
      </c>
      <c r="F80" t="s">
        <v>468</v>
      </c>
      <c r="G80" t="s">
        <v>372</v>
      </c>
      <c r="H80" t="s">
        <v>458</v>
      </c>
      <c r="I80" t="s">
        <v>374</v>
      </c>
      <c r="J80" t="s">
        <v>386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366</v>
      </c>
      <c r="B81" t="s">
        <v>406</v>
      </c>
      <c r="C81" t="s">
        <v>368</v>
      </c>
      <c r="D81" t="s">
        <v>369</v>
      </c>
      <c r="E81" t="s">
        <v>470</v>
      </c>
      <c r="F81" t="s">
        <v>468</v>
      </c>
      <c r="G81" t="s">
        <v>372</v>
      </c>
      <c r="H81" t="s">
        <v>458</v>
      </c>
      <c r="I81" t="s">
        <v>374</v>
      </c>
      <c r="J81" t="s">
        <v>386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366</v>
      </c>
      <c r="B82" t="s">
        <v>406</v>
      </c>
      <c r="C82" t="s">
        <v>368</v>
      </c>
      <c r="D82" t="s">
        <v>369</v>
      </c>
      <c r="E82" t="s">
        <v>471</v>
      </c>
      <c r="F82" t="s">
        <v>468</v>
      </c>
      <c r="G82" t="s">
        <v>372</v>
      </c>
      <c r="H82" t="s">
        <v>458</v>
      </c>
      <c r="I82" t="s">
        <v>374</v>
      </c>
      <c r="J82" t="s">
        <v>386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366</v>
      </c>
      <c r="B83" t="s">
        <v>406</v>
      </c>
      <c r="C83" t="s">
        <v>368</v>
      </c>
      <c r="D83" t="s">
        <v>369</v>
      </c>
      <c r="E83" t="s">
        <v>472</v>
      </c>
      <c r="F83" t="s">
        <v>468</v>
      </c>
      <c r="G83" t="s">
        <v>372</v>
      </c>
      <c r="H83" t="s">
        <v>458</v>
      </c>
      <c r="I83" t="s">
        <v>374</v>
      </c>
      <c r="J83" t="s">
        <v>386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366</v>
      </c>
      <c r="B84" t="s">
        <v>406</v>
      </c>
      <c r="C84" t="s">
        <v>368</v>
      </c>
      <c r="D84" t="s">
        <v>369</v>
      </c>
      <c r="E84" t="s">
        <v>473</v>
      </c>
      <c r="F84" t="s">
        <v>468</v>
      </c>
      <c r="G84" t="s">
        <v>372</v>
      </c>
      <c r="H84" t="s">
        <v>458</v>
      </c>
      <c r="I84" t="s">
        <v>374</v>
      </c>
      <c r="J84" t="s">
        <v>386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366</v>
      </c>
      <c r="B85" t="s">
        <v>406</v>
      </c>
      <c r="C85" t="s">
        <v>368</v>
      </c>
      <c r="D85" t="s">
        <v>369</v>
      </c>
      <c r="E85" t="s">
        <v>474</v>
      </c>
      <c r="F85" t="s">
        <v>468</v>
      </c>
      <c r="G85" t="s">
        <v>372</v>
      </c>
      <c r="H85" t="s">
        <v>458</v>
      </c>
      <c r="I85" t="s">
        <v>374</v>
      </c>
      <c r="J85" t="s">
        <v>386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366</v>
      </c>
      <c r="B86" t="s">
        <v>406</v>
      </c>
      <c r="C86" t="s">
        <v>368</v>
      </c>
      <c r="D86" t="s">
        <v>369</v>
      </c>
      <c r="E86" t="s">
        <v>475</v>
      </c>
      <c r="F86" t="s">
        <v>468</v>
      </c>
      <c r="G86" t="s">
        <v>372</v>
      </c>
      <c r="H86" t="s">
        <v>458</v>
      </c>
      <c r="I86" t="s">
        <v>374</v>
      </c>
      <c r="J86" t="s">
        <v>386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366</v>
      </c>
      <c r="B87" t="s">
        <v>406</v>
      </c>
      <c r="C87" t="s">
        <v>368</v>
      </c>
      <c r="D87" t="s">
        <v>369</v>
      </c>
      <c r="E87" t="s">
        <v>476</v>
      </c>
      <c r="F87" t="s">
        <v>468</v>
      </c>
      <c r="G87" t="s">
        <v>372</v>
      </c>
      <c r="H87" t="s">
        <v>458</v>
      </c>
      <c r="I87" t="s">
        <v>374</v>
      </c>
      <c r="J87" t="s">
        <v>386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366</v>
      </c>
      <c r="B88" t="s">
        <v>406</v>
      </c>
      <c r="C88" t="s">
        <v>368</v>
      </c>
      <c r="D88" t="s">
        <v>369</v>
      </c>
      <c r="E88" t="s">
        <v>477</v>
      </c>
      <c r="F88" t="s">
        <v>478</v>
      </c>
      <c r="G88" t="s">
        <v>372</v>
      </c>
      <c r="H88" t="s">
        <v>458</v>
      </c>
      <c r="I88" t="s">
        <v>410</v>
      </c>
      <c r="J88" t="s">
        <v>386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366</v>
      </c>
      <c r="B89" t="s">
        <v>406</v>
      </c>
      <c r="C89" t="s">
        <v>368</v>
      </c>
      <c r="D89" t="s">
        <v>369</v>
      </c>
      <c r="E89" t="s">
        <v>479</v>
      </c>
      <c r="F89" t="s">
        <v>478</v>
      </c>
      <c r="G89" t="s">
        <v>372</v>
      </c>
      <c r="H89" t="s">
        <v>458</v>
      </c>
      <c r="I89" t="s">
        <v>410</v>
      </c>
      <c r="J89" t="s">
        <v>386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366</v>
      </c>
      <c r="B90" t="s">
        <v>406</v>
      </c>
      <c r="C90" t="s">
        <v>368</v>
      </c>
      <c r="D90" t="s">
        <v>369</v>
      </c>
      <c r="E90" t="s">
        <v>480</v>
      </c>
      <c r="F90" t="s">
        <v>478</v>
      </c>
      <c r="G90" t="s">
        <v>372</v>
      </c>
      <c r="H90" t="s">
        <v>458</v>
      </c>
      <c r="I90" t="s">
        <v>410</v>
      </c>
      <c r="J90" t="s">
        <v>386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366</v>
      </c>
      <c r="B91" t="s">
        <v>406</v>
      </c>
      <c r="C91" t="s">
        <v>368</v>
      </c>
      <c r="D91" t="s">
        <v>369</v>
      </c>
      <c r="E91" t="s">
        <v>481</v>
      </c>
      <c r="F91" t="s">
        <v>478</v>
      </c>
      <c r="G91" t="s">
        <v>372</v>
      </c>
      <c r="H91" t="s">
        <v>458</v>
      </c>
      <c r="I91" t="s">
        <v>410</v>
      </c>
      <c r="J91" t="s">
        <v>386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366</v>
      </c>
      <c r="B92" t="s">
        <v>406</v>
      </c>
      <c r="C92" t="s">
        <v>368</v>
      </c>
      <c r="D92" t="s">
        <v>369</v>
      </c>
      <c r="E92" t="s">
        <v>482</v>
      </c>
      <c r="F92" t="s">
        <v>478</v>
      </c>
      <c r="G92" t="s">
        <v>372</v>
      </c>
      <c r="H92" t="s">
        <v>458</v>
      </c>
      <c r="I92" t="s">
        <v>410</v>
      </c>
      <c r="J92" t="s">
        <v>386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366</v>
      </c>
      <c r="B93" t="s">
        <v>406</v>
      </c>
      <c r="C93" t="s">
        <v>368</v>
      </c>
      <c r="D93" t="s">
        <v>369</v>
      </c>
      <c r="E93" t="s">
        <v>483</v>
      </c>
      <c r="F93" t="s">
        <v>478</v>
      </c>
      <c r="G93" t="s">
        <v>372</v>
      </c>
      <c r="H93" t="s">
        <v>458</v>
      </c>
      <c r="I93" t="s">
        <v>410</v>
      </c>
      <c r="J93" t="s">
        <v>386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366</v>
      </c>
      <c r="B94" t="s">
        <v>406</v>
      </c>
      <c r="C94" t="s">
        <v>368</v>
      </c>
      <c r="D94" t="s">
        <v>369</v>
      </c>
      <c r="E94" t="s">
        <v>484</v>
      </c>
      <c r="F94" t="s">
        <v>478</v>
      </c>
      <c r="G94" t="s">
        <v>372</v>
      </c>
      <c r="H94" t="s">
        <v>458</v>
      </c>
      <c r="I94" t="s">
        <v>410</v>
      </c>
      <c r="J94" t="s">
        <v>386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366</v>
      </c>
      <c r="B95" t="s">
        <v>406</v>
      </c>
      <c r="C95" t="s">
        <v>368</v>
      </c>
      <c r="D95" t="s">
        <v>369</v>
      </c>
      <c r="E95" t="s">
        <v>485</v>
      </c>
      <c r="F95" t="s">
        <v>478</v>
      </c>
      <c r="G95" t="s">
        <v>372</v>
      </c>
      <c r="H95" t="s">
        <v>458</v>
      </c>
      <c r="I95" t="s">
        <v>410</v>
      </c>
      <c r="J95" t="s">
        <v>386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366</v>
      </c>
      <c r="B96" t="s">
        <v>406</v>
      </c>
      <c r="C96" t="s">
        <v>368</v>
      </c>
      <c r="D96" t="s">
        <v>369</v>
      </c>
      <c r="E96" t="s">
        <v>486</v>
      </c>
      <c r="F96" t="s">
        <v>478</v>
      </c>
      <c r="G96" t="s">
        <v>372</v>
      </c>
      <c r="H96" t="s">
        <v>458</v>
      </c>
      <c r="I96" t="s">
        <v>410</v>
      </c>
      <c r="J96" t="s">
        <v>386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366</v>
      </c>
      <c r="B97" t="s">
        <v>406</v>
      </c>
      <c r="C97" t="s">
        <v>368</v>
      </c>
      <c r="D97" t="s">
        <v>369</v>
      </c>
      <c r="E97" t="s">
        <v>487</v>
      </c>
      <c r="F97" t="s">
        <v>478</v>
      </c>
      <c r="G97" t="s">
        <v>372</v>
      </c>
      <c r="H97" t="s">
        <v>458</v>
      </c>
      <c r="I97" t="s">
        <v>410</v>
      </c>
      <c r="J97" t="s">
        <v>386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366</v>
      </c>
      <c r="B98" t="s">
        <v>406</v>
      </c>
      <c r="C98" t="s">
        <v>368</v>
      </c>
      <c r="D98" t="s">
        <v>369</v>
      </c>
      <c r="E98" t="s">
        <v>488</v>
      </c>
      <c r="F98" t="s">
        <v>478</v>
      </c>
      <c r="G98" t="s">
        <v>372</v>
      </c>
      <c r="H98" t="s">
        <v>458</v>
      </c>
      <c r="I98" t="s">
        <v>410</v>
      </c>
      <c r="J98" t="s">
        <v>386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366</v>
      </c>
      <c r="B99" t="s">
        <v>406</v>
      </c>
      <c r="C99" t="s">
        <v>368</v>
      </c>
      <c r="D99" t="s">
        <v>369</v>
      </c>
      <c r="E99" t="s">
        <v>489</v>
      </c>
      <c r="F99" t="s">
        <v>478</v>
      </c>
      <c r="G99" t="s">
        <v>372</v>
      </c>
      <c r="H99" t="s">
        <v>458</v>
      </c>
      <c r="I99" t="s">
        <v>410</v>
      </c>
      <c r="J99" t="s">
        <v>386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366</v>
      </c>
      <c r="B100" t="s">
        <v>406</v>
      </c>
      <c r="C100" t="s">
        <v>368</v>
      </c>
      <c r="D100" t="s">
        <v>369</v>
      </c>
      <c r="E100" t="s">
        <v>490</v>
      </c>
      <c r="F100" t="s">
        <v>478</v>
      </c>
      <c r="G100" t="s">
        <v>372</v>
      </c>
      <c r="H100" t="s">
        <v>458</v>
      </c>
      <c r="I100" t="s">
        <v>410</v>
      </c>
      <c r="J100" t="s">
        <v>386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366</v>
      </c>
      <c r="B101" t="s">
        <v>406</v>
      </c>
      <c r="C101" t="s">
        <v>368</v>
      </c>
      <c r="D101" t="s">
        <v>369</v>
      </c>
      <c r="E101" t="s">
        <v>491</v>
      </c>
      <c r="F101" t="s">
        <v>478</v>
      </c>
      <c r="G101" t="s">
        <v>372</v>
      </c>
      <c r="H101" t="s">
        <v>458</v>
      </c>
      <c r="I101" t="s">
        <v>410</v>
      </c>
      <c r="J101" t="s">
        <v>386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366</v>
      </c>
      <c r="B102" t="s">
        <v>406</v>
      </c>
      <c r="C102" t="s">
        <v>368</v>
      </c>
      <c r="D102" t="s">
        <v>369</v>
      </c>
      <c r="E102" t="s">
        <v>492</v>
      </c>
      <c r="F102" t="s">
        <v>478</v>
      </c>
      <c r="G102" t="s">
        <v>372</v>
      </c>
      <c r="H102" t="s">
        <v>458</v>
      </c>
      <c r="I102" t="s">
        <v>410</v>
      </c>
      <c r="J102" t="s">
        <v>386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366</v>
      </c>
      <c r="B103" t="s">
        <v>425</v>
      </c>
      <c r="C103" t="s">
        <v>368</v>
      </c>
      <c r="D103" t="s">
        <v>369</v>
      </c>
      <c r="E103" t="s">
        <v>493</v>
      </c>
      <c r="F103" t="s">
        <v>494</v>
      </c>
      <c r="G103" t="s">
        <v>372</v>
      </c>
      <c r="H103" t="s">
        <v>458</v>
      </c>
      <c r="I103" t="s">
        <v>428</v>
      </c>
      <c r="J103" t="s">
        <v>429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366</v>
      </c>
      <c r="B104" t="s">
        <v>425</v>
      </c>
      <c r="C104" t="s">
        <v>368</v>
      </c>
      <c r="D104" t="s">
        <v>369</v>
      </c>
      <c r="E104" t="s">
        <v>495</v>
      </c>
      <c r="F104" t="s">
        <v>494</v>
      </c>
      <c r="G104" t="s">
        <v>372</v>
      </c>
      <c r="H104" t="s">
        <v>458</v>
      </c>
      <c r="I104" t="s">
        <v>428</v>
      </c>
      <c r="J104" t="s">
        <v>429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366</v>
      </c>
      <c r="B105" t="s">
        <v>425</v>
      </c>
      <c r="C105" t="s">
        <v>368</v>
      </c>
      <c r="D105" t="s">
        <v>369</v>
      </c>
      <c r="E105" t="s">
        <v>496</v>
      </c>
      <c r="F105" t="s">
        <v>494</v>
      </c>
      <c r="G105" t="s">
        <v>372</v>
      </c>
      <c r="H105" t="s">
        <v>458</v>
      </c>
      <c r="I105" t="s">
        <v>428</v>
      </c>
      <c r="J105" t="s">
        <v>429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366</v>
      </c>
      <c r="B106" t="s">
        <v>425</v>
      </c>
      <c r="C106" t="s">
        <v>368</v>
      </c>
      <c r="D106" t="s">
        <v>369</v>
      </c>
      <c r="E106" t="s">
        <v>497</v>
      </c>
      <c r="F106" t="s">
        <v>494</v>
      </c>
      <c r="G106" t="s">
        <v>372</v>
      </c>
      <c r="H106" t="s">
        <v>458</v>
      </c>
      <c r="I106" t="s">
        <v>428</v>
      </c>
      <c r="J106" t="s">
        <v>429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366</v>
      </c>
      <c r="B107" t="s">
        <v>425</v>
      </c>
      <c r="C107" t="s">
        <v>368</v>
      </c>
      <c r="D107" t="s">
        <v>369</v>
      </c>
      <c r="E107" t="s">
        <v>498</v>
      </c>
      <c r="F107" t="s">
        <v>494</v>
      </c>
      <c r="G107" t="s">
        <v>372</v>
      </c>
      <c r="H107" t="s">
        <v>458</v>
      </c>
      <c r="I107" t="s">
        <v>428</v>
      </c>
      <c r="J107" t="s">
        <v>429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366</v>
      </c>
      <c r="B108" t="s">
        <v>425</v>
      </c>
      <c r="C108" t="s">
        <v>368</v>
      </c>
      <c r="D108" t="s">
        <v>369</v>
      </c>
      <c r="E108" t="s">
        <v>499</v>
      </c>
      <c r="F108" t="s">
        <v>494</v>
      </c>
      <c r="G108" t="s">
        <v>372</v>
      </c>
      <c r="H108" t="s">
        <v>458</v>
      </c>
      <c r="I108" t="s">
        <v>428</v>
      </c>
      <c r="J108" t="s">
        <v>429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366</v>
      </c>
      <c r="B109" t="s">
        <v>425</v>
      </c>
      <c r="C109" t="s">
        <v>368</v>
      </c>
      <c r="D109" t="s">
        <v>369</v>
      </c>
      <c r="E109" t="s">
        <v>500</v>
      </c>
      <c r="F109" t="s">
        <v>494</v>
      </c>
      <c r="G109" t="s">
        <v>372</v>
      </c>
      <c r="H109" t="s">
        <v>458</v>
      </c>
      <c r="I109" t="s">
        <v>428</v>
      </c>
      <c r="J109" t="s">
        <v>429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366</v>
      </c>
      <c r="B110" t="s">
        <v>425</v>
      </c>
      <c r="C110" t="s">
        <v>368</v>
      </c>
      <c r="D110" t="s">
        <v>369</v>
      </c>
      <c r="E110" t="s">
        <v>501</v>
      </c>
      <c r="F110" t="s">
        <v>494</v>
      </c>
      <c r="G110" t="s">
        <v>372</v>
      </c>
      <c r="H110" t="s">
        <v>458</v>
      </c>
      <c r="I110" t="s">
        <v>428</v>
      </c>
      <c r="J110" t="s">
        <v>429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366</v>
      </c>
      <c r="B111" t="s">
        <v>425</v>
      </c>
      <c r="C111" t="s">
        <v>368</v>
      </c>
      <c r="D111" t="s">
        <v>369</v>
      </c>
      <c r="E111" t="s">
        <v>502</v>
      </c>
      <c r="F111" t="s">
        <v>494</v>
      </c>
      <c r="G111" t="s">
        <v>372</v>
      </c>
      <c r="H111" t="s">
        <v>458</v>
      </c>
      <c r="I111" t="s">
        <v>428</v>
      </c>
      <c r="J111" t="s">
        <v>429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366</v>
      </c>
      <c r="B112" t="s">
        <v>425</v>
      </c>
      <c r="C112" t="s">
        <v>368</v>
      </c>
      <c r="D112" t="s">
        <v>369</v>
      </c>
      <c r="E112" t="s">
        <v>503</v>
      </c>
      <c r="F112" t="s">
        <v>494</v>
      </c>
      <c r="G112" t="s">
        <v>372</v>
      </c>
      <c r="H112" t="s">
        <v>458</v>
      </c>
      <c r="I112" t="s">
        <v>428</v>
      </c>
      <c r="J112" t="s">
        <v>429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366</v>
      </c>
      <c r="B113" t="s">
        <v>425</v>
      </c>
      <c r="C113" t="s">
        <v>368</v>
      </c>
      <c r="D113" t="s">
        <v>369</v>
      </c>
      <c r="E113" t="s">
        <v>504</v>
      </c>
      <c r="F113" t="s">
        <v>494</v>
      </c>
      <c r="G113" t="s">
        <v>372</v>
      </c>
      <c r="H113" t="s">
        <v>458</v>
      </c>
      <c r="I113" t="s">
        <v>428</v>
      </c>
      <c r="J113" t="s">
        <v>429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366</v>
      </c>
      <c r="B114" t="s">
        <v>425</v>
      </c>
      <c r="C114" t="s">
        <v>368</v>
      </c>
      <c r="D114" t="s">
        <v>369</v>
      </c>
      <c r="E114" t="s">
        <v>505</v>
      </c>
      <c r="F114" t="s">
        <v>494</v>
      </c>
      <c r="G114" t="s">
        <v>372</v>
      </c>
      <c r="H114" t="s">
        <v>458</v>
      </c>
      <c r="I114" t="s">
        <v>428</v>
      </c>
      <c r="J114" t="s">
        <v>429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366</v>
      </c>
      <c r="B115" t="s">
        <v>425</v>
      </c>
      <c r="C115" t="s">
        <v>368</v>
      </c>
      <c r="D115" t="s">
        <v>369</v>
      </c>
      <c r="E115" t="s">
        <v>506</v>
      </c>
      <c r="F115" t="s">
        <v>494</v>
      </c>
      <c r="G115" t="s">
        <v>372</v>
      </c>
      <c r="H115" t="s">
        <v>458</v>
      </c>
      <c r="I115" t="s">
        <v>428</v>
      </c>
      <c r="J115" t="s">
        <v>429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366</v>
      </c>
      <c r="B116" t="s">
        <v>406</v>
      </c>
      <c r="C116" t="s">
        <v>368</v>
      </c>
      <c r="D116" t="s">
        <v>369</v>
      </c>
      <c r="E116" t="s">
        <v>507</v>
      </c>
      <c r="F116" t="s">
        <v>508</v>
      </c>
      <c r="G116" t="s">
        <v>372</v>
      </c>
      <c r="H116" t="s">
        <v>458</v>
      </c>
      <c r="I116" t="s">
        <v>428</v>
      </c>
      <c r="J116" t="s">
        <v>386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366</v>
      </c>
      <c r="B117" t="s">
        <v>406</v>
      </c>
      <c r="C117" t="s">
        <v>368</v>
      </c>
      <c r="D117" t="s">
        <v>369</v>
      </c>
      <c r="E117" t="s">
        <v>509</v>
      </c>
      <c r="F117" t="s">
        <v>508</v>
      </c>
      <c r="G117" t="s">
        <v>372</v>
      </c>
      <c r="H117" t="s">
        <v>458</v>
      </c>
      <c r="I117" t="s">
        <v>428</v>
      </c>
      <c r="J117" t="s">
        <v>386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366</v>
      </c>
      <c r="B118" t="s">
        <v>406</v>
      </c>
      <c r="C118" t="s">
        <v>368</v>
      </c>
      <c r="D118" t="s">
        <v>369</v>
      </c>
      <c r="E118" t="s">
        <v>510</v>
      </c>
      <c r="F118" t="s">
        <v>508</v>
      </c>
      <c r="G118" t="s">
        <v>372</v>
      </c>
      <c r="H118" t="s">
        <v>458</v>
      </c>
      <c r="I118" t="s">
        <v>428</v>
      </c>
      <c r="J118" t="s">
        <v>386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366</v>
      </c>
      <c r="B119" t="s">
        <v>406</v>
      </c>
      <c r="C119" t="s">
        <v>368</v>
      </c>
      <c r="D119" t="s">
        <v>369</v>
      </c>
      <c r="E119" t="s">
        <v>511</v>
      </c>
      <c r="F119" t="s">
        <v>508</v>
      </c>
      <c r="G119" t="s">
        <v>372</v>
      </c>
      <c r="H119" t="s">
        <v>458</v>
      </c>
      <c r="I119" t="s">
        <v>428</v>
      </c>
      <c r="J119" t="s">
        <v>386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366</v>
      </c>
      <c r="B120" t="s">
        <v>406</v>
      </c>
      <c r="C120" t="s">
        <v>368</v>
      </c>
      <c r="D120" t="s">
        <v>369</v>
      </c>
      <c r="E120" t="s">
        <v>512</v>
      </c>
      <c r="F120" t="s">
        <v>508</v>
      </c>
      <c r="G120" t="s">
        <v>372</v>
      </c>
      <c r="H120" t="s">
        <v>458</v>
      </c>
      <c r="I120" t="s">
        <v>428</v>
      </c>
      <c r="J120" t="s">
        <v>386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366</v>
      </c>
      <c r="B121" t="s">
        <v>406</v>
      </c>
      <c r="C121" t="s">
        <v>368</v>
      </c>
      <c r="D121" t="s">
        <v>369</v>
      </c>
      <c r="E121" t="s">
        <v>513</v>
      </c>
      <c r="F121" t="s">
        <v>508</v>
      </c>
      <c r="G121" t="s">
        <v>372</v>
      </c>
      <c r="H121" t="s">
        <v>458</v>
      </c>
      <c r="I121" t="s">
        <v>428</v>
      </c>
      <c r="J121" t="s">
        <v>386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366</v>
      </c>
      <c r="B122" t="s">
        <v>406</v>
      </c>
      <c r="C122" t="s">
        <v>368</v>
      </c>
      <c r="D122" t="s">
        <v>369</v>
      </c>
      <c r="E122" t="s">
        <v>514</v>
      </c>
      <c r="F122" t="s">
        <v>508</v>
      </c>
      <c r="G122" t="s">
        <v>372</v>
      </c>
      <c r="H122" t="s">
        <v>458</v>
      </c>
      <c r="I122" t="s">
        <v>428</v>
      </c>
      <c r="J122" t="s">
        <v>386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366</v>
      </c>
      <c r="B123" t="s">
        <v>406</v>
      </c>
      <c r="C123" t="s">
        <v>368</v>
      </c>
      <c r="D123" t="s">
        <v>369</v>
      </c>
      <c r="E123" t="s">
        <v>515</v>
      </c>
      <c r="F123" t="s">
        <v>508</v>
      </c>
      <c r="G123" t="s">
        <v>372</v>
      </c>
      <c r="H123" t="s">
        <v>458</v>
      </c>
      <c r="I123" t="s">
        <v>428</v>
      </c>
      <c r="J123" t="s">
        <v>386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366</v>
      </c>
      <c r="B124" t="s">
        <v>406</v>
      </c>
      <c r="C124" t="s">
        <v>368</v>
      </c>
      <c r="D124" t="s">
        <v>369</v>
      </c>
      <c r="E124" t="s">
        <v>516</v>
      </c>
      <c r="F124" t="s">
        <v>508</v>
      </c>
      <c r="G124" t="s">
        <v>372</v>
      </c>
      <c r="H124" t="s">
        <v>458</v>
      </c>
      <c r="I124" t="s">
        <v>428</v>
      </c>
      <c r="J124" t="s">
        <v>386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366</v>
      </c>
      <c r="B125" t="s">
        <v>406</v>
      </c>
      <c r="C125" t="s">
        <v>368</v>
      </c>
      <c r="D125" t="s">
        <v>369</v>
      </c>
      <c r="E125" t="s">
        <v>517</v>
      </c>
      <c r="F125" t="s">
        <v>508</v>
      </c>
      <c r="G125" t="s">
        <v>372</v>
      </c>
      <c r="H125" t="s">
        <v>458</v>
      </c>
      <c r="I125" t="s">
        <v>428</v>
      </c>
      <c r="J125" t="s">
        <v>386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366</v>
      </c>
      <c r="B126" t="s">
        <v>406</v>
      </c>
      <c r="C126" t="s">
        <v>368</v>
      </c>
      <c r="D126" t="s">
        <v>369</v>
      </c>
      <c r="E126" t="s">
        <v>518</v>
      </c>
      <c r="F126" t="s">
        <v>508</v>
      </c>
      <c r="G126" t="s">
        <v>372</v>
      </c>
      <c r="H126" t="s">
        <v>458</v>
      </c>
      <c r="I126" t="s">
        <v>428</v>
      </c>
      <c r="J126" t="s">
        <v>386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366</v>
      </c>
      <c r="B127" t="s">
        <v>406</v>
      </c>
      <c r="C127" t="s">
        <v>368</v>
      </c>
      <c r="D127" t="s">
        <v>369</v>
      </c>
      <c r="E127" t="s">
        <v>519</v>
      </c>
      <c r="F127" t="s">
        <v>508</v>
      </c>
      <c r="G127" t="s">
        <v>372</v>
      </c>
      <c r="H127" t="s">
        <v>458</v>
      </c>
      <c r="I127" t="s">
        <v>428</v>
      </c>
      <c r="J127" t="s">
        <v>386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366</v>
      </c>
      <c r="B128" t="s">
        <v>406</v>
      </c>
      <c r="C128" t="s">
        <v>368</v>
      </c>
      <c r="D128" t="s">
        <v>369</v>
      </c>
      <c r="E128" t="s">
        <v>520</v>
      </c>
      <c r="F128" t="s">
        <v>508</v>
      </c>
      <c r="G128" t="s">
        <v>372</v>
      </c>
      <c r="H128" t="s">
        <v>458</v>
      </c>
      <c r="I128" t="s">
        <v>428</v>
      </c>
      <c r="J128" t="s">
        <v>386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521</v>
      </c>
      <c r="B129" t="s">
        <v>522</v>
      </c>
      <c r="C129" t="s">
        <v>368</v>
      </c>
      <c r="D129" t="s">
        <v>523</v>
      </c>
      <c r="E129" t="s">
        <v>524</v>
      </c>
      <c r="F129" t="s">
        <v>525</v>
      </c>
      <c r="G129" t="s">
        <v>526</v>
      </c>
      <c r="H129" t="s">
        <v>373</v>
      </c>
      <c r="I129" t="s">
        <v>374</v>
      </c>
      <c r="J129" t="s">
        <v>527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521</v>
      </c>
      <c r="B130" t="s">
        <v>522</v>
      </c>
      <c r="C130" t="s">
        <v>368</v>
      </c>
      <c r="D130" t="s">
        <v>523</v>
      </c>
      <c r="E130" t="s">
        <v>528</v>
      </c>
      <c r="F130" t="s">
        <v>525</v>
      </c>
      <c r="G130" t="s">
        <v>526</v>
      </c>
      <c r="H130" t="s">
        <v>373</v>
      </c>
      <c r="I130" t="s">
        <v>374</v>
      </c>
      <c r="J130" t="s">
        <v>527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521</v>
      </c>
      <c r="B131" t="s">
        <v>522</v>
      </c>
      <c r="C131" t="s">
        <v>368</v>
      </c>
      <c r="D131" t="s">
        <v>523</v>
      </c>
      <c r="E131" t="s">
        <v>529</v>
      </c>
      <c r="F131" t="s">
        <v>525</v>
      </c>
      <c r="G131" t="s">
        <v>526</v>
      </c>
      <c r="H131" t="s">
        <v>373</v>
      </c>
      <c r="I131" t="s">
        <v>374</v>
      </c>
      <c r="J131" t="s">
        <v>527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521</v>
      </c>
      <c r="B132" t="s">
        <v>522</v>
      </c>
      <c r="C132" t="s">
        <v>368</v>
      </c>
      <c r="D132" t="s">
        <v>523</v>
      </c>
      <c r="E132" t="s">
        <v>530</v>
      </c>
      <c r="F132" t="s">
        <v>525</v>
      </c>
      <c r="G132" t="s">
        <v>526</v>
      </c>
      <c r="H132" t="s">
        <v>373</v>
      </c>
      <c r="I132" t="s">
        <v>374</v>
      </c>
      <c r="J132" t="s">
        <v>527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521</v>
      </c>
      <c r="B133" t="s">
        <v>522</v>
      </c>
      <c r="C133" t="s">
        <v>368</v>
      </c>
      <c r="D133" t="s">
        <v>523</v>
      </c>
      <c r="E133" t="s">
        <v>531</v>
      </c>
      <c r="F133" t="s">
        <v>525</v>
      </c>
      <c r="G133" t="s">
        <v>526</v>
      </c>
      <c r="H133" t="s">
        <v>373</v>
      </c>
      <c r="I133" t="s">
        <v>374</v>
      </c>
      <c r="J133" t="s">
        <v>527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521</v>
      </c>
      <c r="B134" t="s">
        <v>522</v>
      </c>
      <c r="C134" t="s">
        <v>368</v>
      </c>
      <c r="D134" t="s">
        <v>523</v>
      </c>
      <c r="E134" t="s">
        <v>532</v>
      </c>
      <c r="F134" t="s">
        <v>525</v>
      </c>
      <c r="G134" t="s">
        <v>526</v>
      </c>
      <c r="H134" t="s">
        <v>373</v>
      </c>
      <c r="I134" t="s">
        <v>374</v>
      </c>
      <c r="J134" t="s">
        <v>527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521</v>
      </c>
      <c r="B135" t="s">
        <v>522</v>
      </c>
      <c r="C135" t="s">
        <v>368</v>
      </c>
      <c r="D135" t="s">
        <v>523</v>
      </c>
      <c r="E135" t="s">
        <v>533</v>
      </c>
      <c r="F135" t="s">
        <v>525</v>
      </c>
      <c r="G135" t="s">
        <v>526</v>
      </c>
      <c r="H135" t="s">
        <v>373</v>
      </c>
      <c r="I135" t="s">
        <v>374</v>
      </c>
      <c r="J135" t="s">
        <v>527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521</v>
      </c>
      <c r="B136" t="s">
        <v>522</v>
      </c>
      <c r="C136" t="s">
        <v>368</v>
      </c>
      <c r="D136" t="s">
        <v>523</v>
      </c>
      <c r="E136" t="s">
        <v>534</v>
      </c>
      <c r="F136" t="s">
        <v>525</v>
      </c>
      <c r="G136" t="s">
        <v>526</v>
      </c>
      <c r="H136" t="s">
        <v>373</v>
      </c>
      <c r="I136" t="s">
        <v>374</v>
      </c>
      <c r="J136" t="s">
        <v>527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521</v>
      </c>
      <c r="B137" t="s">
        <v>522</v>
      </c>
      <c r="C137" t="s">
        <v>368</v>
      </c>
      <c r="D137" t="s">
        <v>523</v>
      </c>
      <c r="E137" t="s">
        <v>535</v>
      </c>
      <c r="F137" t="s">
        <v>525</v>
      </c>
      <c r="G137" t="s">
        <v>526</v>
      </c>
      <c r="H137" t="s">
        <v>373</v>
      </c>
      <c r="I137" t="s">
        <v>374</v>
      </c>
      <c r="J137" t="s">
        <v>527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521</v>
      </c>
      <c r="B138" t="s">
        <v>522</v>
      </c>
      <c r="C138" t="s">
        <v>368</v>
      </c>
      <c r="D138" t="s">
        <v>523</v>
      </c>
      <c r="E138" t="s">
        <v>536</v>
      </c>
      <c r="F138" t="s">
        <v>525</v>
      </c>
      <c r="G138" t="s">
        <v>526</v>
      </c>
      <c r="H138" t="s">
        <v>373</v>
      </c>
      <c r="I138" t="s">
        <v>374</v>
      </c>
      <c r="J138" t="s">
        <v>527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521</v>
      </c>
      <c r="B139" t="s">
        <v>522</v>
      </c>
      <c r="C139" t="s">
        <v>368</v>
      </c>
      <c r="D139" t="s">
        <v>523</v>
      </c>
      <c r="E139" t="s">
        <v>537</v>
      </c>
      <c r="F139" t="s">
        <v>525</v>
      </c>
      <c r="G139" t="s">
        <v>526</v>
      </c>
      <c r="H139" t="s">
        <v>373</v>
      </c>
      <c r="I139" t="s">
        <v>374</v>
      </c>
      <c r="J139" t="s">
        <v>527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521</v>
      </c>
      <c r="B140" t="s">
        <v>522</v>
      </c>
      <c r="C140" t="s">
        <v>368</v>
      </c>
      <c r="D140" t="s">
        <v>523</v>
      </c>
      <c r="E140" t="s">
        <v>538</v>
      </c>
      <c r="F140" t="s">
        <v>525</v>
      </c>
      <c r="G140" t="s">
        <v>526</v>
      </c>
      <c r="H140" t="s">
        <v>373</v>
      </c>
      <c r="I140" t="s">
        <v>374</v>
      </c>
      <c r="J140" t="s">
        <v>527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521</v>
      </c>
      <c r="B141" t="s">
        <v>522</v>
      </c>
      <c r="C141" t="s">
        <v>368</v>
      </c>
      <c r="D141" t="s">
        <v>523</v>
      </c>
      <c r="E141" t="s">
        <v>539</v>
      </c>
      <c r="F141" t="s">
        <v>525</v>
      </c>
      <c r="G141" t="s">
        <v>526</v>
      </c>
      <c r="H141" t="s">
        <v>373</v>
      </c>
      <c r="I141" t="s">
        <v>374</v>
      </c>
      <c r="J141" t="s">
        <v>527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521</v>
      </c>
      <c r="B142" t="s">
        <v>540</v>
      </c>
      <c r="C142" t="s">
        <v>368</v>
      </c>
      <c r="D142" t="s">
        <v>523</v>
      </c>
      <c r="E142" t="s">
        <v>541</v>
      </c>
      <c r="F142" t="s">
        <v>542</v>
      </c>
      <c r="G142" t="s">
        <v>526</v>
      </c>
      <c r="H142" t="s">
        <v>373</v>
      </c>
      <c r="I142" t="s">
        <v>374</v>
      </c>
      <c r="J142" t="s">
        <v>543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521</v>
      </c>
      <c r="B143" t="s">
        <v>540</v>
      </c>
      <c r="C143" t="s">
        <v>368</v>
      </c>
      <c r="D143" t="s">
        <v>523</v>
      </c>
      <c r="E143" t="s">
        <v>544</v>
      </c>
      <c r="F143" t="s">
        <v>542</v>
      </c>
      <c r="G143" t="s">
        <v>526</v>
      </c>
      <c r="H143" t="s">
        <v>373</v>
      </c>
      <c r="I143" t="s">
        <v>374</v>
      </c>
      <c r="J143" t="s">
        <v>543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521</v>
      </c>
      <c r="B144" t="s">
        <v>540</v>
      </c>
      <c r="C144" t="s">
        <v>368</v>
      </c>
      <c r="D144" t="s">
        <v>523</v>
      </c>
      <c r="E144" t="s">
        <v>545</v>
      </c>
      <c r="F144" t="s">
        <v>542</v>
      </c>
      <c r="G144" t="s">
        <v>526</v>
      </c>
      <c r="H144" t="s">
        <v>373</v>
      </c>
      <c r="I144" t="s">
        <v>374</v>
      </c>
      <c r="J144" t="s">
        <v>543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521</v>
      </c>
      <c r="B145" t="s">
        <v>540</v>
      </c>
      <c r="C145" t="s">
        <v>368</v>
      </c>
      <c r="D145" t="s">
        <v>523</v>
      </c>
      <c r="E145" t="s">
        <v>546</v>
      </c>
      <c r="F145" t="s">
        <v>542</v>
      </c>
      <c r="G145" t="s">
        <v>526</v>
      </c>
      <c r="H145" t="s">
        <v>373</v>
      </c>
      <c r="I145" t="s">
        <v>374</v>
      </c>
      <c r="J145" t="s">
        <v>543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521</v>
      </c>
      <c r="B146" t="s">
        <v>540</v>
      </c>
      <c r="C146" t="s">
        <v>368</v>
      </c>
      <c r="D146" t="s">
        <v>523</v>
      </c>
      <c r="E146" t="s">
        <v>547</v>
      </c>
      <c r="F146" t="s">
        <v>542</v>
      </c>
      <c r="G146" t="s">
        <v>526</v>
      </c>
      <c r="H146" t="s">
        <v>373</v>
      </c>
      <c r="I146" t="s">
        <v>374</v>
      </c>
      <c r="J146" t="s">
        <v>543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521</v>
      </c>
      <c r="B147" t="s">
        <v>540</v>
      </c>
      <c r="C147" t="s">
        <v>368</v>
      </c>
      <c r="D147" t="s">
        <v>523</v>
      </c>
      <c r="E147" t="s">
        <v>548</v>
      </c>
      <c r="F147" t="s">
        <v>542</v>
      </c>
      <c r="G147" t="s">
        <v>526</v>
      </c>
      <c r="H147" t="s">
        <v>373</v>
      </c>
      <c r="I147" t="s">
        <v>374</v>
      </c>
      <c r="J147" t="s">
        <v>543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521</v>
      </c>
      <c r="B148" t="s">
        <v>540</v>
      </c>
      <c r="C148" t="s">
        <v>368</v>
      </c>
      <c r="D148" t="s">
        <v>523</v>
      </c>
      <c r="E148" t="s">
        <v>549</v>
      </c>
      <c r="F148" t="s">
        <v>542</v>
      </c>
      <c r="G148" t="s">
        <v>526</v>
      </c>
      <c r="H148" t="s">
        <v>373</v>
      </c>
      <c r="I148" t="s">
        <v>374</v>
      </c>
      <c r="J148" t="s">
        <v>543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521</v>
      </c>
      <c r="B149" t="s">
        <v>540</v>
      </c>
      <c r="C149" t="s">
        <v>368</v>
      </c>
      <c r="D149" t="s">
        <v>523</v>
      </c>
      <c r="E149" t="s">
        <v>550</v>
      </c>
      <c r="F149" t="s">
        <v>542</v>
      </c>
      <c r="G149" t="s">
        <v>526</v>
      </c>
      <c r="H149" t="s">
        <v>373</v>
      </c>
      <c r="I149" t="s">
        <v>374</v>
      </c>
      <c r="J149" t="s">
        <v>543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521</v>
      </c>
      <c r="B150" t="s">
        <v>540</v>
      </c>
      <c r="C150" t="s">
        <v>368</v>
      </c>
      <c r="D150" t="s">
        <v>523</v>
      </c>
      <c r="E150" t="s">
        <v>551</v>
      </c>
      <c r="F150" t="s">
        <v>542</v>
      </c>
      <c r="G150" t="s">
        <v>526</v>
      </c>
      <c r="H150" t="s">
        <v>373</v>
      </c>
      <c r="I150" t="s">
        <v>374</v>
      </c>
      <c r="J150" t="s">
        <v>543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521</v>
      </c>
      <c r="B151" t="s">
        <v>540</v>
      </c>
      <c r="C151" t="s">
        <v>368</v>
      </c>
      <c r="D151" t="s">
        <v>523</v>
      </c>
      <c r="E151" t="s">
        <v>552</v>
      </c>
      <c r="F151" t="s">
        <v>542</v>
      </c>
      <c r="G151" t="s">
        <v>526</v>
      </c>
      <c r="H151" t="s">
        <v>373</v>
      </c>
      <c r="I151" t="s">
        <v>374</v>
      </c>
      <c r="J151" t="s">
        <v>543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521</v>
      </c>
      <c r="B152" t="s">
        <v>540</v>
      </c>
      <c r="C152" t="s">
        <v>368</v>
      </c>
      <c r="D152" t="s">
        <v>523</v>
      </c>
      <c r="E152" t="s">
        <v>553</v>
      </c>
      <c r="F152" t="s">
        <v>542</v>
      </c>
      <c r="G152" t="s">
        <v>526</v>
      </c>
      <c r="H152" t="s">
        <v>373</v>
      </c>
      <c r="I152" t="s">
        <v>374</v>
      </c>
      <c r="J152" t="s">
        <v>543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521</v>
      </c>
      <c r="B153" t="s">
        <v>540</v>
      </c>
      <c r="C153" t="s">
        <v>368</v>
      </c>
      <c r="D153" t="s">
        <v>523</v>
      </c>
      <c r="E153" t="s">
        <v>554</v>
      </c>
      <c r="F153" t="s">
        <v>542</v>
      </c>
      <c r="G153" t="s">
        <v>526</v>
      </c>
      <c r="H153" t="s">
        <v>373</v>
      </c>
      <c r="I153" t="s">
        <v>374</v>
      </c>
      <c r="J153" t="s">
        <v>543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521</v>
      </c>
      <c r="B154" t="s">
        <v>540</v>
      </c>
      <c r="C154" t="s">
        <v>368</v>
      </c>
      <c r="D154" t="s">
        <v>523</v>
      </c>
      <c r="E154" t="s">
        <v>555</v>
      </c>
      <c r="F154" t="s">
        <v>542</v>
      </c>
      <c r="G154" t="s">
        <v>526</v>
      </c>
      <c r="H154" t="s">
        <v>373</v>
      </c>
      <c r="I154" t="s">
        <v>374</v>
      </c>
      <c r="J154" t="s">
        <v>543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521</v>
      </c>
      <c r="B155" t="s">
        <v>540</v>
      </c>
      <c r="C155" t="s">
        <v>368</v>
      </c>
      <c r="D155" t="s">
        <v>523</v>
      </c>
      <c r="E155" t="s">
        <v>556</v>
      </c>
      <c r="F155" t="s">
        <v>542</v>
      </c>
      <c r="G155" t="s">
        <v>526</v>
      </c>
      <c r="H155" t="s">
        <v>373</v>
      </c>
      <c r="I155" t="s">
        <v>374</v>
      </c>
      <c r="J155" t="s">
        <v>543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521</v>
      </c>
      <c r="B156" t="s">
        <v>557</v>
      </c>
      <c r="C156" t="s">
        <v>368</v>
      </c>
      <c r="D156" t="s">
        <v>523</v>
      </c>
      <c r="E156" t="s">
        <v>558</v>
      </c>
      <c r="F156" t="s">
        <v>559</v>
      </c>
      <c r="G156" t="s">
        <v>526</v>
      </c>
      <c r="H156" t="s">
        <v>373</v>
      </c>
      <c r="I156" t="s">
        <v>374</v>
      </c>
      <c r="J156" t="s">
        <v>560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521</v>
      </c>
      <c r="B157" t="s">
        <v>557</v>
      </c>
      <c r="C157" t="s">
        <v>368</v>
      </c>
      <c r="D157" t="s">
        <v>523</v>
      </c>
      <c r="E157" t="s">
        <v>561</v>
      </c>
      <c r="F157" t="s">
        <v>559</v>
      </c>
      <c r="G157" t="s">
        <v>526</v>
      </c>
      <c r="H157" t="s">
        <v>373</v>
      </c>
      <c r="I157" t="s">
        <v>374</v>
      </c>
      <c r="J157" t="s">
        <v>560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521</v>
      </c>
      <c r="B158" t="s">
        <v>557</v>
      </c>
      <c r="C158" t="s">
        <v>368</v>
      </c>
      <c r="D158" t="s">
        <v>523</v>
      </c>
      <c r="E158" t="s">
        <v>562</v>
      </c>
      <c r="F158" t="s">
        <v>559</v>
      </c>
      <c r="G158" t="s">
        <v>526</v>
      </c>
      <c r="H158" t="s">
        <v>373</v>
      </c>
      <c r="I158" t="s">
        <v>374</v>
      </c>
      <c r="J158" t="s">
        <v>560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521</v>
      </c>
      <c r="B159" t="s">
        <v>557</v>
      </c>
      <c r="C159" t="s">
        <v>368</v>
      </c>
      <c r="D159" t="s">
        <v>523</v>
      </c>
      <c r="E159" t="s">
        <v>563</v>
      </c>
      <c r="F159" t="s">
        <v>559</v>
      </c>
      <c r="G159" t="s">
        <v>526</v>
      </c>
      <c r="H159" t="s">
        <v>373</v>
      </c>
      <c r="I159" t="s">
        <v>374</v>
      </c>
      <c r="J159" t="s">
        <v>560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521</v>
      </c>
      <c r="B160" t="s">
        <v>557</v>
      </c>
      <c r="C160" t="s">
        <v>368</v>
      </c>
      <c r="D160" t="s">
        <v>523</v>
      </c>
      <c r="E160" t="s">
        <v>564</v>
      </c>
      <c r="F160" t="s">
        <v>559</v>
      </c>
      <c r="G160" t="s">
        <v>526</v>
      </c>
      <c r="H160" t="s">
        <v>373</v>
      </c>
      <c r="I160" t="s">
        <v>374</v>
      </c>
      <c r="J160" t="s">
        <v>560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521</v>
      </c>
      <c r="B161" t="s">
        <v>557</v>
      </c>
      <c r="C161" t="s">
        <v>368</v>
      </c>
      <c r="D161" t="s">
        <v>523</v>
      </c>
      <c r="E161" t="s">
        <v>565</v>
      </c>
      <c r="F161" t="s">
        <v>559</v>
      </c>
      <c r="G161" t="s">
        <v>526</v>
      </c>
      <c r="H161" t="s">
        <v>373</v>
      </c>
      <c r="I161" t="s">
        <v>374</v>
      </c>
      <c r="J161" t="s">
        <v>560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521</v>
      </c>
      <c r="B162" t="s">
        <v>557</v>
      </c>
      <c r="C162" t="s">
        <v>368</v>
      </c>
      <c r="D162" t="s">
        <v>523</v>
      </c>
      <c r="E162" t="s">
        <v>566</v>
      </c>
      <c r="F162" t="s">
        <v>559</v>
      </c>
      <c r="G162" t="s">
        <v>526</v>
      </c>
      <c r="H162" t="s">
        <v>373</v>
      </c>
      <c r="I162" t="s">
        <v>374</v>
      </c>
      <c r="J162" t="s">
        <v>560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521</v>
      </c>
      <c r="B163" t="s">
        <v>557</v>
      </c>
      <c r="C163" t="s">
        <v>368</v>
      </c>
      <c r="D163" t="s">
        <v>523</v>
      </c>
      <c r="E163" t="s">
        <v>567</v>
      </c>
      <c r="F163" t="s">
        <v>559</v>
      </c>
      <c r="G163" t="s">
        <v>526</v>
      </c>
      <c r="H163" t="s">
        <v>373</v>
      </c>
      <c r="I163" t="s">
        <v>374</v>
      </c>
      <c r="J163" t="s">
        <v>560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521</v>
      </c>
      <c r="B164" t="s">
        <v>557</v>
      </c>
      <c r="C164" t="s">
        <v>368</v>
      </c>
      <c r="D164" t="s">
        <v>523</v>
      </c>
      <c r="E164" t="s">
        <v>568</v>
      </c>
      <c r="F164" t="s">
        <v>559</v>
      </c>
      <c r="G164" t="s">
        <v>526</v>
      </c>
      <c r="H164" t="s">
        <v>373</v>
      </c>
      <c r="I164" t="s">
        <v>374</v>
      </c>
      <c r="J164" t="s">
        <v>560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521</v>
      </c>
      <c r="B165" t="s">
        <v>557</v>
      </c>
      <c r="C165" t="s">
        <v>368</v>
      </c>
      <c r="D165" t="s">
        <v>523</v>
      </c>
      <c r="E165" t="s">
        <v>569</v>
      </c>
      <c r="F165" t="s">
        <v>559</v>
      </c>
      <c r="G165" t="s">
        <v>526</v>
      </c>
      <c r="H165" t="s">
        <v>373</v>
      </c>
      <c r="I165" t="s">
        <v>374</v>
      </c>
      <c r="J165" t="s">
        <v>560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521</v>
      </c>
      <c r="B166" t="s">
        <v>557</v>
      </c>
      <c r="C166" t="s">
        <v>368</v>
      </c>
      <c r="D166" t="s">
        <v>523</v>
      </c>
      <c r="E166" t="s">
        <v>570</v>
      </c>
      <c r="F166" t="s">
        <v>559</v>
      </c>
      <c r="G166" t="s">
        <v>526</v>
      </c>
      <c r="H166" t="s">
        <v>373</v>
      </c>
      <c r="I166" t="s">
        <v>374</v>
      </c>
      <c r="J166" t="s">
        <v>560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521</v>
      </c>
      <c r="B167" t="s">
        <v>557</v>
      </c>
      <c r="C167" t="s">
        <v>368</v>
      </c>
      <c r="D167" t="s">
        <v>523</v>
      </c>
      <c r="E167" t="s">
        <v>571</v>
      </c>
      <c r="F167" t="s">
        <v>559</v>
      </c>
      <c r="G167" t="s">
        <v>526</v>
      </c>
      <c r="H167" t="s">
        <v>373</v>
      </c>
      <c r="I167" t="s">
        <v>374</v>
      </c>
      <c r="J167" t="s">
        <v>560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521</v>
      </c>
      <c r="B168" t="s">
        <v>557</v>
      </c>
      <c r="C168" t="s">
        <v>368</v>
      </c>
      <c r="D168" t="s">
        <v>523</v>
      </c>
      <c r="E168" t="s">
        <v>572</v>
      </c>
      <c r="F168" t="s">
        <v>559</v>
      </c>
      <c r="G168" t="s">
        <v>526</v>
      </c>
      <c r="H168" t="s">
        <v>373</v>
      </c>
      <c r="I168" t="s">
        <v>374</v>
      </c>
      <c r="J168" t="s">
        <v>560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521</v>
      </c>
      <c r="B169" t="s">
        <v>557</v>
      </c>
      <c r="C169" t="s">
        <v>368</v>
      </c>
      <c r="D169" t="s">
        <v>523</v>
      </c>
      <c r="E169" t="s">
        <v>573</v>
      </c>
      <c r="F169" t="s">
        <v>559</v>
      </c>
      <c r="G169" t="s">
        <v>526</v>
      </c>
      <c r="H169" t="s">
        <v>373</v>
      </c>
      <c r="I169" t="s">
        <v>374</v>
      </c>
      <c r="J169" t="s">
        <v>560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521</v>
      </c>
      <c r="B170" t="s">
        <v>574</v>
      </c>
      <c r="C170" t="s">
        <v>368</v>
      </c>
      <c r="D170" t="s">
        <v>523</v>
      </c>
      <c r="E170" t="s">
        <v>575</v>
      </c>
      <c r="F170" t="s">
        <v>576</v>
      </c>
      <c r="G170" t="s">
        <v>526</v>
      </c>
      <c r="H170" t="s">
        <v>373</v>
      </c>
      <c r="I170" t="s">
        <v>374</v>
      </c>
      <c r="J170" t="s">
        <v>577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521</v>
      </c>
      <c r="B171" t="s">
        <v>574</v>
      </c>
      <c r="C171" t="s">
        <v>368</v>
      </c>
      <c r="D171" t="s">
        <v>523</v>
      </c>
      <c r="E171" t="s">
        <v>578</v>
      </c>
      <c r="F171" t="s">
        <v>576</v>
      </c>
      <c r="G171" t="s">
        <v>526</v>
      </c>
      <c r="H171" t="s">
        <v>373</v>
      </c>
      <c r="I171" t="s">
        <v>374</v>
      </c>
      <c r="J171" t="s">
        <v>577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521</v>
      </c>
      <c r="B172" t="s">
        <v>574</v>
      </c>
      <c r="C172" t="s">
        <v>368</v>
      </c>
      <c r="D172" t="s">
        <v>523</v>
      </c>
      <c r="E172" t="s">
        <v>579</v>
      </c>
      <c r="F172" t="s">
        <v>576</v>
      </c>
      <c r="G172" t="s">
        <v>526</v>
      </c>
      <c r="H172" t="s">
        <v>373</v>
      </c>
      <c r="I172" t="s">
        <v>374</v>
      </c>
      <c r="J172" t="s">
        <v>577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521</v>
      </c>
      <c r="B173" t="s">
        <v>574</v>
      </c>
      <c r="C173" t="s">
        <v>368</v>
      </c>
      <c r="D173" t="s">
        <v>523</v>
      </c>
      <c r="E173" t="s">
        <v>580</v>
      </c>
      <c r="F173" t="s">
        <v>576</v>
      </c>
      <c r="G173" t="s">
        <v>526</v>
      </c>
      <c r="H173" t="s">
        <v>373</v>
      </c>
      <c r="I173" t="s">
        <v>374</v>
      </c>
      <c r="J173" t="s">
        <v>577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521</v>
      </c>
      <c r="B174" t="s">
        <v>574</v>
      </c>
      <c r="C174" t="s">
        <v>368</v>
      </c>
      <c r="D174" t="s">
        <v>523</v>
      </c>
      <c r="E174" t="s">
        <v>581</v>
      </c>
      <c r="F174" t="s">
        <v>576</v>
      </c>
      <c r="G174" t="s">
        <v>526</v>
      </c>
      <c r="H174" t="s">
        <v>373</v>
      </c>
      <c r="I174" t="s">
        <v>374</v>
      </c>
      <c r="J174" t="s">
        <v>577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521</v>
      </c>
      <c r="B175" t="s">
        <v>574</v>
      </c>
      <c r="C175" t="s">
        <v>368</v>
      </c>
      <c r="D175" t="s">
        <v>523</v>
      </c>
      <c r="E175" t="s">
        <v>582</v>
      </c>
      <c r="F175" t="s">
        <v>576</v>
      </c>
      <c r="G175" t="s">
        <v>526</v>
      </c>
      <c r="H175" t="s">
        <v>373</v>
      </c>
      <c r="I175" t="s">
        <v>374</v>
      </c>
      <c r="J175" t="s">
        <v>577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521</v>
      </c>
      <c r="B176" t="s">
        <v>574</v>
      </c>
      <c r="C176" t="s">
        <v>368</v>
      </c>
      <c r="D176" t="s">
        <v>523</v>
      </c>
      <c r="E176" t="s">
        <v>583</v>
      </c>
      <c r="F176" t="s">
        <v>576</v>
      </c>
      <c r="G176" t="s">
        <v>526</v>
      </c>
      <c r="H176" t="s">
        <v>373</v>
      </c>
      <c r="I176" t="s">
        <v>374</v>
      </c>
      <c r="J176" t="s">
        <v>577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521</v>
      </c>
      <c r="B177" t="s">
        <v>574</v>
      </c>
      <c r="C177" t="s">
        <v>368</v>
      </c>
      <c r="D177" t="s">
        <v>523</v>
      </c>
      <c r="E177" t="s">
        <v>584</v>
      </c>
      <c r="F177" t="s">
        <v>576</v>
      </c>
      <c r="G177" t="s">
        <v>526</v>
      </c>
      <c r="H177" t="s">
        <v>373</v>
      </c>
      <c r="I177" t="s">
        <v>374</v>
      </c>
      <c r="J177" t="s">
        <v>577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521</v>
      </c>
      <c r="B178" t="s">
        <v>574</v>
      </c>
      <c r="C178" t="s">
        <v>368</v>
      </c>
      <c r="D178" t="s">
        <v>523</v>
      </c>
      <c r="E178" t="s">
        <v>585</v>
      </c>
      <c r="F178" t="s">
        <v>576</v>
      </c>
      <c r="G178" t="s">
        <v>526</v>
      </c>
      <c r="H178" t="s">
        <v>373</v>
      </c>
      <c r="I178" t="s">
        <v>374</v>
      </c>
      <c r="J178" t="s">
        <v>577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521</v>
      </c>
      <c r="B179" t="s">
        <v>574</v>
      </c>
      <c r="C179" t="s">
        <v>368</v>
      </c>
      <c r="D179" t="s">
        <v>523</v>
      </c>
      <c r="E179" t="s">
        <v>586</v>
      </c>
      <c r="F179" t="s">
        <v>576</v>
      </c>
      <c r="G179" t="s">
        <v>526</v>
      </c>
      <c r="H179" t="s">
        <v>373</v>
      </c>
      <c r="I179" t="s">
        <v>374</v>
      </c>
      <c r="J179" t="s">
        <v>577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521</v>
      </c>
      <c r="B180" t="s">
        <v>574</v>
      </c>
      <c r="C180" t="s">
        <v>368</v>
      </c>
      <c r="D180" t="s">
        <v>523</v>
      </c>
      <c r="E180" t="s">
        <v>587</v>
      </c>
      <c r="F180" t="s">
        <v>576</v>
      </c>
      <c r="G180" t="s">
        <v>526</v>
      </c>
      <c r="H180" t="s">
        <v>373</v>
      </c>
      <c r="I180" t="s">
        <v>374</v>
      </c>
      <c r="J180" t="s">
        <v>577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521</v>
      </c>
      <c r="B181" t="s">
        <v>574</v>
      </c>
      <c r="C181" t="s">
        <v>368</v>
      </c>
      <c r="D181" t="s">
        <v>523</v>
      </c>
      <c r="E181" t="s">
        <v>588</v>
      </c>
      <c r="F181" t="s">
        <v>576</v>
      </c>
      <c r="G181" t="s">
        <v>526</v>
      </c>
      <c r="H181" t="s">
        <v>373</v>
      </c>
      <c r="I181" t="s">
        <v>374</v>
      </c>
      <c r="J181" t="s">
        <v>577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521</v>
      </c>
      <c r="B182" t="s">
        <v>574</v>
      </c>
      <c r="C182" t="s">
        <v>368</v>
      </c>
      <c r="D182" t="s">
        <v>523</v>
      </c>
      <c r="E182" t="s">
        <v>589</v>
      </c>
      <c r="F182" t="s">
        <v>576</v>
      </c>
      <c r="G182" t="s">
        <v>526</v>
      </c>
      <c r="H182" t="s">
        <v>373</v>
      </c>
      <c r="I182" t="s">
        <v>374</v>
      </c>
      <c r="J182" t="s">
        <v>577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521</v>
      </c>
      <c r="B183" t="s">
        <v>574</v>
      </c>
      <c r="C183" t="s">
        <v>368</v>
      </c>
      <c r="D183" t="s">
        <v>523</v>
      </c>
      <c r="E183" t="s">
        <v>590</v>
      </c>
      <c r="F183" t="s">
        <v>576</v>
      </c>
      <c r="G183" t="s">
        <v>526</v>
      </c>
      <c r="H183" t="s">
        <v>373</v>
      </c>
      <c r="I183" t="s">
        <v>374</v>
      </c>
      <c r="J183" t="s">
        <v>577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521</v>
      </c>
      <c r="B184" t="s">
        <v>591</v>
      </c>
      <c r="C184" t="s">
        <v>368</v>
      </c>
      <c r="D184" t="s">
        <v>523</v>
      </c>
      <c r="E184" t="s">
        <v>592</v>
      </c>
      <c r="F184" t="s">
        <v>593</v>
      </c>
      <c r="G184" t="s">
        <v>526</v>
      </c>
      <c r="H184" t="s">
        <v>458</v>
      </c>
      <c r="I184" t="s">
        <v>374</v>
      </c>
      <c r="J184" t="s">
        <v>594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521</v>
      </c>
      <c r="B185" t="s">
        <v>591</v>
      </c>
      <c r="C185" t="s">
        <v>368</v>
      </c>
      <c r="D185" t="s">
        <v>523</v>
      </c>
      <c r="E185" t="s">
        <v>595</v>
      </c>
      <c r="F185" t="s">
        <v>593</v>
      </c>
      <c r="G185" t="s">
        <v>526</v>
      </c>
      <c r="H185" t="s">
        <v>458</v>
      </c>
      <c r="I185" t="s">
        <v>374</v>
      </c>
      <c r="J185" t="s">
        <v>594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521</v>
      </c>
      <c r="B186" t="s">
        <v>591</v>
      </c>
      <c r="C186" t="s">
        <v>368</v>
      </c>
      <c r="D186" t="s">
        <v>523</v>
      </c>
      <c r="E186" t="s">
        <v>596</v>
      </c>
      <c r="F186" t="s">
        <v>593</v>
      </c>
      <c r="G186" t="s">
        <v>526</v>
      </c>
      <c r="H186" t="s">
        <v>458</v>
      </c>
      <c r="I186" t="s">
        <v>374</v>
      </c>
      <c r="J186" t="s">
        <v>594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521</v>
      </c>
      <c r="B187" t="s">
        <v>591</v>
      </c>
      <c r="C187" t="s">
        <v>368</v>
      </c>
      <c r="D187" t="s">
        <v>523</v>
      </c>
      <c r="E187" t="s">
        <v>597</v>
      </c>
      <c r="F187" t="s">
        <v>593</v>
      </c>
      <c r="G187" t="s">
        <v>526</v>
      </c>
      <c r="H187" t="s">
        <v>458</v>
      </c>
      <c r="I187" t="s">
        <v>374</v>
      </c>
      <c r="J187" t="s">
        <v>594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521</v>
      </c>
      <c r="B188" t="s">
        <v>591</v>
      </c>
      <c r="C188" t="s">
        <v>368</v>
      </c>
      <c r="D188" t="s">
        <v>523</v>
      </c>
      <c r="E188" t="s">
        <v>598</v>
      </c>
      <c r="F188" t="s">
        <v>593</v>
      </c>
      <c r="G188" t="s">
        <v>526</v>
      </c>
      <c r="H188" t="s">
        <v>458</v>
      </c>
      <c r="I188" t="s">
        <v>374</v>
      </c>
      <c r="J188" t="s">
        <v>594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521</v>
      </c>
      <c r="B189" t="s">
        <v>591</v>
      </c>
      <c r="C189" t="s">
        <v>368</v>
      </c>
      <c r="D189" t="s">
        <v>523</v>
      </c>
      <c r="E189" t="s">
        <v>599</v>
      </c>
      <c r="F189" t="s">
        <v>593</v>
      </c>
      <c r="G189" t="s">
        <v>526</v>
      </c>
      <c r="H189" t="s">
        <v>458</v>
      </c>
      <c r="I189" t="s">
        <v>374</v>
      </c>
      <c r="J189" t="s">
        <v>594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521</v>
      </c>
      <c r="B190" t="s">
        <v>591</v>
      </c>
      <c r="C190" t="s">
        <v>368</v>
      </c>
      <c r="D190" t="s">
        <v>523</v>
      </c>
      <c r="E190" t="s">
        <v>600</v>
      </c>
      <c r="F190" t="s">
        <v>593</v>
      </c>
      <c r="G190" t="s">
        <v>526</v>
      </c>
      <c r="H190" t="s">
        <v>458</v>
      </c>
      <c r="I190" t="s">
        <v>374</v>
      </c>
      <c r="J190" t="s">
        <v>594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521</v>
      </c>
      <c r="B191" t="s">
        <v>591</v>
      </c>
      <c r="C191" t="s">
        <v>368</v>
      </c>
      <c r="D191" t="s">
        <v>523</v>
      </c>
      <c r="E191" t="s">
        <v>601</v>
      </c>
      <c r="F191" t="s">
        <v>593</v>
      </c>
      <c r="G191" t="s">
        <v>526</v>
      </c>
      <c r="H191" t="s">
        <v>458</v>
      </c>
      <c r="I191" t="s">
        <v>374</v>
      </c>
      <c r="J191" t="s">
        <v>594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521</v>
      </c>
      <c r="B192" t="s">
        <v>591</v>
      </c>
      <c r="C192" t="s">
        <v>368</v>
      </c>
      <c r="D192" t="s">
        <v>523</v>
      </c>
      <c r="E192" t="s">
        <v>602</v>
      </c>
      <c r="F192" t="s">
        <v>593</v>
      </c>
      <c r="G192" t="s">
        <v>526</v>
      </c>
      <c r="H192" t="s">
        <v>458</v>
      </c>
      <c r="I192" t="s">
        <v>374</v>
      </c>
      <c r="J192" t="s">
        <v>594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521</v>
      </c>
      <c r="B193" t="s">
        <v>591</v>
      </c>
      <c r="C193" t="s">
        <v>368</v>
      </c>
      <c r="D193" t="s">
        <v>523</v>
      </c>
      <c r="E193" t="s">
        <v>603</v>
      </c>
      <c r="F193" t="s">
        <v>593</v>
      </c>
      <c r="G193" t="s">
        <v>526</v>
      </c>
      <c r="H193" t="s">
        <v>458</v>
      </c>
      <c r="I193" t="s">
        <v>374</v>
      </c>
      <c r="J193" t="s">
        <v>594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521</v>
      </c>
      <c r="B194" t="s">
        <v>591</v>
      </c>
      <c r="C194" t="s">
        <v>368</v>
      </c>
      <c r="D194" t="s">
        <v>523</v>
      </c>
      <c r="E194" t="s">
        <v>604</v>
      </c>
      <c r="F194" t="s">
        <v>593</v>
      </c>
      <c r="G194" t="s">
        <v>526</v>
      </c>
      <c r="H194" t="s">
        <v>458</v>
      </c>
      <c r="I194" t="s">
        <v>374</v>
      </c>
      <c r="J194" t="s">
        <v>594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521</v>
      </c>
      <c r="B195" t="s">
        <v>591</v>
      </c>
      <c r="C195" t="s">
        <v>368</v>
      </c>
      <c r="D195" t="s">
        <v>523</v>
      </c>
      <c r="E195" t="s">
        <v>605</v>
      </c>
      <c r="F195" t="s">
        <v>593</v>
      </c>
      <c r="G195" t="s">
        <v>526</v>
      </c>
      <c r="H195" t="s">
        <v>458</v>
      </c>
      <c r="I195" t="s">
        <v>374</v>
      </c>
      <c r="J195" t="s">
        <v>594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521</v>
      </c>
      <c r="B196" t="s">
        <v>591</v>
      </c>
      <c r="C196" t="s">
        <v>368</v>
      </c>
      <c r="D196" t="s">
        <v>523</v>
      </c>
      <c r="E196" t="s">
        <v>606</v>
      </c>
      <c r="F196" t="s">
        <v>593</v>
      </c>
      <c r="G196" t="s">
        <v>526</v>
      </c>
      <c r="H196" t="s">
        <v>458</v>
      </c>
      <c r="I196" t="s">
        <v>374</v>
      </c>
      <c r="J196" t="s">
        <v>594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521</v>
      </c>
      <c r="B197" t="s">
        <v>591</v>
      </c>
      <c r="C197" t="s">
        <v>368</v>
      </c>
      <c r="D197" t="s">
        <v>523</v>
      </c>
      <c r="E197" t="s">
        <v>607</v>
      </c>
      <c r="F197" t="s">
        <v>593</v>
      </c>
      <c r="G197" t="s">
        <v>526</v>
      </c>
      <c r="H197" t="s">
        <v>458</v>
      </c>
      <c r="I197" t="s">
        <v>374</v>
      </c>
      <c r="J197" t="s">
        <v>594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521</v>
      </c>
      <c r="B198" t="s">
        <v>591</v>
      </c>
      <c r="C198" t="s">
        <v>368</v>
      </c>
      <c r="D198" t="s">
        <v>523</v>
      </c>
      <c r="E198" t="s">
        <v>608</v>
      </c>
      <c r="F198" t="s">
        <v>593</v>
      </c>
      <c r="G198" t="s">
        <v>526</v>
      </c>
      <c r="H198" t="s">
        <v>458</v>
      </c>
      <c r="I198" t="s">
        <v>374</v>
      </c>
      <c r="J198" t="s">
        <v>594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521</v>
      </c>
      <c r="B199" t="s">
        <v>591</v>
      </c>
      <c r="C199" t="s">
        <v>609</v>
      </c>
      <c r="D199" t="s">
        <v>523</v>
      </c>
      <c r="E199" t="s">
        <v>610</v>
      </c>
      <c r="F199" t="s">
        <v>593</v>
      </c>
      <c r="G199" t="s">
        <v>526</v>
      </c>
      <c r="H199" t="s">
        <v>458</v>
      </c>
      <c r="I199" t="s">
        <v>374</v>
      </c>
      <c r="J199" t="s">
        <v>594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521</v>
      </c>
      <c r="B200" t="s">
        <v>591</v>
      </c>
      <c r="C200" t="s">
        <v>609</v>
      </c>
      <c r="D200" t="s">
        <v>523</v>
      </c>
      <c r="E200" t="s">
        <v>611</v>
      </c>
      <c r="F200" t="s">
        <v>593</v>
      </c>
      <c r="G200" t="s">
        <v>526</v>
      </c>
      <c r="H200" t="s">
        <v>458</v>
      </c>
      <c r="I200" t="s">
        <v>374</v>
      </c>
      <c r="J200" t="s">
        <v>594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521</v>
      </c>
      <c r="B201" t="s">
        <v>591</v>
      </c>
      <c r="C201" t="s">
        <v>609</v>
      </c>
      <c r="D201" t="s">
        <v>523</v>
      </c>
      <c r="E201" t="s">
        <v>612</v>
      </c>
      <c r="F201" t="s">
        <v>593</v>
      </c>
      <c r="G201" t="s">
        <v>526</v>
      </c>
      <c r="H201" t="s">
        <v>458</v>
      </c>
      <c r="I201" t="s">
        <v>374</v>
      </c>
      <c r="J201" t="s">
        <v>594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521</v>
      </c>
      <c r="B202" t="s">
        <v>591</v>
      </c>
      <c r="C202" t="s">
        <v>609</v>
      </c>
      <c r="D202" t="s">
        <v>523</v>
      </c>
      <c r="E202" t="s">
        <v>613</v>
      </c>
      <c r="F202" t="s">
        <v>593</v>
      </c>
      <c r="G202" t="s">
        <v>526</v>
      </c>
      <c r="H202" t="s">
        <v>458</v>
      </c>
      <c r="I202" t="s">
        <v>374</v>
      </c>
      <c r="J202" t="s">
        <v>594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521</v>
      </c>
      <c r="B203" t="s">
        <v>591</v>
      </c>
      <c r="C203" t="s">
        <v>368</v>
      </c>
      <c r="D203" t="s">
        <v>523</v>
      </c>
      <c r="E203" t="s">
        <v>614</v>
      </c>
      <c r="F203" t="s">
        <v>593</v>
      </c>
      <c r="G203" t="s">
        <v>526</v>
      </c>
      <c r="H203" t="s">
        <v>458</v>
      </c>
      <c r="I203" t="s">
        <v>374</v>
      </c>
      <c r="J203" t="s">
        <v>594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521</v>
      </c>
      <c r="B204" t="s">
        <v>591</v>
      </c>
      <c r="C204" t="s">
        <v>368</v>
      </c>
      <c r="D204" t="s">
        <v>523</v>
      </c>
      <c r="E204" t="s">
        <v>615</v>
      </c>
      <c r="F204" t="s">
        <v>593</v>
      </c>
      <c r="G204" t="s">
        <v>526</v>
      </c>
      <c r="H204" t="s">
        <v>458</v>
      </c>
      <c r="I204" t="s">
        <v>374</v>
      </c>
      <c r="J204" t="s">
        <v>594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616</v>
      </c>
      <c r="B205" t="s">
        <v>617</v>
      </c>
      <c r="C205" t="s">
        <v>368</v>
      </c>
      <c r="D205" t="s">
        <v>523</v>
      </c>
      <c r="E205" t="s">
        <v>618</v>
      </c>
      <c r="F205" t="s">
        <v>619</v>
      </c>
      <c r="G205" t="s">
        <v>616</v>
      </c>
      <c r="H205" t="s">
        <v>409</v>
      </c>
      <c r="I205" t="s">
        <v>374</v>
      </c>
      <c r="J205" t="s">
        <v>386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616</v>
      </c>
      <c r="B206" t="s">
        <v>617</v>
      </c>
      <c r="C206" t="s">
        <v>368</v>
      </c>
      <c r="D206" t="s">
        <v>523</v>
      </c>
      <c r="E206" t="s">
        <v>620</v>
      </c>
      <c r="F206" t="s">
        <v>619</v>
      </c>
      <c r="G206" t="s">
        <v>616</v>
      </c>
      <c r="H206" t="s">
        <v>409</v>
      </c>
      <c r="I206" t="s">
        <v>374</v>
      </c>
      <c r="J206" t="s">
        <v>386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616</v>
      </c>
      <c r="B207" t="s">
        <v>617</v>
      </c>
      <c r="C207" t="s">
        <v>368</v>
      </c>
      <c r="D207" t="s">
        <v>523</v>
      </c>
      <c r="E207" t="s">
        <v>621</v>
      </c>
      <c r="F207" t="s">
        <v>619</v>
      </c>
      <c r="G207" t="s">
        <v>616</v>
      </c>
      <c r="H207" t="s">
        <v>409</v>
      </c>
      <c r="I207" t="s">
        <v>374</v>
      </c>
      <c r="J207" t="s">
        <v>386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616</v>
      </c>
      <c r="B208" t="s">
        <v>617</v>
      </c>
      <c r="C208" t="s">
        <v>368</v>
      </c>
      <c r="D208" t="s">
        <v>523</v>
      </c>
      <c r="E208" t="s">
        <v>622</v>
      </c>
      <c r="F208" t="s">
        <v>619</v>
      </c>
      <c r="G208" t="s">
        <v>616</v>
      </c>
      <c r="H208" t="s">
        <v>409</v>
      </c>
      <c r="I208" t="s">
        <v>374</v>
      </c>
      <c r="J208" t="s">
        <v>386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616</v>
      </c>
      <c r="B209" t="s">
        <v>617</v>
      </c>
      <c r="C209" t="s">
        <v>368</v>
      </c>
      <c r="D209" t="s">
        <v>523</v>
      </c>
      <c r="E209" t="s">
        <v>623</v>
      </c>
      <c r="F209" t="s">
        <v>619</v>
      </c>
      <c r="G209" t="s">
        <v>616</v>
      </c>
      <c r="H209" t="s">
        <v>409</v>
      </c>
      <c r="I209" t="s">
        <v>374</v>
      </c>
      <c r="J209" t="s">
        <v>386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616</v>
      </c>
      <c r="B210" t="s">
        <v>617</v>
      </c>
      <c r="C210" t="s">
        <v>368</v>
      </c>
      <c r="D210" t="s">
        <v>523</v>
      </c>
      <c r="E210" t="s">
        <v>624</v>
      </c>
      <c r="F210" t="s">
        <v>619</v>
      </c>
      <c r="G210" t="s">
        <v>616</v>
      </c>
      <c r="H210" t="s">
        <v>409</v>
      </c>
      <c r="I210" t="s">
        <v>374</v>
      </c>
      <c r="J210" t="s">
        <v>386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616</v>
      </c>
      <c r="B211" t="s">
        <v>617</v>
      </c>
      <c r="C211" t="s">
        <v>368</v>
      </c>
      <c r="D211" t="s">
        <v>523</v>
      </c>
      <c r="E211" t="s">
        <v>625</v>
      </c>
      <c r="F211" t="s">
        <v>619</v>
      </c>
      <c r="G211" t="s">
        <v>616</v>
      </c>
      <c r="H211" t="s">
        <v>409</v>
      </c>
      <c r="I211" t="s">
        <v>374</v>
      </c>
      <c r="J211" t="s">
        <v>386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616</v>
      </c>
      <c r="B212" t="s">
        <v>617</v>
      </c>
      <c r="C212" t="s">
        <v>368</v>
      </c>
      <c r="D212" t="s">
        <v>523</v>
      </c>
      <c r="E212" t="s">
        <v>626</v>
      </c>
      <c r="F212" t="s">
        <v>619</v>
      </c>
      <c r="G212" t="s">
        <v>616</v>
      </c>
      <c r="H212" t="s">
        <v>409</v>
      </c>
      <c r="I212" t="s">
        <v>374</v>
      </c>
      <c r="J212" t="s">
        <v>386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616</v>
      </c>
      <c r="B213" t="s">
        <v>617</v>
      </c>
      <c r="C213" t="s">
        <v>368</v>
      </c>
      <c r="D213" t="s">
        <v>523</v>
      </c>
      <c r="E213" t="s">
        <v>627</v>
      </c>
      <c r="F213" t="s">
        <v>619</v>
      </c>
      <c r="G213" t="s">
        <v>616</v>
      </c>
      <c r="H213" t="s">
        <v>409</v>
      </c>
      <c r="I213" t="s">
        <v>374</v>
      </c>
      <c r="J213" t="s">
        <v>386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616</v>
      </c>
      <c r="B214" t="s">
        <v>617</v>
      </c>
      <c r="C214" t="s">
        <v>368</v>
      </c>
      <c r="D214" t="s">
        <v>523</v>
      </c>
      <c r="E214" t="s">
        <v>628</v>
      </c>
      <c r="F214" t="s">
        <v>619</v>
      </c>
      <c r="G214" t="s">
        <v>616</v>
      </c>
      <c r="H214" t="s">
        <v>409</v>
      </c>
      <c r="I214" t="s">
        <v>374</v>
      </c>
      <c r="J214" t="s">
        <v>386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616</v>
      </c>
      <c r="B215" t="s">
        <v>617</v>
      </c>
      <c r="C215" t="s">
        <v>368</v>
      </c>
      <c r="D215" t="s">
        <v>523</v>
      </c>
      <c r="E215" t="s">
        <v>629</v>
      </c>
      <c r="F215" t="s">
        <v>619</v>
      </c>
      <c r="G215" t="s">
        <v>616</v>
      </c>
      <c r="H215" t="s">
        <v>409</v>
      </c>
      <c r="I215" t="s">
        <v>374</v>
      </c>
      <c r="J215" t="s">
        <v>386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616</v>
      </c>
      <c r="B216" t="s">
        <v>617</v>
      </c>
      <c r="C216" t="s">
        <v>368</v>
      </c>
      <c r="D216" t="s">
        <v>523</v>
      </c>
      <c r="E216" t="s">
        <v>630</v>
      </c>
      <c r="F216" t="s">
        <v>619</v>
      </c>
      <c r="G216" t="s">
        <v>616</v>
      </c>
      <c r="H216" t="s">
        <v>409</v>
      </c>
      <c r="I216" t="s">
        <v>374</v>
      </c>
      <c r="J216" t="s">
        <v>386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616</v>
      </c>
      <c r="B217" t="s">
        <v>617</v>
      </c>
      <c r="C217" t="s">
        <v>368</v>
      </c>
      <c r="D217" t="s">
        <v>523</v>
      </c>
      <c r="E217" t="s">
        <v>631</v>
      </c>
      <c r="F217" t="s">
        <v>619</v>
      </c>
      <c r="G217" t="s">
        <v>616</v>
      </c>
      <c r="H217" t="s">
        <v>409</v>
      </c>
      <c r="I217" t="s">
        <v>374</v>
      </c>
      <c r="J217" t="s">
        <v>386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616</v>
      </c>
      <c r="B218" t="s">
        <v>617</v>
      </c>
      <c r="C218" t="s">
        <v>368</v>
      </c>
      <c r="D218" t="s">
        <v>523</v>
      </c>
      <c r="E218" t="s">
        <v>632</v>
      </c>
      <c r="F218" t="s">
        <v>619</v>
      </c>
      <c r="G218" t="s">
        <v>616</v>
      </c>
      <c r="H218" t="s">
        <v>409</v>
      </c>
      <c r="I218" t="s">
        <v>374</v>
      </c>
      <c r="J218" t="s">
        <v>386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616</v>
      </c>
      <c r="B219" t="s">
        <v>617</v>
      </c>
      <c r="C219" t="s">
        <v>368</v>
      </c>
      <c r="D219" t="s">
        <v>523</v>
      </c>
      <c r="E219" t="s">
        <v>633</v>
      </c>
      <c r="F219" t="s">
        <v>619</v>
      </c>
      <c r="G219" t="s">
        <v>616</v>
      </c>
      <c r="H219" t="s">
        <v>409</v>
      </c>
      <c r="I219" t="s">
        <v>374</v>
      </c>
      <c r="J219" t="s">
        <v>386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616</v>
      </c>
      <c r="B220" t="s">
        <v>617</v>
      </c>
      <c r="C220" t="s">
        <v>609</v>
      </c>
      <c r="D220" t="s">
        <v>523</v>
      </c>
      <c r="E220" t="s">
        <v>634</v>
      </c>
      <c r="F220" t="s">
        <v>619</v>
      </c>
      <c r="G220" t="s">
        <v>616</v>
      </c>
      <c r="H220" t="s">
        <v>409</v>
      </c>
      <c r="I220" t="s">
        <v>374</v>
      </c>
      <c r="J220" t="s">
        <v>386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616</v>
      </c>
      <c r="B221" t="s">
        <v>617</v>
      </c>
      <c r="C221" t="s">
        <v>609</v>
      </c>
      <c r="D221" t="s">
        <v>523</v>
      </c>
      <c r="E221" t="s">
        <v>635</v>
      </c>
      <c r="F221" t="s">
        <v>619</v>
      </c>
      <c r="G221" t="s">
        <v>616</v>
      </c>
      <c r="H221" t="s">
        <v>409</v>
      </c>
      <c r="I221" t="s">
        <v>374</v>
      </c>
      <c r="J221" t="s">
        <v>386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616</v>
      </c>
      <c r="B222" t="s">
        <v>617</v>
      </c>
      <c r="C222" t="s">
        <v>609</v>
      </c>
      <c r="D222" t="s">
        <v>523</v>
      </c>
      <c r="E222" t="s">
        <v>636</v>
      </c>
      <c r="F222" t="s">
        <v>619</v>
      </c>
      <c r="G222" t="s">
        <v>616</v>
      </c>
      <c r="H222" t="s">
        <v>409</v>
      </c>
      <c r="I222" t="s">
        <v>374</v>
      </c>
      <c r="J222" t="s">
        <v>386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616</v>
      </c>
      <c r="B223" t="s">
        <v>617</v>
      </c>
      <c r="C223" t="s">
        <v>609</v>
      </c>
      <c r="D223" t="s">
        <v>523</v>
      </c>
      <c r="E223" t="s">
        <v>637</v>
      </c>
      <c r="F223" t="s">
        <v>619</v>
      </c>
      <c r="G223" t="s">
        <v>616</v>
      </c>
      <c r="H223" t="s">
        <v>409</v>
      </c>
      <c r="I223" t="s">
        <v>374</v>
      </c>
      <c r="J223" t="s">
        <v>386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616</v>
      </c>
      <c r="B224" t="s">
        <v>617</v>
      </c>
      <c r="C224" t="s">
        <v>609</v>
      </c>
      <c r="D224" t="s">
        <v>523</v>
      </c>
      <c r="E224" t="s">
        <v>638</v>
      </c>
      <c r="F224" t="s">
        <v>619</v>
      </c>
      <c r="G224" t="s">
        <v>616</v>
      </c>
      <c r="H224" t="s">
        <v>409</v>
      </c>
      <c r="I224" t="s">
        <v>374</v>
      </c>
      <c r="J224" t="s">
        <v>386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616</v>
      </c>
      <c r="B225" t="s">
        <v>617</v>
      </c>
      <c r="C225" t="s">
        <v>368</v>
      </c>
      <c r="D225" t="s">
        <v>523</v>
      </c>
      <c r="E225" t="s">
        <v>639</v>
      </c>
      <c r="F225" t="s">
        <v>619</v>
      </c>
      <c r="G225" t="s">
        <v>616</v>
      </c>
      <c r="H225" t="s">
        <v>409</v>
      </c>
      <c r="I225" t="s">
        <v>374</v>
      </c>
      <c r="J225" t="s">
        <v>386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616</v>
      </c>
      <c r="B226" t="s">
        <v>617</v>
      </c>
      <c r="C226" t="s">
        <v>368</v>
      </c>
      <c r="D226" t="s">
        <v>523</v>
      </c>
      <c r="E226" t="s">
        <v>640</v>
      </c>
      <c r="F226" t="s">
        <v>619</v>
      </c>
      <c r="G226" t="s">
        <v>616</v>
      </c>
      <c r="H226" t="s">
        <v>409</v>
      </c>
      <c r="I226" t="s">
        <v>374</v>
      </c>
      <c r="J226" t="s">
        <v>386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616</v>
      </c>
      <c r="B227" t="s">
        <v>617</v>
      </c>
      <c r="C227" t="s">
        <v>368</v>
      </c>
      <c r="D227" t="s">
        <v>523</v>
      </c>
      <c r="E227" t="s">
        <v>641</v>
      </c>
      <c r="F227" t="s">
        <v>642</v>
      </c>
      <c r="G227" t="s">
        <v>616</v>
      </c>
      <c r="H227" t="s">
        <v>373</v>
      </c>
      <c r="I227" t="s">
        <v>374</v>
      </c>
      <c r="J227" t="s">
        <v>386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616</v>
      </c>
      <c r="B228" t="s">
        <v>617</v>
      </c>
      <c r="C228" t="s">
        <v>368</v>
      </c>
      <c r="D228" t="s">
        <v>523</v>
      </c>
      <c r="E228" t="s">
        <v>643</v>
      </c>
      <c r="F228" t="s">
        <v>642</v>
      </c>
      <c r="G228" t="s">
        <v>616</v>
      </c>
      <c r="H228" t="s">
        <v>373</v>
      </c>
      <c r="I228" t="s">
        <v>374</v>
      </c>
      <c r="J228" t="s">
        <v>386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616</v>
      </c>
      <c r="B229" t="s">
        <v>617</v>
      </c>
      <c r="C229" t="s">
        <v>368</v>
      </c>
      <c r="D229" t="s">
        <v>523</v>
      </c>
      <c r="E229" t="s">
        <v>644</v>
      </c>
      <c r="F229" t="s">
        <v>642</v>
      </c>
      <c r="G229" t="s">
        <v>616</v>
      </c>
      <c r="H229" t="s">
        <v>373</v>
      </c>
      <c r="I229" t="s">
        <v>374</v>
      </c>
      <c r="J229" t="s">
        <v>386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616</v>
      </c>
      <c r="B230" t="s">
        <v>617</v>
      </c>
      <c r="C230" t="s">
        <v>368</v>
      </c>
      <c r="D230" t="s">
        <v>523</v>
      </c>
      <c r="E230" t="s">
        <v>645</v>
      </c>
      <c r="F230" t="s">
        <v>642</v>
      </c>
      <c r="G230" t="s">
        <v>616</v>
      </c>
      <c r="H230" t="s">
        <v>373</v>
      </c>
      <c r="I230" t="s">
        <v>374</v>
      </c>
      <c r="J230" t="s">
        <v>386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616</v>
      </c>
      <c r="B231" t="s">
        <v>617</v>
      </c>
      <c r="C231" t="s">
        <v>368</v>
      </c>
      <c r="D231" t="s">
        <v>523</v>
      </c>
      <c r="E231" t="s">
        <v>646</v>
      </c>
      <c r="F231" t="s">
        <v>642</v>
      </c>
      <c r="G231" t="s">
        <v>616</v>
      </c>
      <c r="H231" t="s">
        <v>373</v>
      </c>
      <c r="I231" t="s">
        <v>374</v>
      </c>
      <c r="J231" t="s">
        <v>386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616</v>
      </c>
      <c r="B232" t="s">
        <v>617</v>
      </c>
      <c r="C232" t="s">
        <v>368</v>
      </c>
      <c r="D232" t="s">
        <v>523</v>
      </c>
      <c r="E232" t="s">
        <v>647</v>
      </c>
      <c r="F232" t="s">
        <v>642</v>
      </c>
      <c r="G232" t="s">
        <v>616</v>
      </c>
      <c r="H232" t="s">
        <v>373</v>
      </c>
      <c r="I232" t="s">
        <v>374</v>
      </c>
      <c r="J232" t="s">
        <v>386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616</v>
      </c>
      <c r="B233" t="s">
        <v>617</v>
      </c>
      <c r="C233" t="s">
        <v>368</v>
      </c>
      <c r="D233" t="s">
        <v>523</v>
      </c>
      <c r="E233" t="s">
        <v>648</v>
      </c>
      <c r="F233" t="s">
        <v>642</v>
      </c>
      <c r="G233" t="s">
        <v>616</v>
      </c>
      <c r="H233" t="s">
        <v>373</v>
      </c>
      <c r="I233" t="s">
        <v>374</v>
      </c>
      <c r="J233" t="s">
        <v>386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616</v>
      </c>
      <c r="B234" t="s">
        <v>617</v>
      </c>
      <c r="C234" t="s">
        <v>368</v>
      </c>
      <c r="D234" t="s">
        <v>523</v>
      </c>
      <c r="E234" t="s">
        <v>649</v>
      </c>
      <c r="F234" t="s">
        <v>642</v>
      </c>
      <c r="G234" t="s">
        <v>616</v>
      </c>
      <c r="H234" t="s">
        <v>373</v>
      </c>
      <c r="I234" t="s">
        <v>374</v>
      </c>
      <c r="J234" t="s">
        <v>386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616</v>
      </c>
      <c r="B235" t="s">
        <v>617</v>
      </c>
      <c r="C235" t="s">
        <v>368</v>
      </c>
      <c r="D235" t="s">
        <v>523</v>
      </c>
      <c r="E235" t="s">
        <v>650</v>
      </c>
      <c r="F235" t="s">
        <v>642</v>
      </c>
      <c r="G235" t="s">
        <v>616</v>
      </c>
      <c r="H235" t="s">
        <v>373</v>
      </c>
      <c r="I235" t="s">
        <v>374</v>
      </c>
      <c r="J235" t="s">
        <v>386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616</v>
      </c>
      <c r="B236" t="s">
        <v>617</v>
      </c>
      <c r="C236" t="s">
        <v>368</v>
      </c>
      <c r="D236" t="s">
        <v>523</v>
      </c>
      <c r="E236" t="s">
        <v>651</v>
      </c>
      <c r="F236" t="s">
        <v>642</v>
      </c>
      <c r="G236" t="s">
        <v>616</v>
      </c>
      <c r="H236" t="s">
        <v>373</v>
      </c>
      <c r="I236" t="s">
        <v>374</v>
      </c>
      <c r="J236" t="s">
        <v>386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616</v>
      </c>
      <c r="B237" t="s">
        <v>617</v>
      </c>
      <c r="C237" t="s">
        <v>368</v>
      </c>
      <c r="D237" t="s">
        <v>523</v>
      </c>
      <c r="E237" t="s">
        <v>652</v>
      </c>
      <c r="F237" t="s">
        <v>642</v>
      </c>
      <c r="G237" t="s">
        <v>616</v>
      </c>
      <c r="H237" t="s">
        <v>373</v>
      </c>
      <c r="I237" t="s">
        <v>374</v>
      </c>
      <c r="J237" t="s">
        <v>386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616</v>
      </c>
      <c r="B238" t="s">
        <v>617</v>
      </c>
      <c r="C238" t="s">
        <v>368</v>
      </c>
      <c r="D238" t="s">
        <v>523</v>
      </c>
      <c r="E238" t="s">
        <v>653</v>
      </c>
      <c r="F238" t="s">
        <v>642</v>
      </c>
      <c r="G238" t="s">
        <v>616</v>
      </c>
      <c r="H238" t="s">
        <v>373</v>
      </c>
      <c r="I238" t="s">
        <v>374</v>
      </c>
      <c r="J238" t="s">
        <v>386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616</v>
      </c>
      <c r="B239" t="s">
        <v>617</v>
      </c>
      <c r="C239" t="s">
        <v>368</v>
      </c>
      <c r="D239" t="s">
        <v>523</v>
      </c>
      <c r="E239" t="s">
        <v>654</v>
      </c>
      <c r="F239" t="s">
        <v>642</v>
      </c>
      <c r="G239" t="s">
        <v>616</v>
      </c>
      <c r="H239" t="s">
        <v>373</v>
      </c>
      <c r="I239" t="s">
        <v>374</v>
      </c>
      <c r="J239" t="s">
        <v>386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616</v>
      </c>
      <c r="B240" t="s">
        <v>617</v>
      </c>
      <c r="C240" t="s">
        <v>368</v>
      </c>
      <c r="D240" t="s">
        <v>523</v>
      </c>
      <c r="E240" t="s">
        <v>655</v>
      </c>
      <c r="F240" t="s">
        <v>642</v>
      </c>
      <c r="G240" t="s">
        <v>616</v>
      </c>
      <c r="H240" t="s">
        <v>373</v>
      </c>
      <c r="I240" t="s">
        <v>374</v>
      </c>
      <c r="J240" t="s">
        <v>386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616</v>
      </c>
      <c r="B241" t="s">
        <v>617</v>
      </c>
      <c r="C241" t="s">
        <v>368</v>
      </c>
      <c r="D241" t="s">
        <v>523</v>
      </c>
      <c r="E241" t="s">
        <v>656</v>
      </c>
      <c r="F241" t="s">
        <v>642</v>
      </c>
      <c r="G241" t="s">
        <v>616</v>
      </c>
      <c r="H241" t="s">
        <v>373</v>
      </c>
      <c r="I241" t="s">
        <v>374</v>
      </c>
      <c r="J241" t="s">
        <v>386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616</v>
      </c>
      <c r="B242" t="s">
        <v>617</v>
      </c>
      <c r="C242" t="s">
        <v>609</v>
      </c>
      <c r="D242" t="s">
        <v>523</v>
      </c>
      <c r="E242" t="s">
        <v>657</v>
      </c>
      <c r="F242" t="s">
        <v>642</v>
      </c>
      <c r="G242" t="s">
        <v>616</v>
      </c>
      <c r="H242" t="s">
        <v>373</v>
      </c>
      <c r="I242" t="s">
        <v>374</v>
      </c>
      <c r="J242" t="s">
        <v>386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616</v>
      </c>
      <c r="B243" t="s">
        <v>617</v>
      </c>
      <c r="C243" t="s">
        <v>609</v>
      </c>
      <c r="D243" t="s">
        <v>523</v>
      </c>
      <c r="E243" t="s">
        <v>658</v>
      </c>
      <c r="F243" t="s">
        <v>642</v>
      </c>
      <c r="G243" t="s">
        <v>616</v>
      </c>
      <c r="H243" t="s">
        <v>373</v>
      </c>
      <c r="I243" t="s">
        <v>374</v>
      </c>
      <c r="J243" t="s">
        <v>386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616</v>
      </c>
      <c r="B244" t="s">
        <v>617</v>
      </c>
      <c r="C244" t="s">
        <v>609</v>
      </c>
      <c r="D244" t="s">
        <v>523</v>
      </c>
      <c r="E244" t="s">
        <v>659</v>
      </c>
      <c r="F244" t="s">
        <v>642</v>
      </c>
      <c r="G244" t="s">
        <v>616</v>
      </c>
      <c r="H244" t="s">
        <v>373</v>
      </c>
      <c r="I244" t="s">
        <v>374</v>
      </c>
      <c r="J244" t="s">
        <v>386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616</v>
      </c>
      <c r="B245" t="s">
        <v>617</v>
      </c>
      <c r="C245" t="s">
        <v>609</v>
      </c>
      <c r="D245" t="s">
        <v>523</v>
      </c>
      <c r="E245" t="s">
        <v>660</v>
      </c>
      <c r="F245" t="s">
        <v>642</v>
      </c>
      <c r="G245" t="s">
        <v>616</v>
      </c>
      <c r="H245" t="s">
        <v>373</v>
      </c>
      <c r="I245" t="s">
        <v>374</v>
      </c>
      <c r="J245" t="s">
        <v>386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616</v>
      </c>
      <c r="B246" t="s">
        <v>617</v>
      </c>
      <c r="C246" t="s">
        <v>609</v>
      </c>
      <c r="D246" t="s">
        <v>523</v>
      </c>
      <c r="E246" t="s">
        <v>661</v>
      </c>
      <c r="F246" t="s">
        <v>642</v>
      </c>
      <c r="G246" t="s">
        <v>616</v>
      </c>
      <c r="H246" t="s">
        <v>373</v>
      </c>
      <c r="I246" t="s">
        <v>374</v>
      </c>
      <c r="J246" t="s">
        <v>386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616</v>
      </c>
      <c r="B247" t="s">
        <v>617</v>
      </c>
      <c r="C247" t="s">
        <v>368</v>
      </c>
      <c r="D247" t="s">
        <v>523</v>
      </c>
      <c r="E247" t="s">
        <v>662</v>
      </c>
      <c r="F247" t="s">
        <v>642</v>
      </c>
      <c r="G247" t="s">
        <v>616</v>
      </c>
      <c r="H247" t="s">
        <v>373</v>
      </c>
      <c r="I247" t="s">
        <v>374</v>
      </c>
      <c r="J247" t="s">
        <v>386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616</v>
      </c>
      <c r="B248" t="s">
        <v>617</v>
      </c>
      <c r="C248" t="s">
        <v>368</v>
      </c>
      <c r="D248" t="s">
        <v>523</v>
      </c>
      <c r="E248" t="s">
        <v>663</v>
      </c>
      <c r="F248" t="s">
        <v>642</v>
      </c>
      <c r="G248" t="s">
        <v>616</v>
      </c>
      <c r="H248" t="s">
        <v>373</v>
      </c>
      <c r="I248" t="s">
        <v>374</v>
      </c>
      <c r="J248" t="s">
        <v>386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616</v>
      </c>
      <c r="B249" t="s">
        <v>664</v>
      </c>
      <c r="C249" t="s">
        <v>368</v>
      </c>
      <c r="D249" t="s">
        <v>523</v>
      </c>
      <c r="E249" t="s">
        <v>665</v>
      </c>
      <c r="F249" t="s">
        <v>666</v>
      </c>
      <c r="G249" t="s">
        <v>616</v>
      </c>
      <c r="H249" t="s">
        <v>458</v>
      </c>
      <c r="I249" t="s">
        <v>374</v>
      </c>
      <c r="J249" t="s">
        <v>667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616</v>
      </c>
      <c r="B250" t="s">
        <v>664</v>
      </c>
      <c r="C250" t="s">
        <v>368</v>
      </c>
      <c r="D250" t="s">
        <v>523</v>
      </c>
      <c r="E250" t="s">
        <v>668</v>
      </c>
      <c r="F250" t="s">
        <v>666</v>
      </c>
      <c r="G250" t="s">
        <v>616</v>
      </c>
      <c r="H250" t="s">
        <v>458</v>
      </c>
      <c r="I250" t="s">
        <v>374</v>
      </c>
      <c r="J250" t="s">
        <v>667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616</v>
      </c>
      <c r="B251" t="s">
        <v>664</v>
      </c>
      <c r="C251" t="s">
        <v>368</v>
      </c>
      <c r="D251" t="s">
        <v>523</v>
      </c>
      <c r="E251" t="s">
        <v>669</v>
      </c>
      <c r="F251" t="s">
        <v>666</v>
      </c>
      <c r="G251" t="s">
        <v>616</v>
      </c>
      <c r="H251" t="s">
        <v>458</v>
      </c>
      <c r="I251" t="s">
        <v>374</v>
      </c>
      <c r="J251" t="s">
        <v>667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616</v>
      </c>
      <c r="B252" t="s">
        <v>664</v>
      </c>
      <c r="C252" t="s">
        <v>368</v>
      </c>
      <c r="D252" t="s">
        <v>523</v>
      </c>
      <c r="E252" t="s">
        <v>670</v>
      </c>
      <c r="F252" t="s">
        <v>666</v>
      </c>
      <c r="G252" t="s">
        <v>616</v>
      </c>
      <c r="H252" t="s">
        <v>458</v>
      </c>
      <c r="I252" t="s">
        <v>374</v>
      </c>
      <c r="J252" t="s">
        <v>667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616</v>
      </c>
      <c r="B253" t="s">
        <v>664</v>
      </c>
      <c r="C253" t="s">
        <v>368</v>
      </c>
      <c r="D253" t="s">
        <v>523</v>
      </c>
      <c r="E253" t="s">
        <v>671</v>
      </c>
      <c r="F253" t="s">
        <v>666</v>
      </c>
      <c r="G253" t="s">
        <v>616</v>
      </c>
      <c r="H253" t="s">
        <v>458</v>
      </c>
      <c r="I253" t="s">
        <v>374</v>
      </c>
      <c r="J253" t="s">
        <v>667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616</v>
      </c>
      <c r="B254" t="s">
        <v>664</v>
      </c>
      <c r="C254" t="s">
        <v>368</v>
      </c>
      <c r="D254" t="s">
        <v>523</v>
      </c>
      <c r="E254" t="s">
        <v>672</v>
      </c>
      <c r="F254" t="s">
        <v>666</v>
      </c>
      <c r="G254" t="s">
        <v>616</v>
      </c>
      <c r="H254" t="s">
        <v>458</v>
      </c>
      <c r="I254" t="s">
        <v>374</v>
      </c>
      <c r="J254" t="s">
        <v>667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616</v>
      </c>
      <c r="B255" t="s">
        <v>664</v>
      </c>
      <c r="C255" t="s">
        <v>368</v>
      </c>
      <c r="D255" t="s">
        <v>523</v>
      </c>
      <c r="E255" t="s">
        <v>673</v>
      </c>
      <c r="F255" t="s">
        <v>666</v>
      </c>
      <c r="G255" t="s">
        <v>616</v>
      </c>
      <c r="H255" t="s">
        <v>458</v>
      </c>
      <c r="I255" t="s">
        <v>374</v>
      </c>
      <c r="J255" t="s">
        <v>667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616</v>
      </c>
      <c r="B256" t="s">
        <v>664</v>
      </c>
      <c r="C256" t="s">
        <v>368</v>
      </c>
      <c r="D256" t="s">
        <v>523</v>
      </c>
      <c r="E256" t="s">
        <v>674</v>
      </c>
      <c r="F256" t="s">
        <v>666</v>
      </c>
      <c r="G256" t="s">
        <v>616</v>
      </c>
      <c r="H256" t="s">
        <v>458</v>
      </c>
      <c r="I256" t="s">
        <v>374</v>
      </c>
      <c r="J256" t="s">
        <v>667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616</v>
      </c>
      <c r="B257" t="s">
        <v>664</v>
      </c>
      <c r="C257" t="s">
        <v>368</v>
      </c>
      <c r="D257" t="s">
        <v>523</v>
      </c>
      <c r="E257" t="s">
        <v>675</v>
      </c>
      <c r="F257" t="s">
        <v>666</v>
      </c>
      <c r="G257" t="s">
        <v>616</v>
      </c>
      <c r="H257" t="s">
        <v>458</v>
      </c>
      <c r="I257" t="s">
        <v>374</v>
      </c>
      <c r="J257" t="s">
        <v>667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616</v>
      </c>
      <c r="B258" t="s">
        <v>664</v>
      </c>
      <c r="C258" t="s">
        <v>368</v>
      </c>
      <c r="D258" t="s">
        <v>523</v>
      </c>
      <c r="E258" t="s">
        <v>676</v>
      </c>
      <c r="F258" t="s">
        <v>666</v>
      </c>
      <c r="G258" t="s">
        <v>616</v>
      </c>
      <c r="H258" t="s">
        <v>458</v>
      </c>
      <c r="I258" t="s">
        <v>374</v>
      </c>
      <c r="J258" t="s">
        <v>667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616</v>
      </c>
      <c r="B259" t="s">
        <v>664</v>
      </c>
      <c r="C259" t="s">
        <v>368</v>
      </c>
      <c r="D259" t="s">
        <v>523</v>
      </c>
      <c r="E259" t="s">
        <v>677</v>
      </c>
      <c r="F259" t="s">
        <v>666</v>
      </c>
      <c r="G259" t="s">
        <v>616</v>
      </c>
      <c r="H259" t="s">
        <v>458</v>
      </c>
      <c r="I259" t="s">
        <v>374</v>
      </c>
      <c r="J259" t="s">
        <v>667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616</v>
      </c>
      <c r="B260" t="s">
        <v>664</v>
      </c>
      <c r="C260" t="s">
        <v>368</v>
      </c>
      <c r="D260" t="s">
        <v>523</v>
      </c>
      <c r="E260" t="s">
        <v>678</v>
      </c>
      <c r="F260" t="s">
        <v>666</v>
      </c>
      <c r="G260" t="s">
        <v>616</v>
      </c>
      <c r="H260" t="s">
        <v>458</v>
      </c>
      <c r="I260" t="s">
        <v>374</v>
      </c>
      <c r="J260" t="s">
        <v>667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616</v>
      </c>
      <c r="B261" t="s">
        <v>664</v>
      </c>
      <c r="C261" t="s">
        <v>368</v>
      </c>
      <c r="D261" t="s">
        <v>523</v>
      </c>
      <c r="E261" t="s">
        <v>679</v>
      </c>
      <c r="F261" t="s">
        <v>666</v>
      </c>
      <c r="G261" t="s">
        <v>616</v>
      </c>
      <c r="H261" t="s">
        <v>458</v>
      </c>
      <c r="I261" t="s">
        <v>374</v>
      </c>
      <c r="J261" t="s">
        <v>667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616</v>
      </c>
      <c r="B262" t="s">
        <v>664</v>
      </c>
      <c r="C262" t="s">
        <v>368</v>
      </c>
      <c r="D262" t="s">
        <v>523</v>
      </c>
      <c r="E262" t="s">
        <v>680</v>
      </c>
      <c r="F262" t="s">
        <v>666</v>
      </c>
      <c r="G262" t="s">
        <v>616</v>
      </c>
      <c r="H262" t="s">
        <v>458</v>
      </c>
      <c r="I262" t="s">
        <v>374</v>
      </c>
      <c r="J262" t="s">
        <v>667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616</v>
      </c>
      <c r="B263" t="s">
        <v>664</v>
      </c>
      <c r="C263" t="s">
        <v>368</v>
      </c>
      <c r="D263" t="s">
        <v>523</v>
      </c>
      <c r="E263" t="s">
        <v>681</v>
      </c>
      <c r="F263" t="s">
        <v>666</v>
      </c>
      <c r="G263" t="s">
        <v>616</v>
      </c>
      <c r="H263" t="s">
        <v>458</v>
      </c>
      <c r="I263" t="s">
        <v>374</v>
      </c>
      <c r="J263" t="s">
        <v>667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616</v>
      </c>
      <c r="B264" t="s">
        <v>664</v>
      </c>
      <c r="C264" t="s">
        <v>609</v>
      </c>
      <c r="D264" t="s">
        <v>523</v>
      </c>
      <c r="E264" t="s">
        <v>682</v>
      </c>
      <c r="F264" t="s">
        <v>666</v>
      </c>
      <c r="G264" t="s">
        <v>616</v>
      </c>
      <c r="H264" t="s">
        <v>458</v>
      </c>
      <c r="I264" t="s">
        <v>374</v>
      </c>
      <c r="J264" t="s">
        <v>667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616</v>
      </c>
      <c r="B265" t="s">
        <v>664</v>
      </c>
      <c r="C265" t="s">
        <v>609</v>
      </c>
      <c r="D265" t="s">
        <v>523</v>
      </c>
      <c r="E265" t="s">
        <v>683</v>
      </c>
      <c r="F265" t="s">
        <v>666</v>
      </c>
      <c r="G265" t="s">
        <v>616</v>
      </c>
      <c r="H265" t="s">
        <v>458</v>
      </c>
      <c r="I265" t="s">
        <v>374</v>
      </c>
      <c r="J265" t="s">
        <v>667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616</v>
      </c>
      <c r="B266" t="s">
        <v>664</v>
      </c>
      <c r="C266" t="s">
        <v>609</v>
      </c>
      <c r="D266" t="s">
        <v>523</v>
      </c>
      <c r="E266" t="s">
        <v>684</v>
      </c>
      <c r="F266" t="s">
        <v>666</v>
      </c>
      <c r="G266" t="s">
        <v>616</v>
      </c>
      <c r="H266" t="s">
        <v>458</v>
      </c>
      <c r="I266" t="s">
        <v>374</v>
      </c>
      <c r="J266" t="s">
        <v>667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616</v>
      </c>
      <c r="B267" t="s">
        <v>664</v>
      </c>
      <c r="C267" t="s">
        <v>609</v>
      </c>
      <c r="D267" t="s">
        <v>523</v>
      </c>
      <c r="E267" t="s">
        <v>685</v>
      </c>
      <c r="F267" t="s">
        <v>666</v>
      </c>
      <c r="G267" t="s">
        <v>616</v>
      </c>
      <c r="H267" t="s">
        <v>458</v>
      </c>
      <c r="I267" t="s">
        <v>374</v>
      </c>
      <c r="J267" t="s">
        <v>667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616</v>
      </c>
      <c r="B268" t="s">
        <v>664</v>
      </c>
      <c r="C268" t="s">
        <v>609</v>
      </c>
      <c r="D268" t="s">
        <v>523</v>
      </c>
      <c r="E268" t="s">
        <v>686</v>
      </c>
      <c r="F268" t="s">
        <v>666</v>
      </c>
      <c r="G268" t="s">
        <v>616</v>
      </c>
      <c r="H268" t="s">
        <v>458</v>
      </c>
      <c r="I268" t="s">
        <v>374</v>
      </c>
      <c r="J268" t="s">
        <v>667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616</v>
      </c>
      <c r="B269" t="s">
        <v>664</v>
      </c>
      <c r="C269" t="s">
        <v>368</v>
      </c>
      <c r="D269" t="s">
        <v>523</v>
      </c>
      <c r="E269" t="s">
        <v>687</v>
      </c>
      <c r="F269" t="s">
        <v>666</v>
      </c>
      <c r="G269" t="s">
        <v>616</v>
      </c>
      <c r="H269" t="s">
        <v>458</v>
      </c>
      <c r="I269" t="s">
        <v>374</v>
      </c>
      <c r="J269" t="s">
        <v>667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616</v>
      </c>
      <c r="B270" t="s">
        <v>664</v>
      </c>
      <c r="C270" t="s">
        <v>368</v>
      </c>
      <c r="D270" t="s">
        <v>523</v>
      </c>
      <c r="E270" t="s">
        <v>688</v>
      </c>
      <c r="F270" t="s">
        <v>666</v>
      </c>
      <c r="G270" t="s">
        <v>616</v>
      </c>
      <c r="H270" t="s">
        <v>458</v>
      </c>
      <c r="I270" t="s">
        <v>374</v>
      </c>
      <c r="J270" t="s">
        <v>667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616</v>
      </c>
      <c r="B271" t="s">
        <v>689</v>
      </c>
      <c r="C271" t="s">
        <v>368</v>
      </c>
      <c r="D271" t="s">
        <v>523</v>
      </c>
      <c r="E271" t="s">
        <v>28</v>
      </c>
      <c r="F271" t="s">
        <v>690</v>
      </c>
      <c r="G271" t="s">
        <v>616</v>
      </c>
      <c r="H271" t="s">
        <v>458</v>
      </c>
      <c r="I271" t="s">
        <v>374</v>
      </c>
      <c r="J271" t="s">
        <v>691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616</v>
      </c>
      <c r="B272" t="s">
        <v>689</v>
      </c>
      <c r="C272" t="s">
        <v>368</v>
      </c>
      <c r="D272" t="s">
        <v>523</v>
      </c>
      <c r="E272" t="s">
        <v>29</v>
      </c>
      <c r="F272" t="s">
        <v>690</v>
      </c>
      <c r="G272" t="s">
        <v>616</v>
      </c>
      <c r="H272" t="s">
        <v>458</v>
      </c>
      <c r="I272" t="s">
        <v>374</v>
      </c>
      <c r="J272" t="s">
        <v>691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616</v>
      </c>
      <c r="B273" t="s">
        <v>689</v>
      </c>
      <c r="C273" t="s">
        <v>368</v>
      </c>
      <c r="D273" t="s">
        <v>523</v>
      </c>
      <c r="E273" t="s">
        <v>84</v>
      </c>
      <c r="F273" t="s">
        <v>690</v>
      </c>
      <c r="G273" t="s">
        <v>616</v>
      </c>
      <c r="H273" t="s">
        <v>458</v>
      </c>
      <c r="I273" t="s">
        <v>374</v>
      </c>
      <c r="J273" t="s">
        <v>691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616</v>
      </c>
      <c r="B274" t="s">
        <v>689</v>
      </c>
      <c r="C274" t="s">
        <v>368</v>
      </c>
      <c r="D274" t="s">
        <v>523</v>
      </c>
      <c r="E274" t="s">
        <v>30</v>
      </c>
      <c r="F274" t="s">
        <v>690</v>
      </c>
      <c r="G274" t="s">
        <v>616</v>
      </c>
      <c r="H274" t="s">
        <v>458</v>
      </c>
      <c r="I274" t="s">
        <v>374</v>
      </c>
      <c r="J274" t="s">
        <v>691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616</v>
      </c>
      <c r="B275" t="s">
        <v>689</v>
      </c>
      <c r="C275" t="s">
        <v>368</v>
      </c>
      <c r="D275" t="s">
        <v>523</v>
      </c>
      <c r="E275" t="s">
        <v>31</v>
      </c>
      <c r="F275" t="s">
        <v>690</v>
      </c>
      <c r="G275" t="s">
        <v>616</v>
      </c>
      <c r="H275" t="s">
        <v>458</v>
      </c>
      <c r="I275" t="s">
        <v>374</v>
      </c>
      <c r="J275" t="s">
        <v>691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616</v>
      </c>
      <c r="B276" t="s">
        <v>689</v>
      </c>
      <c r="C276" t="s">
        <v>368</v>
      </c>
      <c r="D276" t="s">
        <v>523</v>
      </c>
      <c r="E276" t="s">
        <v>32</v>
      </c>
      <c r="F276" t="s">
        <v>690</v>
      </c>
      <c r="G276" t="s">
        <v>616</v>
      </c>
      <c r="H276" t="s">
        <v>458</v>
      </c>
      <c r="I276" t="s">
        <v>374</v>
      </c>
      <c r="J276" t="s">
        <v>691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616</v>
      </c>
      <c r="B277" t="s">
        <v>689</v>
      </c>
      <c r="C277" t="s">
        <v>368</v>
      </c>
      <c r="D277" t="s">
        <v>523</v>
      </c>
      <c r="E277" t="s">
        <v>33</v>
      </c>
      <c r="F277" t="s">
        <v>690</v>
      </c>
      <c r="G277" t="s">
        <v>616</v>
      </c>
      <c r="H277" t="s">
        <v>458</v>
      </c>
      <c r="I277" t="s">
        <v>374</v>
      </c>
      <c r="J277" t="s">
        <v>691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616</v>
      </c>
      <c r="B278" t="s">
        <v>689</v>
      </c>
      <c r="C278" t="s">
        <v>368</v>
      </c>
      <c r="D278" t="s">
        <v>523</v>
      </c>
      <c r="E278" t="s">
        <v>34</v>
      </c>
      <c r="F278" t="s">
        <v>690</v>
      </c>
      <c r="G278" t="s">
        <v>616</v>
      </c>
      <c r="H278" t="s">
        <v>458</v>
      </c>
      <c r="I278" t="s">
        <v>374</v>
      </c>
      <c r="J278" t="s">
        <v>691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616</v>
      </c>
      <c r="B279" t="s">
        <v>689</v>
      </c>
      <c r="C279" t="s">
        <v>368</v>
      </c>
      <c r="D279" t="s">
        <v>523</v>
      </c>
      <c r="E279" t="s">
        <v>35</v>
      </c>
      <c r="F279" t="s">
        <v>690</v>
      </c>
      <c r="G279" t="s">
        <v>616</v>
      </c>
      <c r="H279" t="s">
        <v>458</v>
      </c>
      <c r="I279" t="s">
        <v>374</v>
      </c>
      <c r="J279" t="s">
        <v>691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616</v>
      </c>
      <c r="B280" t="s">
        <v>689</v>
      </c>
      <c r="C280" t="s">
        <v>368</v>
      </c>
      <c r="D280" t="s">
        <v>523</v>
      </c>
      <c r="E280" t="s">
        <v>39</v>
      </c>
      <c r="F280" t="s">
        <v>690</v>
      </c>
      <c r="G280" t="s">
        <v>616</v>
      </c>
      <c r="H280" t="s">
        <v>458</v>
      </c>
      <c r="I280" t="s">
        <v>374</v>
      </c>
      <c r="J280" t="s">
        <v>691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616</v>
      </c>
      <c r="B281" t="s">
        <v>689</v>
      </c>
      <c r="C281" t="s">
        <v>368</v>
      </c>
      <c r="D281" t="s">
        <v>523</v>
      </c>
      <c r="E281" t="s">
        <v>40</v>
      </c>
      <c r="F281" t="s">
        <v>690</v>
      </c>
      <c r="G281" t="s">
        <v>616</v>
      </c>
      <c r="H281" t="s">
        <v>458</v>
      </c>
      <c r="I281" t="s">
        <v>374</v>
      </c>
      <c r="J281" t="s">
        <v>691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616</v>
      </c>
      <c r="B282" t="s">
        <v>689</v>
      </c>
      <c r="C282" t="s">
        <v>368</v>
      </c>
      <c r="D282" t="s">
        <v>523</v>
      </c>
      <c r="E282" t="s">
        <v>85</v>
      </c>
      <c r="F282" t="s">
        <v>690</v>
      </c>
      <c r="G282" t="s">
        <v>616</v>
      </c>
      <c r="H282" t="s">
        <v>458</v>
      </c>
      <c r="I282" t="s">
        <v>374</v>
      </c>
      <c r="J282" t="s">
        <v>691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616</v>
      </c>
      <c r="B283" t="s">
        <v>689</v>
      </c>
      <c r="C283" t="s">
        <v>368</v>
      </c>
      <c r="D283" t="s">
        <v>523</v>
      </c>
      <c r="E283" t="s">
        <v>86</v>
      </c>
      <c r="F283" t="s">
        <v>690</v>
      </c>
      <c r="G283" t="s">
        <v>616</v>
      </c>
      <c r="H283" t="s">
        <v>458</v>
      </c>
      <c r="I283" t="s">
        <v>374</v>
      </c>
      <c r="J283" t="s">
        <v>691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616</v>
      </c>
      <c r="B284" t="s">
        <v>689</v>
      </c>
      <c r="C284" t="s">
        <v>609</v>
      </c>
      <c r="D284" t="s">
        <v>523</v>
      </c>
      <c r="E284" t="s">
        <v>692</v>
      </c>
      <c r="F284" t="s">
        <v>690</v>
      </c>
      <c r="G284" t="s">
        <v>616</v>
      </c>
      <c r="H284" t="s">
        <v>458</v>
      </c>
      <c r="I284" t="s">
        <v>374</v>
      </c>
      <c r="J284" t="s">
        <v>691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616</v>
      </c>
      <c r="B285" t="s">
        <v>689</v>
      </c>
      <c r="C285" t="s">
        <v>609</v>
      </c>
      <c r="D285" t="s">
        <v>523</v>
      </c>
      <c r="E285" t="s">
        <v>693</v>
      </c>
      <c r="F285" t="s">
        <v>690</v>
      </c>
      <c r="G285" t="s">
        <v>616</v>
      </c>
      <c r="H285" t="s">
        <v>458</v>
      </c>
      <c r="I285" t="s">
        <v>374</v>
      </c>
      <c r="J285" t="s">
        <v>691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616</v>
      </c>
      <c r="B286" t="s">
        <v>689</v>
      </c>
      <c r="C286" t="s">
        <v>609</v>
      </c>
      <c r="D286" t="s">
        <v>523</v>
      </c>
      <c r="E286" t="s">
        <v>694</v>
      </c>
      <c r="F286" t="s">
        <v>690</v>
      </c>
      <c r="G286" t="s">
        <v>616</v>
      </c>
      <c r="H286" t="s">
        <v>458</v>
      </c>
      <c r="I286" t="s">
        <v>374</v>
      </c>
      <c r="J286" t="s">
        <v>691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616</v>
      </c>
      <c r="B287" t="s">
        <v>689</v>
      </c>
      <c r="C287" t="s">
        <v>609</v>
      </c>
      <c r="D287" t="s">
        <v>523</v>
      </c>
      <c r="E287" t="s">
        <v>36</v>
      </c>
      <c r="F287" t="s">
        <v>690</v>
      </c>
      <c r="G287" t="s">
        <v>616</v>
      </c>
      <c r="H287" t="s">
        <v>458</v>
      </c>
      <c r="I287" t="s">
        <v>374</v>
      </c>
      <c r="J287" t="s">
        <v>691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616</v>
      </c>
      <c r="B288" t="s">
        <v>689</v>
      </c>
      <c r="C288" t="s">
        <v>609</v>
      </c>
      <c r="D288" t="s">
        <v>523</v>
      </c>
      <c r="E288" t="s">
        <v>37</v>
      </c>
      <c r="F288" t="s">
        <v>690</v>
      </c>
      <c r="G288" t="s">
        <v>616</v>
      </c>
      <c r="H288" t="s">
        <v>458</v>
      </c>
      <c r="I288" t="s">
        <v>374</v>
      </c>
      <c r="J288" t="s">
        <v>691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616</v>
      </c>
      <c r="B289" t="s">
        <v>689</v>
      </c>
      <c r="C289" t="s">
        <v>368</v>
      </c>
      <c r="D289" t="s">
        <v>523</v>
      </c>
      <c r="E289" t="s">
        <v>41</v>
      </c>
      <c r="F289" t="s">
        <v>690</v>
      </c>
      <c r="G289" t="s">
        <v>616</v>
      </c>
      <c r="H289" t="s">
        <v>458</v>
      </c>
      <c r="I289" t="s">
        <v>374</v>
      </c>
      <c r="J289" t="s">
        <v>691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616</v>
      </c>
      <c r="B290" t="s">
        <v>689</v>
      </c>
      <c r="C290" t="s">
        <v>368</v>
      </c>
      <c r="D290" t="s">
        <v>523</v>
      </c>
      <c r="E290" t="s">
        <v>42</v>
      </c>
      <c r="F290" t="s">
        <v>690</v>
      </c>
      <c r="G290" t="s">
        <v>616</v>
      </c>
      <c r="H290" t="s">
        <v>458</v>
      </c>
      <c r="I290" t="s">
        <v>374</v>
      </c>
      <c r="J290" t="s">
        <v>691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616</v>
      </c>
      <c r="B291" t="s">
        <v>695</v>
      </c>
      <c r="C291" t="s">
        <v>368</v>
      </c>
      <c r="D291" t="s">
        <v>523</v>
      </c>
      <c r="E291" t="s">
        <v>696</v>
      </c>
      <c r="F291" t="s">
        <v>697</v>
      </c>
      <c r="G291" t="s">
        <v>616</v>
      </c>
      <c r="H291" t="s">
        <v>458</v>
      </c>
      <c r="I291" t="s">
        <v>374</v>
      </c>
      <c r="J291" t="s">
        <v>698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616</v>
      </c>
      <c r="B292" t="s">
        <v>695</v>
      </c>
      <c r="C292" t="s">
        <v>368</v>
      </c>
      <c r="D292" t="s">
        <v>523</v>
      </c>
      <c r="E292" t="s">
        <v>699</v>
      </c>
      <c r="F292" t="s">
        <v>697</v>
      </c>
      <c r="G292" t="s">
        <v>616</v>
      </c>
      <c r="H292" t="s">
        <v>458</v>
      </c>
      <c r="I292" t="s">
        <v>374</v>
      </c>
      <c r="J292" t="s">
        <v>698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616</v>
      </c>
      <c r="B293" t="s">
        <v>695</v>
      </c>
      <c r="C293" t="s">
        <v>368</v>
      </c>
      <c r="D293" t="s">
        <v>523</v>
      </c>
      <c r="E293" t="s">
        <v>700</v>
      </c>
      <c r="F293" t="s">
        <v>697</v>
      </c>
      <c r="G293" t="s">
        <v>616</v>
      </c>
      <c r="H293" t="s">
        <v>458</v>
      </c>
      <c r="I293" t="s">
        <v>374</v>
      </c>
      <c r="J293" t="s">
        <v>698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616</v>
      </c>
      <c r="B294" t="s">
        <v>695</v>
      </c>
      <c r="C294" t="s">
        <v>368</v>
      </c>
      <c r="D294" t="s">
        <v>523</v>
      </c>
      <c r="E294" t="s">
        <v>701</v>
      </c>
      <c r="F294" t="s">
        <v>697</v>
      </c>
      <c r="G294" t="s">
        <v>616</v>
      </c>
      <c r="H294" t="s">
        <v>458</v>
      </c>
      <c r="I294" t="s">
        <v>374</v>
      </c>
      <c r="J294" t="s">
        <v>698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616</v>
      </c>
      <c r="B295" t="s">
        <v>695</v>
      </c>
      <c r="C295" t="s">
        <v>368</v>
      </c>
      <c r="D295" t="s">
        <v>523</v>
      </c>
      <c r="E295" t="s">
        <v>702</v>
      </c>
      <c r="F295" t="s">
        <v>697</v>
      </c>
      <c r="G295" t="s">
        <v>616</v>
      </c>
      <c r="H295" t="s">
        <v>458</v>
      </c>
      <c r="I295" t="s">
        <v>374</v>
      </c>
      <c r="J295" t="s">
        <v>698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616</v>
      </c>
      <c r="B296" t="s">
        <v>695</v>
      </c>
      <c r="C296" t="s">
        <v>368</v>
      </c>
      <c r="D296" t="s">
        <v>523</v>
      </c>
      <c r="E296" t="s">
        <v>703</v>
      </c>
      <c r="F296" t="s">
        <v>697</v>
      </c>
      <c r="G296" t="s">
        <v>616</v>
      </c>
      <c r="H296" t="s">
        <v>458</v>
      </c>
      <c r="I296" t="s">
        <v>374</v>
      </c>
      <c r="J296" t="s">
        <v>698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616</v>
      </c>
      <c r="B297" t="s">
        <v>695</v>
      </c>
      <c r="C297" t="s">
        <v>368</v>
      </c>
      <c r="D297" t="s">
        <v>523</v>
      </c>
      <c r="E297" t="s">
        <v>704</v>
      </c>
      <c r="F297" t="s">
        <v>697</v>
      </c>
      <c r="G297" t="s">
        <v>616</v>
      </c>
      <c r="H297" t="s">
        <v>458</v>
      </c>
      <c r="I297" t="s">
        <v>374</v>
      </c>
      <c r="J297" t="s">
        <v>698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616</v>
      </c>
      <c r="B298" t="s">
        <v>695</v>
      </c>
      <c r="C298" t="s">
        <v>368</v>
      </c>
      <c r="D298" t="s">
        <v>523</v>
      </c>
      <c r="E298" t="s">
        <v>705</v>
      </c>
      <c r="F298" t="s">
        <v>697</v>
      </c>
      <c r="G298" t="s">
        <v>616</v>
      </c>
      <c r="H298" t="s">
        <v>458</v>
      </c>
      <c r="I298" t="s">
        <v>374</v>
      </c>
      <c r="J298" t="s">
        <v>698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616</v>
      </c>
      <c r="B299" t="s">
        <v>695</v>
      </c>
      <c r="C299" t="s">
        <v>368</v>
      </c>
      <c r="D299" t="s">
        <v>523</v>
      </c>
      <c r="E299" t="s">
        <v>706</v>
      </c>
      <c r="F299" t="s">
        <v>697</v>
      </c>
      <c r="G299" t="s">
        <v>616</v>
      </c>
      <c r="H299" t="s">
        <v>458</v>
      </c>
      <c r="I299" t="s">
        <v>374</v>
      </c>
      <c r="J299" t="s">
        <v>698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616</v>
      </c>
      <c r="B300" t="s">
        <v>695</v>
      </c>
      <c r="C300" t="s">
        <v>368</v>
      </c>
      <c r="D300" t="s">
        <v>523</v>
      </c>
      <c r="E300" t="s">
        <v>707</v>
      </c>
      <c r="F300" t="s">
        <v>697</v>
      </c>
      <c r="G300" t="s">
        <v>616</v>
      </c>
      <c r="H300" t="s">
        <v>458</v>
      </c>
      <c r="I300" t="s">
        <v>374</v>
      </c>
      <c r="J300" t="s">
        <v>698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616</v>
      </c>
      <c r="B301" t="s">
        <v>695</v>
      </c>
      <c r="C301" t="s">
        <v>368</v>
      </c>
      <c r="D301" t="s">
        <v>523</v>
      </c>
      <c r="E301" t="s">
        <v>708</v>
      </c>
      <c r="F301" t="s">
        <v>697</v>
      </c>
      <c r="G301" t="s">
        <v>616</v>
      </c>
      <c r="H301" t="s">
        <v>458</v>
      </c>
      <c r="I301" t="s">
        <v>374</v>
      </c>
      <c r="J301" t="s">
        <v>698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616</v>
      </c>
      <c r="B302" t="s">
        <v>695</v>
      </c>
      <c r="C302" t="s">
        <v>368</v>
      </c>
      <c r="D302" t="s">
        <v>523</v>
      </c>
      <c r="E302" t="s">
        <v>709</v>
      </c>
      <c r="F302" t="s">
        <v>697</v>
      </c>
      <c r="G302" t="s">
        <v>616</v>
      </c>
      <c r="H302" t="s">
        <v>458</v>
      </c>
      <c r="I302" t="s">
        <v>374</v>
      </c>
      <c r="J302" t="s">
        <v>698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616</v>
      </c>
      <c r="B303" t="s">
        <v>695</v>
      </c>
      <c r="C303" t="s">
        <v>368</v>
      </c>
      <c r="D303" t="s">
        <v>523</v>
      </c>
      <c r="E303" t="s">
        <v>710</v>
      </c>
      <c r="F303" t="s">
        <v>697</v>
      </c>
      <c r="G303" t="s">
        <v>616</v>
      </c>
      <c r="H303" t="s">
        <v>458</v>
      </c>
      <c r="I303" t="s">
        <v>374</v>
      </c>
      <c r="J303" t="s">
        <v>698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616</v>
      </c>
      <c r="B304" t="s">
        <v>695</v>
      </c>
      <c r="C304" t="s">
        <v>368</v>
      </c>
      <c r="D304" t="s">
        <v>523</v>
      </c>
      <c r="E304" t="s">
        <v>711</v>
      </c>
      <c r="F304" t="s">
        <v>697</v>
      </c>
      <c r="G304" t="s">
        <v>616</v>
      </c>
      <c r="H304" t="s">
        <v>458</v>
      </c>
      <c r="I304" t="s">
        <v>374</v>
      </c>
      <c r="J304" t="s">
        <v>698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616</v>
      </c>
      <c r="B305" t="s">
        <v>695</v>
      </c>
      <c r="C305" t="s">
        <v>368</v>
      </c>
      <c r="D305" t="s">
        <v>523</v>
      </c>
      <c r="E305" t="s">
        <v>712</v>
      </c>
      <c r="F305" t="s">
        <v>697</v>
      </c>
      <c r="G305" t="s">
        <v>616</v>
      </c>
      <c r="H305" t="s">
        <v>458</v>
      </c>
      <c r="I305" t="s">
        <v>374</v>
      </c>
      <c r="J305" t="s">
        <v>698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616</v>
      </c>
      <c r="B306" t="s">
        <v>695</v>
      </c>
      <c r="C306" t="s">
        <v>609</v>
      </c>
      <c r="D306" t="s">
        <v>523</v>
      </c>
      <c r="E306" t="s">
        <v>713</v>
      </c>
      <c r="F306" t="s">
        <v>697</v>
      </c>
      <c r="G306" t="s">
        <v>616</v>
      </c>
      <c r="H306" t="s">
        <v>458</v>
      </c>
      <c r="I306" t="s">
        <v>374</v>
      </c>
      <c r="J306" t="s">
        <v>698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616</v>
      </c>
      <c r="B307" t="s">
        <v>695</v>
      </c>
      <c r="C307" t="s">
        <v>609</v>
      </c>
      <c r="D307" t="s">
        <v>523</v>
      </c>
      <c r="E307" t="s">
        <v>714</v>
      </c>
      <c r="F307" t="s">
        <v>697</v>
      </c>
      <c r="G307" t="s">
        <v>616</v>
      </c>
      <c r="H307" t="s">
        <v>458</v>
      </c>
      <c r="I307" t="s">
        <v>374</v>
      </c>
      <c r="J307" t="s">
        <v>698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616</v>
      </c>
      <c r="B308" t="s">
        <v>695</v>
      </c>
      <c r="C308" t="s">
        <v>609</v>
      </c>
      <c r="D308" t="s">
        <v>523</v>
      </c>
      <c r="E308" t="s">
        <v>715</v>
      </c>
      <c r="F308" t="s">
        <v>697</v>
      </c>
      <c r="G308" t="s">
        <v>616</v>
      </c>
      <c r="H308" t="s">
        <v>458</v>
      </c>
      <c r="I308" t="s">
        <v>374</v>
      </c>
      <c r="J308" t="s">
        <v>698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616</v>
      </c>
      <c r="B309" t="s">
        <v>695</v>
      </c>
      <c r="C309" t="s">
        <v>609</v>
      </c>
      <c r="D309" t="s">
        <v>523</v>
      </c>
      <c r="E309" t="s">
        <v>716</v>
      </c>
      <c r="F309" t="s">
        <v>697</v>
      </c>
      <c r="G309" t="s">
        <v>616</v>
      </c>
      <c r="H309" t="s">
        <v>458</v>
      </c>
      <c r="I309" t="s">
        <v>374</v>
      </c>
      <c r="J309" t="s">
        <v>698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616</v>
      </c>
      <c r="B310" t="s">
        <v>695</v>
      </c>
      <c r="C310" t="s">
        <v>609</v>
      </c>
      <c r="D310" t="s">
        <v>523</v>
      </c>
      <c r="E310" t="s">
        <v>717</v>
      </c>
      <c r="F310" t="s">
        <v>697</v>
      </c>
      <c r="G310" t="s">
        <v>616</v>
      </c>
      <c r="H310" t="s">
        <v>458</v>
      </c>
      <c r="I310" t="s">
        <v>374</v>
      </c>
      <c r="J310" t="s">
        <v>698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616</v>
      </c>
      <c r="B311" t="s">
        <v>695</v>
      </c>
      <c r="C311" t="s">
        <v>368</v>
      </c>
      <c r="D311" t="s">
        <v>523</v>
      </c>
      <c r="E311" t="s">
        <v>718</v>
      </c>
      <c r="F311" t="s">
        <v>697</v>
      </c>
      <c r="G311" t="s">
        <v>616</v>
      </c>
      <c r="H311" t="s">
        <v>458</v>
      </c>
      <c r="I311" t="s">
        <v>374</v>
      </c>
      <c r="J311" t="s">
        <v>698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616</v>
      </c>
      <c r="B312" t="s">
        <v>695</v>
      </c>
      <c r="C312" t="s">
        <v>368</v>
      </c>
      <c r="D312" t="s">
        <v>523</v>
      </c>
      <c r="E312" t="s">
        <v>719</v>
      </c>
      <c r="F312" t="s">
        <v>697</v>
      </c>
      <c r="G312" t="s">
        <v>616</v>
      </c>
      <c r="H312" t="s">
        <v>458</v>
      </c>
      <c r="I312" t="s">
        <v>374</v>
      </c>
      <c r="J312" t="s">
        <v>698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616</v>
      </c>
      <c r="B313" t="s">
        <v>720</v>
      </c>
      <c r="C313" t="s">
        <v>368</v>
      </c>
      <c r="D313" t="s">
        <v>523</v>
      </c>
      <c r="E313" t="s">
        <v>320</v>
      </c>
      <c r="F313" t="s">
        <v>721</v>
      </c>
      <c r="G313" t="s">
        <v>616</v>
      </c>
      <c r="H313" t="s">
        <v>458</v>
      </c>
      <c r="I313" t="s">
        <v>374</v>
      </c>
      <c r="J313" t="s">
        <v>722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616</v>
      </c>
      <c r="B314" t="s">
        <v>720</v>
      </c>
      <c r="C314" t="s">
        <v>368</v>
      </c>
      <c r="D314" t="s">
        <v>523</v>
      </c>
      <c r="E314" t="s">
        <v>723</v>
      </c>
      <c r="F314" t="s">
        <v>721</v>
      </c>
      <c r="G314" t="s">
        <v>616</v>
      </c>
      <c r="H314" t="s">
        <v>458</v>
      </c>
      <c r="I314" t="s">
        <v>374</v>
      </c>
      <c r="J314" t="s">
        <v>722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616</v>
      </c>
      <c r="B315" t="s">
        <v>720</v>
      </c>
      <c r="C315" t="s">
        <v>368</v>
      </c>
      <c r="D315" t="s">
        <v>523</v>
      </c>
      <c r="E315" t="s">
        <v>321</v>
      </c>
      <c r="F315" t="s">
        <v>721</v>
      </c>
      <c r="G315" t="s">
        <v>616</v>
      </c>
      <c r="H315" t="s">
        <v>458</v>
      </c>
      <c r="I315" t="s">
        <v>374</v>
      </c>
      <c r="J315" t="s">
        <v>722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616</v>
      </c>
      <c r="B316" t="s">
        <v>720</v>
      </c>
      <c r="C316" t="s">
        <v>368</v>
      </c>
      <c r="D316" t="s">
        <v>523</v>
      </c>
      <c r="E316" t="s">
        <v>147</v>
      </c>
      <c r="F316" t="s">
        <v>721</v>
      </c>
      <c r="G316" t="s">
        <v>616</v>
      </c>
      <c r="H316" t="s">
        <v>458</v>
      </c>
      <c r="I316" t="s">
        <v>374</v>
      </c>
      <c r="J316" t="s">
        <v>722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616</v>
      </c>
      <c r="B317" t="s">
        <v>720</v>
      </c>
      <c r="C317" t="s">
        <v>368</v>
      </c>
      <c r="D317" t="s">
        <v>523</v>
      </c>
      <c r="E317" t="s">
        <v>322</v>
      </c>
      <c r="F317" t="s">
        <v>721</v>
      </c>
      <c r="G317" t="s">
        <v>616</v>
      </c>
      <c r="H317" t="s">
        <v>458</v>
      </c>
      <c r="I317" t="s">
        <v>374</v>
      </c>
      <c r="J317" t="s">
        <v>722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616</v>
      </c>
      <c r="B318" t="s">
        <v>720</v>
      </c>
      <c r="C318" t="s">
        <v>368</v>
      </c>
      <c r="D318" t="s">
        <v>523</v>
      </c>
      <c r="E318" t="s">
        <v>724</v>
      </c>
      <c r="F318" t="s">
        <v>721</v>
      </c>
      <c r="G318" t="s">
        <v>616</v>
      </c>
      <c r="H318" t="s">
        <v>458</v>
      </c>
      <c r="I318" t="s">
        <v>374</v>
      </c>
      <c r="J318" t="s">
        <v>722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616</v>
      </c>
      <c r="B319" t="s">
        <v>720</v>
      </c>
      <c r="C319" t="s">
        <v>368</v>
      </c>
      <c r="D319" t="s">
        <v>523</v>
      </c>
      <c r="E319" t="s">
        <v>323</v>
      </c>
      <c r="F319" t="s">
        <v>721</v>
      </c>
      <c r="G319" t="s">
        <v>616</v>
      </c>
      <c r="H319" t="s">
        <v>458</v>
      </c>
      <c r="I319" t="s">
        <v>374</v>
      </c>
      <c r="J319" t="s">
        <v>722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616</v>
      </c>
      <c r="B320" t="s">
        <v>720</v>
      </c>
      <c r="C320" t="s">
        <v>368</v>
      </c>
      <c r="D320" t="s">
        <v>523</v>
      </c>
      <c r="E320" t="s">
        <v>725</v>
      </c>
      <c r="F320" t="s">
        <v>721</v>
      </c>
      <c r="G320" t="s">
        <v>616</v>
      </c>
      <c r="H320" t="s">
        <v>458</v>
      </c>
      <c r="I320" t="s">
        <v>374</v>
      </c>
      <c r="J320" t="s">
        <v>722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616</v>
      </c>
      <c r="B321" t="s">
        <v>720</v>
      </c>
      <c r="C321" t="s">
        <v>368</v>
      </c>
      <c r="D321" t="s">
        <v>523</v>
      </c>
      <c r="E321" t="s">
        <v>324</v>
      </c>
      <c r="F321" t="s">
        <v>721</v>
      </c>
      <c r="G321" t="s">
        <v>616</v>
      </c>
      <c r="H321" t="s">
        <v>458</v>
      </c>
      <c r="I321" t="s">
        <v>374</v>
      </c>
      <c r="J321" t="s">
        <v>722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616</v>
      </c>
      <c r="B322" t="s">
        <v>720</v>
      </c>
      <c r="C322" t="s">
        <v>368</v>
      </c>
      <c r="D322" t="s">
        <v>523</v>
      </c>
      <c r="E322" t="s">
        <v>726</v>
      </c>
      <c r="F322" t="s">
        <v>721</v>
      </c>
      <c r="G322" t="s">
        <v>616</v>
      </c>
      <c r="H322" t="s">
        <v>458</v>
      </c>
      <c r="I322" t="s">
        <v>374</v>
      </c>
      <c r="J322" t="s">
        <v>722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616</v>
      </c>
      <c r="B323" t="s">
        <v>720</v>
      </c>
      <c r="C323" t="s">
        <v>368</v>
      </c>
      <c r="D323" t="s">
        <v>523</v>
      </c>
      <c r="E323" t="s">
        <v>325</v>
      </c>
      <c r="F323" t="s">
        <v>721</v>
      </c>
      <c r="G323" t="s">
        <v>616</v>
      </c>
      <c r="H323" t="s">
        <v>458</v>
      </c>
      <c r="I323" t="s">
        <v>374</v>
      </c>
      <c r="J323" t="s">
        <v>722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616</v>
      </c>
      <c r="B324" t="s">
        <v>720</v>
      </c>
      <c r="C324" t="s">
        <v>609</v>
      </c>
      <c r="D324" t="s">
        <v>523</v>
      </c>
      <c r="E324" t="s">
        <v>727</v>
      </c>
      <c r="F324" t="s">
        <v>721</v>
      </c>
      <c r="G324" t="s">
        <v>616</v>
      </c>
      <c r="H324" t="s">
        <v>458</v>
      </c>
      <c r="I324" t="s">
        <v>374</v>
      </c>
      <c r="J324" t="s">
        <v>722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616</v>
      </c>
      <c r="B325" t="s">
        <v>720</v>
      </c>
      <c r="C325" t="s">
        <v>609</v>
      </c>
      <c r="D325" t="s">
        <v>523</v>
      </c>
      <c r="E325" t="s">
        <v>728</v>
      </c>
      <c r="F325" t="s">
        <v>721</v>
      </c>
      <c r="G325" t="s">
        <v>616</v>
      </c>
      <c r="H325" t="s">
        <v>458</v>
      </c>
      <c r="I325" t="s">
        <v>374</v>
      </c>
      <c r="J325" t="s">
        <v>722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616</v>
      </c>
      <c r="B326" t="s">
        <v>720</v>
      </c>
      <c r="C326" t="s">
        <v>609</v>
      </c>
      <c r="D326" t="s">
        <v>523</v>
      </c>
      <c r="E326" t="s">
        <v>729</v>
      </c>
      <c r="F326" t="s">
        <v>721</v>
      </c>
      <c r="G326" t="s">
        <v>616</v>
      </c>
      <c r="H326" t="s">
        <v>458</v>
      </c>
      <c r="I326" t="s">
        <v>374</v>
      </c>
      <c r="J326" t="s">
        <v>722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616</v>
      </c>
      <c r="B327" t="s">
        <v>720</v>
      </c>
      <c r="C327" t="s">
        <v>609</v>
      </c>
      <c r="D327" t="s">
        <v>523</v>
      </c>
      <c r="E327" t="s">
        <v>730</v>
      </c>
      <c r="F327" t="s">
        <v>721</v>
      </c>
      <c r="G327" t="s">
        <v>616</v>
      </c>
      <c r="H327" t="s">
        <v>458</v>
      </c>
      <c r="I327" t="s">
        <v>374</v>
      </c>
      <c r="J327" t="s">
        <v>722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616</v>
      </c>
      <c r="B328" t="s">
        <v>720</v>
      </c>
      <c r="C328" t="s">
        <v>609</v>
      </c>
      <c r="D328" t="s">
        <v>523</v>
      </c>
      <c r="E328" t="s">
        <v>731</v>
      </c>
      <c r="F328" t="s">
        <v>721</v>
      </c>
      <c r="G328" t="s">
        <v>616</v>
      </c>
      <c r="H328" t="s">
        <v>458</v>
      </c>
      <c r="I328" t="s">
        <v>374</v>
      </c>
      <c r="J328" t="s">
        <v>722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616</v>
      </c>
      <c r="B329" t="s">
        <v>720</v>
      </c>
      <c r="C329" t="s">
        <v>368</v>
      </c>
      <c r="D329" t="s">
        <v>523</v>
      </c>
      <c r="E329" t="s">
        <v>343</v>
      </c>
      <c r="F329" t="s">
        <v>721</v>
      </c>
      <c r="G329" t="s">
        <v>616</v>
      </c>
      <c r="H329" t="s">
        <v>458</v>
      </c>
      <c r="I329" t="s">
        <v>374</v>
      </c>
      <c r="J329" t="s">
        <v>722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616</v>
      </c>
      <c r="B330" t="s">
        <v>720</v>
      </c>
      <c r="C330" t="s">
        <v>368</v>
      </c>
      <c r="D330" t="s">
        <v>523</v>
      </c>
      <c r="E330" t="s">
        <v>732</v>
      </c>
      <c r="F330" t="s">
        <v>721</v>
      </c>
      <c r="G330" t="s">
        <v>616</v>
      </c>
      <c r="H330" t="s">
        <v>458</v>
      </c>
      <c r="I330" t="s">
        <v>374</v>
      </c>
      <c r="J330" t="s">
        <v>722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616</v>
      </c>
      <c r="B331" t="s">
        <v>733</v>
      </c>
      <c r="C331" t="s">
        <v>368</v>
      </c>
      <c r="D331" t="s">
        <v>523</v>
      </c>
      <c r="E331" t="s">
        <v>734</v>
      </c>
      <c r="F331" t="s">
        <v>735</v>
      </c>
      <c r="G331" t="s">
        <v>616</v>
      </c>
      <c r="H331" t="s">
        <v>458</v>
      </c>
      <c r="I331" t="s">
        <v>374</v>
      </c>
      <c r="J331" t="s">
        <v>429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616</v>
      </c>
      <c r="B332" t="s">
        <v>733</v>
      </c>
      <c r="C332" t="s">
        <v>368</v>
      </c>
      <c r="D332" t="s">
        <v>523</v>
      </c>
      <c r="E332" t="s">
        <v>736</v>
      </c>
      <c r="F332" t="s">
        <v>735</v>
      </c>
      <c r="G332" t="s">
        <v>616</v>
      </c>
      <c r="H332" t="s">
        <v>458</v>
      </c>
      <c r="I332" t="s">
        <v>374</v>
      </c>
      <c r="J332" t="s">
        <v>429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616</v>
      </c>
      <c r="B333" t="s">
        <v>733</v>
      </c>
      <c r="C333" t="s">
        <v>368</v>
      </c>
      <c r="D333" t="s">
        <v>523</v>
      </c>
      <c r="E333" t="s">
        <v>737</v>
      </c>
      <c r="F333" t="s">
        <v>735</v>
      </c>
      <c r="G333" t="s">
        <v>616</v>
      </c>
      <c r="H333" t="s">
        <v>458</v>
      </c>
      <c r="I333" t="s">
        <v>374</v>
      </c>
      <c r="J333" t="s">
        <v>429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616</v>
      </c>
      <c r="B334" t="s">
        <v>733</v>
      </c>
      <c r="C334" t="s">
        <v>368</v>
      </c>
      <c r="D334" t="s">
        <v>523</v>
      </c>
      <c r="E334" t="s">
        <v>738</v>
      </c>
      <c r="F334" t="s">
        <v>735</v>
      </c>
      <c r="G334" t="s">
        <v>616</v>
      </c>
      <c r="H334" t="s">
        <v>458</v>
      </c>
      <c r="I334" t="s">
        <v>374</v>
      </c>
      <c r="J334" t="s">
        <v>429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616</v>
      </c>
      <c r="B335" t="s">
        <v>733</v>
      </c>
      <c r="C335" t="s">
        <v>368</v>
      </c>
      <c r="D335" t="s">
        <v>523</v>
      </c>
      <c r="E335" t="s">
        <v>739</v>
      </c>
      <c r="F335" t="s">
        <v>735</v>
      </c>
      <c r="G335" t="s">
        <v>616</v>
      </c>
      <c r="H335" t="s">
        <v>458</v>
      </c>
      <c r="I335" t="s">
        <v>374</v>
      </c>
      <c r="J335" t="s">
        <v>429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616</v>
      </c>
      <c r="B336" t="s">
        <v>733</v>
      </c>
      <c r="C336" t="s">
        <v>368</v>
      </c>
      <c r="D336" t="s">
        <v>523</v>
      </c>
      <c r="E336" t="s">
        <v>740</v>
      </c>
      <c r="F336" t="s">
        <v>735</v>
      </c>
      <c r="G336" t="s">
        <v>616</v>
      </c>
      <c r="H336" t="s">
        <v>458</v>
      </c>
      <c r="I336" t="s">
        <v>374</v>
      </c>
      <c r="J336" t="s">
        <v>429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616</v>
      </c>
      <c r="B337" t="s">
        <v>733</v>
      </c>
      <c r="C337" t="s">
        <v>368</v>
      </c>
      <c r="D337" t="s">
        <v>523</v>
      </c>
      <c r="E337" t="s">
        <v>741</v>
      </c>
      <c r="F337" t="s">
        <v>735</v>
      </c>
      <c r="G337" t="s">
        <v>616</v>
      </c>
      <c r="H337" t="s">
        <v>458</v>
      </c>
      <c r="I337" t="s">
        <v>374</v>
      </c>
      <c r="J337" t="s">
        <v>429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616</v>
      </c>
      <c r="B338" t="s">
        <v>733</v>
      </c>
      <c r="C338" t="s">
        <v>368</v>
      </c>
      <c r="D338" t="s">
        <v>523</v>
      </c>
      <c r="E338" t="s">
        <v>148</v>
      </c>
      <c r="F338" t="s">
        <v>735</v>
      </c>
      <c r="G338" t="s">
        <v>616</v>
      </c>
      <c r="H338" t="s">
        <v>458</v>
      </c>
      <c r="I338" t="s">
        <v>374</v>
      </c>
      <c r="J338" t="s">
        <v>429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616</v>
      </c>
      <c r="B339" t="s">
        <v>733</v>
      </c>
      <c r="C339" t="s">
        <v>368</v>
      </c>
      <c r="D339" t="s">
        <v>523</v>
      </c>
      <c r="E339" t="s">
        <v>742</v>
      </c>
      <c r="F339" t="s">
        <v>735</v>
      </c>
      <c r="G339" t="s">
        <v>616</v>
      </c>
      <c r="H339" t="s">
        <v>458</v>
      </c>
      <c r="I339" t="s">
        <v>374</v>
      </c>
      <c r="J339" t="s">
        <v>429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616</v>
      </c>
      <c r="B340" t="s">
        <v>733</v>
      </c>
      <c r="C340" t="s">
        <v>368</v>
      </c>
      <c r="D340" t="s">
        <v>523</v>
      </c>
      <c r="E340" t="s">
        <v>743</v>
      </c>
      <c r="F340" t="s">
        <v>735</v>
      </c>
      <c r="G340" t="s">
        <v>616</v>
      </c>
      <c r="H340" t="s">
        <v>458</v>
      </c>
      <c r="I340" t="s">
        <v>374</v>
      </c>
      <c r="J340" t="s">
        <v>429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616</v>
      </c>
      <c r="B341" t="s">
        <v>733</v>
      </c>
      <c r="C341" t="s">
        <v>368</v>
      </c>
      <c r="D341" t="s">
        <v>523</v>
      </c>
      <c r="E341" t="s">
        <v>744</v>
      </c>
      <c r="F341" t="s">
        <v>735</v>
      </c>
      <c r="G341" t="s">
        <v>616</v>
      </c>
      <c r="H341" t="s">
        <v>458</v>
      </c>
      <c r="I341" t="s">
        <v>374</v>
      </c>
      <c r="J341" t="s">
        <v>429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616</v>
      </c>
      <c r="B342" t="s">
        <v>733</v>
      </c>
      <c r="C342" t="s">
        <v>368</v>
      </c>
      <c r="D342" t="s">
        <v>523</v>
      </c>
      <c r="E342" t="s">
        <v>745</v>
      </c>
      <c r="F342" t="s">
        <v>735</v>
      </c>
      <c r="G342" t="s">
        <v>616</v>
      </c>
      <c r="H342" t="s">
        <v>458</v>
      </c>
      <c r="I342" t="s">
        <v>374</v>
      </c>
      <c r="J342" t="s">
        <v>429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616</v>
      </c>
      <c r="B343" t="s">
        <v>733</v>
      </c>
      <c r="C343" t="s">
        <v>368</v>
      </c>
      <c r="D343" t="s">
        <v>523</v>
      </c>
      <c r="E343" t="s">
        <v>746</v>
      </c>
      <c r="F343" t="s">
        <v>735</v>
      </c>
      <c r="G343" t="s">
        <v>616</v>
      </c>
      <c r="H343" t="s">
        <v>458</v>
      </c>
      <c r="I343" t="s">
        <v>374</v>
      </c>
      <c r="J343" t="s">
        <v>429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616</v>
      </c>
      <c r="B344" t="s">
        <v>733</v>
      </c>
      <c r="C344" t="s">
        <v>368</v>
      </c>
      <c r="D344" t="s">
        <v>523</v>
      </c>
      <c r="E344" t="s">
        <v>747</v>
      </c>
      <c r="F344" t="s">
        <v>735</v>
      </c>
      <c r="G344" t="s">
        <v>616</v>
      </c>
      <c r="H344" t="s">
        <v>458</v>
      </c>
      <c r="I344" t="s">
        <v>374</v>
      </c>
      <c r="J344" t="s">
        <v>429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616</v>
      </c>
      <c r="B345" t="s">
        <v>733</v>
      </c>
      <c r="C345" t="s">
        <v>368</v>
      </c>
      <c r="D345" t="s">
        <v>523</v>
      </c>
      <c r="E345" t="s">
        <v>748</v>
      </c>
      <c r="F345" t="s">
        <v>735</v>
      </c>
      <c r="G345" t="s">
        <v>616</v>
      </c>
      <c r="H345" t="s">
        <v>458</v>
      </c>
      <c r="I345" t="s">
        <v>374</v>
      </c>
      <c r="J345" t="s">
        <v>429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616</v>
      </c>
      <c r="B346" t="s">
        <v>733</v>
      </c>
      <c r="C346" t="s">
        <v>609</v>
      </c>
      <c r="D346" t="s">
        <v>523</v>
      </c>
      <c r="E346" t="s">
        <v>749</v>
      </c>
      <c r="F346" t="s">
        <v>735</v>
      </c>
      <c r="G346" t="s">
        <v>616</v>
      </c>
      <c r="H346" t="s">
        <v>458</v>
      </c>
      <c r="I346" t="s">
        <v>374</v>
      </c>
      <c r="J346" t="s">
        <v>429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616</v>
      </c>
      <c r="B347" t="s">
        <v>733</v>
      </c>
      <c r="C347" t="s">
        <v>609</v>
      </c>
      <c r="D347" t="s">
        <v>523</v>
      </c>
      <c r="E347" t="s">
        <v>750</v>
      </c>
      <c r="F347" t="s">
        <v>735</v>
      </c>
      <c r="G347" t="s">
        <v>616</v>
      </c>
      <c r="H347" t="s">
        <v>458</v>
      </c>
      <c r="I347" t="s">
        <v>374</v>
      </c>
      <c r="J347" t="s">
        <v>429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616</v>
      </c>
      <c r="B348" t="s">
        <v>733</v>
      </c>
      <c r="C348" t="s">
        <v>609</v>
      </c>
      <c r="D348" t="s">
        <v>523</v>
      </c>
      <c r="E348" t="s">
        <v>145</v>
      </c>
      <c r="F348" t="s">
        <v>735</v>
      </c>
      <c r="G348" t="s">
        <v>616</v>
      </c>
      <c r="H348" t="s">
        <v>458</v>
      </c>
      <c r="I348" t="s">
        <v>374</v>
      </c>
      <c r="J348" t="s">
        <v>429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616</v>
      </c>
      <c r="B349" t="s">
        <v>733</v>
      </c>
      <c r="C349" t="s">
        <v>609</v>
      </c>
      <c r="D349" t="s">
        <v>523</v>
      </c>
      <c r="E349" t="s">
        <v>751</v>
      </c>
      <c r="F349" t="s">
        <v>735</v>
      </c>
      <c r="G349" t="s">
        <v>616</v>
      </c>
      <c r="H349" t="s">
        <v>458</v>
      </c>
      <c r="I349" t="s">
        <v>374</v>
      </c>
      <c r="J349" t="s">
        <v>429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616</v>
      </c>
      <c r="B350" t="s">
        <v>733</v>
      </c>
      <c r="C350" t="s">
        <v>609</v>
      </c>
      <c r="D350" t="s">
        <v>523</v>
      </c>
      <c r="E350" t="s">
        <v>752</v>
      </c>
      <c r="F350" t="s">
        <v>735</v>
      </c>
      <c r="G350" t="s">
        <v>616</v>
      </c>
      <c r="H350" t="s">
        <v>458</v>
      </c>
      <c r="I350" t="s">
        <v>374</v>
      </c>
      <c r="J350" t="s">
        <v>429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616</v>
      </c>
      <c r="B351" t="s">
        <v>733</v>
      </c>
      <c r="C351" t="s">
        <v>368</v>
      </c>
      <c r="D351" t="s">
        <v>523</v>
      </c>
      <c r="E351" t="s">
        <v>753</v>
      </c>
      <c r="F351" t="s">
        <v>735</v>
      </c>
      <c r="G351" t="s">
        <v>616</v>
      </c>
      <c r="H351" t="s">
        <v>458</v>
      </c>
      <c r="I351" t="s">
        <v>374</v>
      </c>
      <c r="J351" t="s">
        <v>429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616</v>
      </c>
      <c r="B352" t="s">
        <v>733</v>
      </c>
      <c r="C352" t="s">
        <v>368</v>
      </c>
      <c r="D352" t="s">
        <v>523</v>
      </c>
      <c r="E352" t="s">
        <v>146</v>
      </c>
      <c r="F352" t="s">
        <v>735</v>
      </c>
      <c r="G352" t="s">
        <v>616</v>
      </c>
      <c r="H352" t="s">
        <v>458</v>
      </c>
      <c r="I352" t="s">
        <v>374</v>
      </c>
      <c r="J352" t="s">
        <v>429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616</v>
      </c>
      <c r="B353" t="s">
        <v>754</v>
      </c>
      <c r="C353" t="s">
        <v>368</v>
      </c>
      <c r="D353" t="s">
        <v>523</v>
      </c>
      <c r="E353" t="s">
        <v>755</v>
      </c>
      <c r="F353" t="s">
        <v>756</v>
      </c>
      <c r="G353" t="s">
        <v>616</v>
      </c>
      <c r="H353" t="s">
        <v>458</v>
      </c>
      <c r="I353" t="s">
        <v>374</v>
      </c>
      <c r="J353" t="s">
        <v>757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616</v>
      </c>
      <c r="B354" t="s">
        <v>754</v>
      </c>
      <c r="C354" t="s">
        <v>368</v>
      </c>
      <c r="D354" t="s">
        <v>523</v>
      </c>
      <c r="E354" t="s">
        <v>758</v>
      </c>
      <c r="F354" t="s">
        <v>756</v>
      </c>
      <c r="G354" t="s">
        <v>616</v>
      </c>
      <c r="H354" t="s">
        <v>458</v>
      </c>
      <c r="I354" t="s">
        <v>374</v>
      </c>
      <c r="J354" t="s">
        <v>757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616</v>
      </c>
      <c r="B355" t="s">
        <v>754</v>
      </c>
      <c r="C355" t="s">
        <v>368</v>
      </c>
      <c r="D355" t="s">
        <v>523</v>
      </c>
      <c r="E355" t="s">
        <v>759</v>
      </c>
      <c r="F355" t="s">
        <v>756</v>
      </c>
      <c r="G355" t="s">
        <v>616</v>
      </c>
      <c r="H355" t="s">
        <v>458</v>
      </c>
      <c r="I355" t="s">
        <v>374</v>
      </c>
      <c r="J355" t="s">
        <v>757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616</v>
      </c>
      <c r="B356" t="s">
        <v>754</v>
      </c>
      <c r="C356" t="s">
        <v>368</v>
      </c>
      <c r="D356" t="s">
        <v>523</v>
      </c>
      <c r="E356" t="s">
        <v>760</v>
      </c>
      <c r="F356" t="s">
        <v>756</v>
      </c>
      <c r="G356" t="s">
        <v>616</v>
      </c>
      <c r="H356" t="s">
        <v>458</v>
      </c>
      <c r="I356" t="s">
        <v>374</v>
      </c>
      <c r="J356" t="s">
        <v>757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616</v>
      </c>
      <c r="B357" t="s">
        <v>754</v>
      </c>
      <c r="C357" t="s">
        <v>368</v>
      </c>
      <c r="D357" t="s">
        <v>523</v>
      </c>
      <c r="E357" t="s">
        <v>761</v>
      </c>
      <c r="F357" t="s">
        <v>756</v>
      </c>
      <c r="G357" t="s">
        <v>616</v>
      </c>
      <c r="H357" t="s">
        <v>458</v>
      </c>
      <c r="I357" t="s">
        <v>374</v>
      </c>
      <c r="J357" t="s">
        <v>757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616</v>
      </c>
      <c r="B358" t="s">
        <v>754</v>
      </c>
      <c r="C358" t="s">
        <v>368</v>
      </c>
      <c r="D358" t="s">
        <v>523</v>
      </c>
      <c r="E358" t="s">
        <v>762</v>
      </c>
      <c r="F358" t="s">
        <v>756</v>
      </c>
      <c r="G358" t="s">
        <v>616</v>
      </c>
      <c r="H358" t="s">
        <v>458</v>
      </c>
      <c r="I358" t="s">
        <v>374</v>
      </c>
      <c r="J358" t="s">
        <v>757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616</v>
      </c>
      <c r="B359" t="s">
        <v>754</v>
      </c>
      <c r="C359" t="s">
        <v>368</v>
      </c>
      <c r="D359" t="s">
        <v>523</v>
      </c>
      <c r="E359" t="s">
        <v>763</v>
      </c>
      <c r="F359" t="s">
        <v>756</v>
      </c>
      <c r="G359" t="s">
        <v>616</v>
      </c>
      <c r="H359" t="s">
        <v>458</v>
      </c>
      <c r="I359" t="s">
        <v>374</v>
      </c>
      <c r="J359" t="s">
        <v>757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616</v>
      </c>
      <c r="B360" t="s">
        <v>754</v>
      </c>
      <c r="C360" t="s">
        <v>368</v>
      </c>
      <c r="D360" t="s">
        <v>523</v>
      </c>
      <c r="E360" t="s">
        <v>764</v>
      </c>
      <c r="F360" t="s">
        <v>756</v>
      </c>
      <c r="G360" t="s">
        <v>616</v>
      </c>
      <c r="H360" t="s">
        <v>458</v>
      </c>
      <c r="I360" t="s">
        <v>374</v>
      </c>
      <c r="J360" t="s">
        <v>757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616</v>
      </c>
      <c r="B361" t="s">
        <v>754</v>
      </c>
      <c r="C361" t="s">
        <v>368</v>
      </c>
      <c r="D361" t="s">
        <v>523</v>
      </c>
      <c r="E361" t="s">
        <v>765</v>
      </c>
      <c r="F361" t="s">
        <v>756</v>
      </c>
      <c r="G361" t="s">
        <v>616</v>
      </c>
      <c r="H361" t="s">
        <v>458</v>
      </c>
      <c r="I361" t="s">
        <v>374</v>
      </c>
      <c r="J361" t="s">
        <v>757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616</v>
      </c>
      <c r="B362" t="s">
        <v>754</v>
      </c>
      <c r="C362" t="s">
        <v>368</v>
      </c>
      <c r="D362" t="s">
        <v>523</v>
      </c>
      <c r="E362" t="s">
        <v>766</v>
      </c>
      <c r="F362" t="s">
        <v>756</v>
      </c>
      <c r="G362" t="s">
        <v>616</v>
      </c>
      <c r="H362" t="s">
        <v>458</v>
      </c>
      <c r="I362" t="s">
        <v>374</v>
      </c>
      <c r="J362" t="s">
        <v>757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616</v>
      </c>
      <c r="B363" t="s">
        <v>754</v>
      </c>
      <c r="C363" t="s">
        <v>368</v>
      </c>
      <c r="D363" t="s">
        <v>523</v>
      </c>
      <c r="E363" t="s">
        <v>767</v>
      </c>
      <c r="F363" t="s">
        <v>756</v>
      </c>
      <c r="G363" t="s">
        <v>616</v>
      </c>
      <c r="H363" t="s">
        <v>458</v>
      </c>
      <c r="I363" t="s">
        <v>374</v>
      </c>
      <c r="J363" t="s">
        <v>757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616</v>
      </c>
      <c r="B364" t="s">
        <v>754</v>
      </c>
      <c r="C364" t="s">
        <v>368</v>
      </c>
      <c r="D364" t="s">
        <v>523</v>
      </c>
      <c r="E364" t="s">
        <v>768</v>
      </c>
      <c r="F364" t="s">
        <v>756</v>
      </c>
      <c r="G364" t="s">
        <v>616</v>
      </c>
      <c r="H364" t="s">
        <v>458</v>
      </c>
      <c r="I364" t="s">
        <v>374</v>
      </c>
      <c r="J364" t="s">
        <v>757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616</v>
      </c>
      <c r="B365" t="s">
        <v>754</v>
      </c>
      <c r="C365" t="s">
        <v>368</v>
      </c>
      <c r="D365" t="s">
        <v>523</v>
      </c>
      <c r="E365" t="s">
        <v>769</v>
      </c>
      <c r="F365" t="s">
        <v>756</v>
      </c>
      <c r="G365" t="s">
        <v>616</v>
      </c>
      <c r="H365" t="s">
        <v>458</v>
      </c>
      <c r="I365" t="s">
        <v>374</v>
      </c>
      <c r="J365" t="s">
        <v>757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616</v>
      </c>
      <c r="B366" t="s">
        <v>754</v>
      </c>
      <c r="C366" t="s">
        <v>368</v>
      </c>
      <c r="D366" t="s">
        <v>523</v>
      </c>
      <c r="E366" t="s">
        <v>770</v>
      </c>
      <c r="F366" t="s">
        <v>756</v>
      </c>
      <c r="G366" t="s">
        <v>616</v>
      </c>
      <c r="H366" t="s">
        <v>458</v>
      </c>
      <c r="I366" t="s">
        <v>374</v>
      </c>
      <c r="J366" t="s">
        <v>757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616</v>
      </c>
      <c r="B367" t="s">
        <v>754</v>
      </c>
      <c r="C367" t="s">
        <v>368</v>
      </c>
      <c r="D367" t="s">
        <v>523</v>
      </c>
      <c r="E367" t="s">
        <v>771</v>
      </c>
      <c r="F367" t="s">
        <v>756</v>
      </c>
      <c r="G367" t="s">
        <v>616</v>
      </c>
      <c r="H367" t="s">
        <v>458</v>
      </c>
      <c r="I367" t="s">
        <v>374</v>
      </c>
      <c r="J367" t="s">
        <v>757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616</v>
      </c>
      <c r="B368" t="s">
        <v>754</v>
      </c>
      <c r="C368" t="s">
        <v>609</v>
      </c>
      <c r="D368" t="s">
        <v>523</v>
      </c>
      <c r="E368" t="s">
        <v>772</v>
      </c>
      <c r="F368" t="s">
        <v>756</v>
      </c>
      <c r="G368" t="s">
        <v>616</v>
      </c>
      <c r="H368" t="s">
        <v>458</v>
      </c>
      <c r="I368" t="s">
        <v>374</v>
      </c>
      <c r="J368" t="s">
        <v>757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616</v>
      </c>
      <c r="B369" t="s">
        <v>754</v>
      </c>
      <c r="C369" t="s">
        <v>609</v>
      </c>
      <c r="D369" t="s">
        <v>523</v>
      </c>
      <c r="E369" t="s">
        <v>773</v>
      </c>
      <c r="F369" t="s">
        <v>756</v>
      </c>
      <c r="G369" t="s">
        <v>616</v>
      </c>
      <c r="H369" t="s">
        <v>458</v>
      </c>
      <c r="I369" t="s">
        <v>374</v>
      </c>
      <c r="J369" t="s">
        <v>757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616</v>
      </c>
      <c r="B370" t="s">
        <v>754</v>
      </c>
      <c r="C370" t="s">
        <v>609</v>
      </c>
      <c r="D370" t="s">
        <v>523</v>
      </c>
      <c r="E370" t="s">
        <v>774</v>
      </c>
      <c r="F370" t="s">
        <v>756</v>
      </c>
      <c r="G370" t="s">
        <v>616</v>
      </c>
      <c r="H370" t="s">
        <v>458</v>
      </c>
      <c r="I370" t="s">
        <v>374</v>
      </c>
      <c r="J370" t="s">
        <v>757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616</v>
      </c>
      <c r="B371" t="s">
        <v>754</v>
      </c>
      <c r="C371" t="s">
        <v>609</v>
      </c>
      <c r="D371" t="s">
        <v>523</v>
      </c>
      <c r="E371" t="s">
        <v>775</v>
      </c>
      <c r="F371" t="s">
        <v>756</v>
      </c>
      <c r="G371" t="s">
        <v>616</v>
      </c>
      <c r="H371" t="s">
        <v>458</v>
      </c>
      <c r="I371" t="s">
        <v>374</v>
      </c>
      <c r="J371" t="s">
        <v>757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616</v>
      </c>
      <c r="B372" t="s">
        <v>754</v>
      </c>
      <c r="C372" t="s">
        <v>609</v>
      </c>
      <c r="D372" t="s">
        <v>523</v>
      </c>
      <c r="E372" t="s">
        <v>776</v>
      </c>
      <c r="F372" t="s">
        <v>756</v>
      </c>
      <c r="G372" t="s">
        <v>616</v>
      </c>
      <c r="H372" t="s">
        <v>458</v>
      </c>
      <c r="I372" t="s">
        <v>374</v>
      </c>
      <c r="J372" t="s">
        <v>757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616</v>
      </c>
      <c r="B373" t="s">
        <v>754</v>
      </c>
      <c r="C373" t="s">
        <v>368</v>
      </c>
      <c r="D373" t="s">
        <v>523</v>
      </c>
      <c r="E373" t="s">
        <v>777</v>
      </c>
      <c r="F373" t="s">
        <v>756</v>
      </c>
      <c r="G373" t="s">
        <v>616</v>
      </c>
      <c r="H373" t="s">
        <v>458</v>
      </c>
      <c r="I373" t="s">
        <v>374</v>
      </c>
      <c r="J373" t="s">
        <v>757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616</v>
      </c>
      <c r="B374" t="s">
        <v>754</v>
      </c>
      <c r="C374" t="s">
        <v>368</v>
      </c>
      <c r="D374" t="s">
        <v>523</v>
      </c>
      <c r="E374" t="s">
        <v>778</v>
      </c>
      <c r="F374" t="s">
        <v>756</v>
      </c>
      <c r="G374" t="s">
        <v>616</v>
      </c>
      <c r="H374" t="s">
        <v>458</v>
      </c>
      <c r="I374" t="s">
        <v>374</v>
      </c>
      <c r="J374" t="s">
        <v>757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616</v>
      </c>
      <c r="B375" t="s">
        <v>779</v>
      </c>
      <c r="C375" t="s">
        <v>368</v>
      </c>
      <c r="D375" t="s">
        <v>523</v>
      </c>
      <c r="E375" t="s">
        <v>780</v>
      </c>
      <c r="F375" t="s">
        <v>781</v>
      </c>
      <c r="G375" t="s">
        <v>616</v>
      </c>
      <c r="H375" t="s">
        <v>458</v>
      </c>
      <c r="I375" t="s">
        <v>374</v>
      </c>
      <c r="J375" t="s">
        <v>782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616</v>
      </c>
      <c r="B376" t="s">
        <v>779</v>
      </c>
      <c r="C376" t="s">
        <v>368</v>
      </c>
      <c r="D376" t="s">
        <v>523</v>
      </c>
      <c r="E376" t="s">
        <v>783</v>
      </c>
      <c r="F376" t="s">
        <v>781</v>
      </c>
      <c r="G376" t="s">
        <v>616</v>
      </c>
      <c r="H376" t="s">
        <v>458</v>
      </c>
      <c r="I376" t="s">
        <v>374</v>
      </c>
      <c r="J376" t="s">
        <v>782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616</v>
      </c>
      <c r="B377" t="s">
        <v>779</v>
      </c>
      <c r="C377" t="s">
        <v>368</v>
      </c>
      <c r="D377" t="s">
        <v>523</v>
      </c>
      <c r="E377" t="s">
        <v>222</v>
      </c>
      <c r="F377" t="s">
        <v>781</v>
      </c>
      <c r="G377" t="s">
        <v>616</v>
      </c>
      <c r="H377" t="s">
        <v>458</v>
      </c>
      <c r="I377" t="s">
        <v>374</v>
      </c>
      <c r="J377" t="s">
        <v>782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616</v>
      </c>
      <c r="B378" t="s">
        <v>779</v>
      </c>
      <c r="C378" t="s">
        <v>368</v>
      </c>
      <c r="D378" t="s">
        <v>523</v>
      </c>
      <c r="E378" t="s">
        <v>784</v>
      </c>
      <c r="F378" t="s">
        <v>781</v>
      </c>
      <c r="G378" t="s">
        <v>616</v>
      </c>
      <c r="H378" t="s">
        <v>458</v>
      </c>
      <c r="I378" t="s">
        <v>374</v>
      </c>
      <c r="J378" t="s">
        <v>782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616</v>
      </c>
      <c r="B379" t="s">
        <v>779</v>
      </c>
      <c r="C379" t="s">
        <v>368</v>
      </c>
      <c r="D379" t="s">
        <v>523</v>
      </c>
      <c r="E379" t="s">
        <v>785</v>
      </c>
      <c r="F379" t="s">
        <v>781</v>
      </c>
      <c r="G379" t="s">
        <v>616</v>
      </c>
      <c r="H379" t="s">
        <v>458</v>
      </c>
      <c r="I379" t="s">
        <v>374</v>
      </c>
      <c r="J379" t="s">
        <v>782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616</v>
      </c>
      <c r="B380" t="s">
        <v>779</v>
      </c>
      <c r="C380" t="s">
        <v>368</v>
      </c>
      <c r="D380" t="s">
        <v>523</v>
      </c>
      <c r="E380" t="s">
        <v>786</v>
      </c>
      <c r="F380" t="s">
        <v>781</v>
      </c>
      <c r="G380" t="s">
        <v>616</v>
      </c>
      <c r="H380" t="s">
        <v>458</v>
      </c>
      <c r="I380" t="s">
        <v>374</v>
      </c>
      <c r="J380" t="s">
        <v>782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616</v>
      </c>
      <c r="B381" t="s">
        <v>779</v>
      </c>
      <c r="C381" t="s">
        <v>368</v>
      </c>
      <c r="D381" t="s">
        <v>523</v>
      </c>
      <c r="E381" t="s">
        <v>787</v>
      </c>
      <c r="F381" t="s">
        <v>781</v>
      </c>
      <c r="G381" t="s">
        <v>616</v>
      </c>
      <c r="H381" t="s">
        <v>458</v>
      </c>
      <c r="I381" t="s">
        <v>374</v>
      </c>
      <c r="J381" t="s">
        <v>782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616</v>
      </c>
      <c r="B382" t="s">
        <v>779</v>
      </c>
      <c r="C382" t="s">
        <v>368</v>
      </c>
      <c r="D382" t="s">
        <v>523</v>
      </c>
      <c r="E382" t="s">
        <v>788</v>
      </c>
      <c r="F382" t="s">
        <v>781</v>
      </c>
      <c r="G382" t="s">
        <v>616</v>
      </c>
      <c r="H382" t="s">
        <v>458</v>
      </c>
      <c r="I382" t="s">
        <v>374</v>
      </c>
      <c r="J382" t="s">
        <v>782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616</v>
      </c>
      <c r="B383" t="s">
        <v>779</v>
      </c>
      <c r="C383" t="s">
        <v>368</v>
      </c>
      <c r="D383" t="s">
        <v>523</v>
      </c>
      <c r="E383" t="s">
        <v>789</v>
      </c>
      <c r="F383" t="s">
        <v>781</v>
      </c>
      <c r="G383" t="s">
        <v>616</v>
      </c>
      <c r="H383" t="s">
        <v>458</v>
      </c>
      <c r="I383" t="s">
        <v>374</v>
      </c>
      <c r="J383" t="s">
        <v>782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616</v>
      </c>
      <c r="B384" t="s">
        <v>779</v>
      </c>
      <c r="C384" t="s">
        <v>368</v>
      </c>
      <c r="D384" t="s">
        <v>523</v>
      </c>
      <c r="E384" t="s">
        <v>790</v>
      </c>
      <c r="F384" t="s">
        <v>781</v>
      </c>
      <c r="G384" t="s">
        <v>616</v>
      </c>
      <c r="H384" t="s">
        <v>458</v>
      </c>
      <c r="I384" t="s">
        <v>374</v>
      </c>
      <c r="J384" t="s">
        <v>782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616</v>
      </c>
      <c r="B385" t="s">
        <v>779</v>
      </c>
      <c r="C385" t="s">
        <v>368</v>
      </c>
      <c r="D385" t="s">
        <v>523</v>
      </c>
      <c r="E385" t="s">
        <v>791</v>
      </c>
      <c r="F385" t="s">
        <v>781</v>
      </c>
      <c r="G385" t="s">
        <v>616</v>
      </c>
      <c r="H385" t="s">
        <v>458</v>
      </c>
      <c r="I385" t="s">
        <v>374</v>
      </c>
      <c r="J385" t="s">
        <v>782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616</v>
      </c>
      <c r="B386" t="s">
        <v>779</v>
      </c>
      <c r="C386" t="s">
        <v>609</v>
      </c>
      <c r="D386" t="s">
        <v>523</v>
      </c>
      <c r="E386" t="s">
        <v>792</v>
      </c>
      <c r="F386" t="s">
        <v>781</v>
      </c>
      <c r="G386" t="s">
        <v>616</v>
      </c>
      <c r="H386" t="s">
        <v>458</v>
      </c>
      <c r="I386" t="s">
        <v>374</v>
      </c>
      <c r="J386" t="s">
        <v>782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616</v>
      </c>
      <c r="B387" t="s">
        <v>779</v>
      </c>
      <c r="C387" t="s">
        <v>609</v>
      </c>
      <c r="D387" t="s">
        <v>523</v>
      </c>
      <c r="E387" t="s">
        <v>793</v>
      </c>
      <c r="F387" t="s">
        <v>781</v>
      </c>
      <c r="G387" t="s">
        <v>616</v>
      </c>
      <c r="H387" t="s">
        <v>458</v>
      </c>
      <c r="I387" t="s">
        <v>374</v>
      </c>
      <c r="J387" t="s">
        <v>782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616</v>
      </c>
      <c r="B388" t="s">
        <v>779</v>
      </c>
      <c r="C388" t="s">
        <v>368</v>
      </c>
      <c r="D388" t="s">
        <v>523</v>
      </c>
      <c r="E388" t="s">
        <v>794</v>
      </c>
      <c r="F388" t="s">
        <v>781</v>
      </c>
      <c r="G388" t="s">
        <v>616</v>
      </c>
      <c r="H388" t="s">
        <v>458</v>
      </c>
      <c r="I388" t="s">
        <v>374</v>
      </c>
      <c r="J388" t="s">
        <v>782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616</v>
      </c>
      <c r="B389" t="s">
        <v>779</v>
      </c>
      <c r="C389" t="s">
        <v>368</v>
      </c>
      <c r="D389" t="s">
        <v>523</v>
      </c>
      <c r="E389" t="s">
        <v>795</v>
      </c>
      <c r="F389" t="s">
        <v>781</v>
      </c>
      <c r="G389" t="s">
        <v>616</v>
      </c>
      <c r="H389" t="s">
        <v>458</v>
      </c>
      <c r="I389" t="s">
        <v>374</v>
      </c>
      <c r="J389" t="s">
        <v>782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616</v>
      </c>
      <c r="B390" t="s">
        <v>796</v>
      </c>
      <c r="C390" t="s">
        <v>368</v>
      </c>
      <c r="D390" t="s">
        <v>523</v>
      </c>
      <c r="E390" t="s">
        <v>797</v>
      </c>
      <c r="F390" t="s">
        <v>798</v>
      </c>
      <c r="G390" t="s">
        <v>616</v>
      </c>
      <c r="H390" t="s">
        <v>458</v>
      </c>
      <c r="I390" t="s">
        <v>374</v>
      </c>
      <c r="J390" t="s">
        <v>799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616</v>
      </c>
      <c r="B391" t="s">
        <v>796</v>
      </c>
      <c r="C391" t="s">
        <v>368</v>
      </c>
      <c r="D391" t="s">
        <v>523</v>
      </c>
      <c r="E391" t="s">
        <v>800</v>
      </c>
      <c r="F391" t="s">
        <v>798</v>
      </c>
      <c r="G391" t="s">
        <v>616</v>
      </c>
      <c r="H391" t="s">
        <v>458</v>
      </c>
      <c r="I391" t="s">
        <v>374</v>
      </c>
      <c r="J391" t="s">
        <v>799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616</v>
      </c>
      <c r="B392" t="s">
        <v>796</v>
      </c>
      <c r="C392" t="s">
        <v>368</v>
      </c>
      <c r="D392" t="s">
        <v>523</v>
      </c>
      <c r="E392" t="s">
        <v>801</v>
      </c>
      <c r="F392" t="s">
        <v>798</v>
      </c>
      <c r="G392" t="s">
        <v>616</v>
      </c>
      <c r="H392" t="s">
        <v>458</v>
      </c>
      <c r="I392" t="s">
        <v>374</v>
      </c>
      <c r="J392" t="s">
        <v>799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616</v>
      </c>
      <c r="B393" t="s">
        <v>796</v>
      </c>
      <c r="C393" t="s">
        <v>368</v>
      </c>
      <c r="D393" t="s">
        <v>523</v>
      </c>
      <c r="E393" t="s">
        <v>802</v>
      </c>
      <c r="F393" t="s">
        <v>798</v>
      </c>
      <c r="G393" t="s">
        <v>616</v>
      </c>
      <c r="H393" t="s">
        <v>458</v>
      </c>
      <c r="I393" t="s">
        <v>374</v>
      </c>
      <c r="J393" t="s">
        <v>799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616</v>
      </c>
      <c r="B394" t="s">
        <v>796</v>
      </c>
      <c r="C394" t="s">
        <v>368</v>
      </c>
      <c r="D394" t="s">
        <v>523</v>
      </c>
      <c r="E394" t="s">
        <v>803</v>
      </c>
      <c r="F394" t="s">
        <v>798</v>
      </c>
      <c r="G394" t="s">
        <v>616</v>
      </c>
      <c r="H394" t="s">
        <v>458</v>
      </c>
      <c r="I394" t="s">
        <v>374</v>
      </c>
      <c r="J394" t="s">
        <v>799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616</v>
      </c>
      <c r="B395" t="s">
        <v>796</v>
      </c>
      <c r="C395" t="s">
        <v>368</v>
      </c>
      <c r="D395" t="s">
        <v>523</v>
      </c>
      <c r="E395" t="s">
        <v>804</v>
      </c>
      <c r="F395" t="s">
        <v>798</v>
      </c>
      <c r="G395" t="s">
        <v>616</v>
      </c>
      <c r="H395" t="s">
        <v>458</v>
      </c>
      <c r="I395" t="s">
        <v>374</v>
      </c>
      <c r="J395" t="s">
        <v>799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616</v>
      </c>
      <c r="B396" t="s">
        <v>796</v>
      </c>
      <c r="C396" t="s">
        <v>368</v>
      </c>
      <c r="D396" t="s">
        <v>523</v>
      </c>
      <c r="E396" t="s">
        <v>805</v>
      </c>
      <c r="F396" t="s">
        <v>798</v>
      </c>
      <c r="G396" t="s">
        <v>616</v>
      </c>
      <c r="H396" t="s">
        <v>458</v>
      </c>
      <c r="I396" t="s">
        <v>374</v>
      </c>
      <c r="J396" t="s">
        <v>799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616</v>
      </c>
      <c r="B397" t="s">
        <v>796</v>
      </c>
      <c r="C397" t="s">
        <v>368</v>
      </c>
      <c r="D397" t="s">
        <v>523</v>
      </c>
      <c r="E397" t="s">
        <v>806</v>
      </c>
      <c r="F397" t="s">
        <v>798</v>
      </c>
      <c r="G397" t="s">
        <v>616</v>
      </c>
      <c r="H397" t="s">
        <v>458</v>
      </c>
      <c r="I397" t="s">
        <v>374</v>
      </c>
      <c r="J397" t="s">
        <v>799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616</v>
      </c>
      <c r="B398" t="s">
        <v>796</v>
      </c>
      <c r="C398" t="s">
        <v>368</v>
      </c>
      <c r="D398" t="s">
        <v>523</v>
      </c>
      <c r="E398" t="s">
        <v>807</v>
      </c>
      <c r="F398" t="s">
        <v>798</v>
      </c>
      <c r="G398" t="s">
        <v>616</v>
      </c>
      <c r="H398" t="s">
        <v>458</v>
      </c>
      <c r="I398" t="s">
        <v>374</v>
      </c>
      <c r="J398" t="s">
        <v>799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616</v>
      </c>
      <c r="B399" t="s">
        <v>796</v>
      </c>
      <c r="C399" t="s">
        <v>368</v>
      </c>
      <c r="D399" t="s">
        <v>523</v>
      </c>
      <c r="E399" t="s">
        <v>808</v>
      </c>
      <c r="F399" t="s">
        <v>798</v>
      </c>
      <c r="G399" t="s">
        <v>616</v>
      </c>
      <c r="H399" t="s">
        <v>458</v>
      </c>
      <c r="I399" t="s">
        <v>374</v>
      </c>
      <c r="J399" t="s">
        <v>799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616</v>
      </c>
      <c r="B400" t="s">
        <v>796</v>
      </c>
      <c r="C400" t="s">
        <v>368</v>
      </c>
      <c r="D400" t="s">
        <v>523</v>
      </c>
      <c r="E400" t="s">
        <v>809</v>
      </c>
      <c r="F400" t="s">
        <v>798</v>
      </c>
      <c r="G400" t="s">
        <v>616</v>
      </c>
      <c r="H400" t="s">
        <v>458</v>
      </c>
      <c r="I400" t="s">
        <v>374</v>
      </c>
      <c r="J400" t="s">
        <v>799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616</v>
      </c>
      <c r="B401" t="s">
        <v>796</v>
      </c>
      <c r="C401" t="s">
        <v>368</v>
      </c>
      <c r="D401" t="s">
        <v>523</v>
      </c>
      <c r="E401" t="s">
        <v>810</v>
      </c>
      <c r="F401" t="s">
        <v>798</v>
      </c>
      <c r="G401" t="s">
        <v>616</v>
      </c>
      <c r="H401" t="s">
        <v>458</v>
      </c>
      <c r="I401" t="s">
        <v>374</v>
      </c>
      <c r="J401" t="s">
        <v>799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616</v>
      </c>
      <c r="B402" t="s">
        <v>796</v>
      </c>
      <c r="C402" t="s">
        <v>368</v>
      </c>
      <c r="D402" t="s">
        <v>523</v>
      </c>
      <c r="E402" t="s">
        <v>811</v>
      </c>
      <c r="F402" t="s">
        <v>798</v>
      </c>
      <c r="G402" t="s">
        <v>616</v>
      </c>
      <c r="H402" t="s">
        <v>458</v>
      </c>
      <c r="I402" t="s">
        <v>374</v>
      </c>
      <c r="J402" t="s">
        <v>799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616</v>
      </c>
      <c r="B403" t="s">
        <v>796</v>
      </c>
      <c r="C403" t="s">
        <v>368</v>
      </c>
      <c r="D403" t="s">
        <v>523</v>
      </c>
      <c r="E403" t="s">
        <v>812</v>
      </c>
      <c r="F403" t="s">
        <v>798</v>
      </c>
      <c r="G403" t="s">
        <v>616</v>
      </c>
      <c r="H403" t="s">
        <v>458</v>
      </c>
      <c r="I403" t="s">
        <v>374</v>
      </c>
      <c r="J403" t="s">
        <v>799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616</v>
      </c>
      <c r="B404" t="s">
        <v>796</v>
      </c>
      <c r="C404" t="s">
        <v>368</v>
      </c>
      <c r="D404" t="s">
        <v>523</v>
      </c>
      <c r="E404" t="s">
        <v>813</v>
      </c>
      <c r="F404" t="s">
        <v>798</v>
      </c>
      <c r="G404" t="s">
        <v>616</v>
      </c>
      <c r="H404" t="s">
        <v>458</v>
      </c>
      <c r="I404" t="s">
        <v>374</v>
      </c>
      <c r="J404" t="s">
        <v>799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616</v>
      </c>
      <c r="B405" t="s">
        <v>796</v>
      </c>
      <c r="C405" t="s">
        <v>609</v>
      </c>
      <c r="D405" t="s">
        <v>523</v>
      </c>
      <c r="E405" t="s">
        <v>814</v>
      </c>
      <c r="F405" t="s">
        <v>798</v>
      </c>
      <c r="G405" t="s">
        <v>616</v>
      </c>
      <c r="H405" t="s">
        <v>458</v>
      </c>
      <c r="I405" t="s">
        <v>374</v>
      </c>
      <c r="J405" t="s">
        <v>799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616</v>
      </c>
      <c r="B406" t="s">
        <v>796</v>
      </c>
      <c r="C406" t="s">
        <v>609</v>
      </c>
      <c r="D406" t="s">
        <v>523</v>
      </c>
      <c r="E406" t="s">
        <v>815</v>
      </c>
      <c r="F406" t="s">
        <v>798</v>
      </c>
      <c r="G406" t="s">
        <v>616</v>
      </c>
      <c r="H406" t="s">
        <v>458</v>
      </c>
      <c r="I406" t="s">
        <v>374</v>
      </c>
      <c r="J406" t="s">
        <v>799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616</v>
      </c>
      <c r="B407" t="s">
        <v>796</v>
      </c>
      <c r="C407" t="s">
        <v>609</v>
      </c>
      <c r="D407" t="s">
        <v>523</v>
      </c>
      <c r="E407" t="s">
        <v>816</v>
      </c>
      <c r="F407" t="s">
        <v>798</v>
      </c>
      <c r="G407" t="s">
        <v>616</v>
      </c>
      <c r="H407" t="s">
        <v>458</v>
      </c>
      <c r="I407" t="s">
        <v>374</v>
      </c>
      <c r="J407" t="s">
        <v>799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616</v>
      </c>
      <c r="B408" t="s">
        <v>796</v>
      </c>
      <c r="C408" t="s">
        <v>609</v>
      </c>
      <c r="D408" t="s">
        <v>523</v>
      </c>
      <c r="E408" t="s">
        <v>817</v>
      </c>
      <c r="F408" t="s">
        <v>798</v>
      </c>
      <c r="G408" t="s">
        <v>616</v>
      </c>
      <c r="H408" t="s">
        <v>458</v>
      </c>
      <c r="I408" t="s">
        <v>374</v>
      </c>
      <c r="J408" t="s">
        <v>799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616</v>
      </c>
      <c r="B409" t="s">
        <v>796</v>
      </c>
      <c r="C409" t="s">
        <v>609</v>
      </c>
      <c r="D409" t="s">
        <v>523</v>
      </c>
      <c r="E409" t="s">
        <v>818</v>
      </c>
      <c r="F409" t="s">
        <v>798</v>
      </c>
      <c r="G409" t="s">
        <v>616</v>
      </c>
      <c r="H409" t="s">
        <v>458</v>
      </c>
      <c r="I409" t="s">
        <v>374</v>
      </c>
      <c r="J409" t="s">
        <v>799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616</v>
      </c>
      <c r="B410" t="s">
        <v>796</v>
      </c>
      <c r="C410" t="s">
        <v>368</v>
      </c>
      <c r="D410" t="s">
        <v>523</v>
      </c>
      <c r="E410" t="s">
        <v>819</v>
      </c>
      <c r="F410" t="s">
        <v>798</v>
      </c>
      <c r="G410" t="s">
        <v>616</v>
      </c>
      <c r="H410" t="s">
        <v>458</v>
      </c>
      <c r="I410" t="s">
        <v>374</v>
      </c>
      <c r="J410" t="s">
        <v>799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616</v>
      </c>
      <c r="B411" t="s">
        <v>796</v>
      </c>
      <c r="C411" t="s">
        <v>368</v>
      </c>
      <c r="D411" t="s">
        <v>523</v>
      </c>
      <c r="E411" t="s">
        <v>820</v>
      </c>
      <c r="F411" t="s">
        <v>798</v>
      </c>
      <c r="G411" t="s">
        <v>616</v>
      </c>
      <c r="H411" t="s">
        <v>458</v>
      </c>
      <c r="I411" t="s">
        <v>374</v>
      </c>
      <c r="J411" t="s">
        <v>799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616</v>
      </c>
      <c r="B412" t="s">
        <v>821</v>
      </c>
      <c r="C412" t="s">
        <v>368</v>
      </c>
      <c r="D412" t="s">
        <v>523</v>
      </c>
      <c r="E412" t="s">
        <v>822</v>
      </c>
      <c r="F412" t="s">
        <v>823</v>
      </c>
      <c r="G412" t="s">
        <v>616</v>
      </c>
      <c r="H412" t="s">
        <v>458</v>
      </c>
      <c r="I412" t="s">
        <v>374</v>
      </c>
      <c r="J412" t="s">
        <v>824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616</v>
      </c>
      <c r="B413" t="s">
        <v>821</v>
      </c>
      <c r="C413" t="s">
        <v>368</v>
      </c>
      <c r="D413" t="s">
        <v>523</v>
      </c>
      <c r="E413" t="s">
        <v>825</v>
      </c>
      <c r="F413" t="s">
        <v>823</v>
      </c>
      <c r="G413" t="s">
        <v>616</v>
      </c>
      <c r="H413" t="s">
        <v>458</v>
      </c>
      <c r="I413" t="s">
        <v>374</v>
      </c>
      <c r="J413" t="s">
        <v>824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616</v>
      </c>
      <c r="B414" t="s">
        <v>821</v>
      </c>
      <c r="C414" t="s">
        <v>368</v>
      </c>
      <c r="D414" t="s">
        <v>523</v>
      </c>
      <c r="E414" t="s">
        <v>826</v>
      </c>
      <c r="F414" t="s">
        <v>823</v>
      </c>
      <c r="G414" t="s">
        <v>616</v>
      </c>
      <c r="H414" t="s">
        <v>458</v>
      </c>
      <c r="I414" t="s">
        <v>374</v>
      </c>
      <c r="J414" t="s">
        <v>824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616</v>
      </c>
      <c r="B415" t="s">
        <v>821</v>
      </c>
      <c r="C415" t="s">
        <v>368</v>
      </c>
      <c r="D415" t="s">
        <v>523</v>
      </c>
      <c r="E415" t="s">
        <v>827</v>
      </c>
      <c r="F415" t="s">
        <v>823</v>
      </c>
      <c r="G415" t="s">
        <v>616</v>
      </c>
      <c r="H415" t="s">
        <v>458</v>
      </c>
      <c r="I415" t="s">
        <v>374</v>
      </c>
      <c r="J415" t="s">
        <v>824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616</v>
      </c>
      <c r="B416" t="s">
        <v>821</v>
      </c>
      <c r="C416" t="s">
        <v>368</v>
      </c>
      <c r="D416" t="s">
        <v>523</v>
      </c>
      <c r="E416" t="s">
        <v>828</v>
      </c>
      <c r="F416" t="s">
        <v>823</v>
      </c>
      <c r="G416" t="s">
        <v>616</v>
      </c>
      <c r="H416" t="s">
        <v>458</v>
      </c>
      <c r="I416" t="s">
        <v>374</v>
      </c>
      <c r="J416" t="s">
        <v>824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616</v>
      </c>
      <c r="B417" t="s">
        <v>821</v>
      </c>
      <c r="C417" t="s">
        <v>368</v>
      </c>
      <c r="D417" t="s">
        <v>523</v>
      </c>
      <c r="E417" t="s">
        <v>829</v>
      </c>
      <c r="F417" t="s">
        <v>823</v>
      </c>
      <c r="G417" t="s">
        <v>616</v>
      </c>
      <c r="H417" t="s">
        <v>458</v>
      </c>
      <c r="I417" t="s">
        <v>374</v>
      </c>
      <c r="J417" t="s">
        <v>824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616</v>
      </c>
      <c r="B418" t="s">
        <v>821</v>
      </c>
      <c r="C418" t="s">
        <v>368</v>
      </c>
      <c r="D418" t="s">
        <v>523</v>
      </c>
      <c r="E418" t="s">
        <v>830</v>
      </c>
      <c r="F418" t="s">
        <v>823</v>
      </c>
      <c r="G418" t="s">
        <v>616</v>
      </c>
      <c r="H418" t="s">
        <v>458</v>
      </c>
      <c r="I418" t="s">
        <v>374</v>
      </c>
      <c r="J418" t="s">
        <v>824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616</v>
      </c>
      <c r="B419" t="s">
        <v>821</v>
      </c>
      <c r="C419" t="s">
        <v>368</v>
      </c>
      <c r="D419" t="s">
        <v>523</v>
      </c>
      <c r="E419" t="s">
        <v>831</v>
      </c>
      <c r="F419" t="s">
        <v>823</v>
      </c>
      <c r="G419" t="s">
        <v>616</v>
      </c>
      <c r="H419" t="s">
        <v>458</v>
      </c>
      <c r="I419" t="s">
        <v>374</v>
      </c>
      <c r="J419" t="s">
        <v>824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616</v>
      </c>
      <c r="B420" t="s">
        <v>821</v>
      </c>
      <c r="C420" t="s">
        <v>368</v>
      </c>
      <c r="D420" t="s">
        <v>523</v>
      </c>
      <c r="E420" t="s">
        <v>832</v>
      </c>
      <c r="F420" t="s">
        <v>823</v>
      </c>
      <c r="G420" t="s">
        <v>616</v>
      </c>
      <c r="H420" t="s">
        <v>458</v>
      </c>
      <c r="I420" t="s">
        <v>374</v>
      </c>
      <c r="J420" t="s">
        <v>824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616</v>
      </c>
      <c r="B421" t="s">
        <v>821</v>
      </c>
      <c r="C421" t="s">
        <v>368</v>
      </c>
      <c r="D421" t="s">
        <v>523</v>
      </c>
      <c r="E421" t="s">
        <v>833</v>
      </c>
      <c r="F421" t="s">
        <v>823</v>
      </c>
      <c r="G421" t="s">
        <v>616</v>
      </c>
      <c r="H421" t="s">
        <v>458</v>
      </c>
      <c r="I421" t="s">
        <v>374</v>
      </c>
      <c r="J421" t="s">
        <v>824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616</v>
      </c>
      <c r="B422" t="s">
        <v>821</v>
      </c>
      <c r="C422" t="s">
        <v>368</v>
      </c>
      <c r="D422" t="s">
        <v>523</v>
      </c>
      <c r="E422" t="s">
        <v>834</v>
      </c>
      <c r="F422" t="s">
        <v>823</v>
      </c>
      <c r="G422" t="s">
        <v>616</v>
      </c>
      <c r="H422" t="s">
        <v>458</v>
      </c>
      <c r="I422" t="s">
        <v>374</v>
      </c>
      <c r="J422" t="s">
        <v>824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616</v>
      </c>
      <c r="B423" t="s">
        <v>821</v>
      </c>
      <c r="C423" t="s">
        <v>368</v>
      </c>
      <c r="D423" t="s">
        <v>523</v>
      </c>
      <c r="E423" t="s">
        <v>835</v>
      </c>
      <c r="F423" t="s">
        <v>823</v>
      </c>
      <c r="G423" t="s">
        <v>616</v>
      </c>
      <c r="H423" t="s">
        <v>458</v>
      </c>
      <c r="I423" t="s">
        <v>374</v>
      </c>
      <c r="J423" t="s">
        <v>824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616</v>
      </c>
      <c r="B424" t="s">
        <v>821</v>
      </c>
      <c r="C424" t="s">
        <v>368</v>
      </c>
      <c r="D424" t="s">
        <v>523</v>
      </c>
      <c r="E424" t="s">
        <v>836</v>
      </c>
      <c r="F424" t="s">
        <v>823</v>
      </c>
      <c r="G424" t="s">
        <v>616</v>
      </c>
      <c r="H424" t="s">
        <v>458</v>
      </c>
      <c r="I424" t="s">
        <v>374</v>
      </c>
      <c r="J424" t="s">
        <v>824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616</v>
      </c>
      <c r="B425" t="s">
        <v>821</v>
      </c>
      <c r="C425" t="s">
        <v>368</v>
      </c>
      <c r="D425" t="s">
        <v>523</v>
      </c>
      <c r="E425" t="s">
        <v>837</v>
      </c>
      <c r="F425" t="s">
        <v>823</v>
      </c>
      <c r="G425" t="s">
        <v>616</v>
      </c>
      <c r="H425" t="s">
        <v>458</v>
      </c>
      <c r="I425" t="s">
        <v>374</v>
      </c>
      <c r="J425" t="s">
        <v>824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616</v>
      </c>
      <c r="B426" t="s">
        <v>821</v>
      </c>
      <c r="C426" t="s">
        <v>368</v>
      </c>
      <c r="D426" t="s">
        <v>523</v>
      </c>
      <c r="E426" t="s">
        <v>838</v>
      </c>
      <c r="F426" t="s">
        <v>823</v>
      </c>
      <c r="G426" t="s">
        <v>616</v>
      </c>
      <c r="H426" t="s">
        <v>458</v>
      </c>
      <c r="I426" t="s">
        <v>374</v>
      </c>
      <c r="J426" t="s">
        <v>824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616</v>
      </c>
      <c r="B427" t="s">
        <v>821</v>
      </c>
      <c r="C427" t="s">
        <v>609</v>
      </c>
      <c r="D427" t="s">
        <v>523</v>
      </c>
      <c r="E427" t="s">
        <v>839</v>
      </c>
      <c r="F427" t="s">
        <v>823</v>
      </c>
      <c r="G427" t="s">
        <v>616</v>
      </c>
      <c r="H427" t="s">
        <v>458</v>
      </c>
      <c r="I427" t="s">
        <v>374</v>
      </c>
      <c r="J427" t="s">
        <v>824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616</v>
      </c>
      <c r="B428" t="s">
        <v>821</v>
      </c>
      <c r="C428" t="s">
        <v>609</v>
      </c>
      <c r="D428" t="s">
        <v>523</v>
      </c>
      <c r="E428" t="s">
        <v>840</v>
      </c>
      <c r="F428" t="s">
        <v>823</v>
      </c>
      <c r="G428" t="s">
        <v>616</v>
      </c>
      <c r="H428" t="s">
        <v>458</v>
      </c>
      <c r="I428" t="s">
        <v>374</v>
      </c>
      <c r="J428" t="s">
        <v>824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616</v>
      </c>
      <c r="B429" t="s">
        <v>821</v>
      </c>
      <c r="C429" t="s">
        <v>609</v>
      </c>
      <c r="D429" t="s">
        <v>523</v>
      </c>
      <c r="E429" t="s">
        <v>841</v>
      </c>
      <c r="F429" t="s">
        <v>823</v>
      </c>
      <c r="G429" t="s">
        <v>616</v>
      </c>
      <c r="H429" t="s">
        <v>458</v>
      </c>
      <c r="I429" t="s">
        <v>374</v>
      </c>
      <c r="J429" t="s">
        <v>824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616</v>
      </c>
      <c r="B430" t="s">
        <v>821</v>
      </c>
      <c r="C430" t="s">
        <v>609</v>
      </c>
      <c r="D430" t="s">
        <v>523</v>
      </c>
      <c r="E430" t="s">
        <v>842</v>
      </c>
      <c r="F430" t="s">
        <v>823</v>
      </c>
      <c r="G430" t="s">
        <v>616</v>
      </c>
      <c r="H430" t="s">
        <v>458</v>
      </c>
      <c r="I430" t="s">
        <v>374</v>
      </c>
      <c r="J430" t="s">
        <v>824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616</v>
      </c>
      <c r="B431" t="s">
        <v>821</v>
      </c>
      <c r="C431" t="s">
        <v>609</v>
      </c>
      <c r="D431" t="s">
        <v>523</v>
      </c>
      <c r="E431" t="s">
        <v>843</v>
      </c>
      <c r="F431" t="s">
        <v>823</v>
      </c>
      <c r="G431" t="s">
        <v>616</v>
      </c>
      <c r="H431" t="s">
        <v>458</v>
      </c>
      <c r="I431" t="s">
        <v>374</v>
      </c>
      <c r="J431" t="s">
        <v>824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616</v>
      </c>
      <c r="B432" t="s">
        <v>821</v>
      </c>
      <c r="C432" t="s">
        <v>368</v>
      </c>
      <c r="D432" t="s">
        <v>523</v>
      </c>
      <c r="E432" t="s">
        <v>844</v>
      </c>
      <c r="F432" t="s">
        <v>823</v>
      </c>
      <c r="G432" t="s">
        <v>616</v>
      </c>
      <c r="H432" t="s">
        <v>458</v>
      </c>
      <c r="I432" t="s">
        <v>374</v>
      </c>
      <c r="J432" t="s">
        <v>824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616</v>
      </c>
      <c r="B433" t="s">
        <v>821</v>
      </c>
      <c r="C433" t="s">
        <v>368</v>
      </c>
      <c r="D433" t="s">
        <v>523</v>
      </c>
      <c r="E433" t="s">
        <v>845</v>
      </c>
      <c r="F433" t="s">
        <v>823</v>
      </c>
      <c r="G433" t="s">
        <v>616</v>
      </c>
      <c r="H433" t="s">
        <v>458</v>
      </c>
      <c r="I433" t="s">
        <v>374</v>
      </c>
      <c r="J433" t="s">
        <v>824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616</v>
      </c>
      <c r="B434" t="s">
        <v>846</v>
      </c>
      <c r="C434" t="s">
        <v>368</v>
      </c>
      <c r="D434" t="s">
        <v>523</v>
      </c>
      <c r="E434" t="s">
        <v>847</v>
      </c>
      <c r="F434" t="s">
        <v>848</v>
      </c>
      <c r="G434" t="s">
        <v>616</v>
      </c>
      <c r="H434" t="s">
        <v>458</v>
      </c>
      <c r="I434" t="s">
        <v>374</v>
      </c>
      <c r="J434" t="s">
        <v>849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616</v>
      </c>
      <c r="B435" t="s">
        <v>846</v>
      </c>
      <c r="C435" t="s">
        <v>368</v>
      </c>
      <c r="D435" t="s">
        <v>523</v>
      </c>
      <c r="E435" t="s">
        <v>850</v>
      </c>
      <c r="F435" t="s">
        <v>848</v>
      </c>
      <c r="G435" t="s">
        <v>616</v>
      </c>
      <c r="H435" t="s">
        <v>458</v>
      </c>
      <c r="I435" t="s">
        <v>374</v>
      </c>
      <c r="J435" t="s">
        <v>849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616</v>
      </c>
      <c r="B436" t="s">
        <v>846</v>
      </c>
      <c r="C436" t="s">
        <v>368</v>
      </c>
      <c r="D436" t="s">
        <v>523</v>
      </c>
      <c r="E436" t="s">
        <v>851</v>
      </c>
      <c r="F436" t="s">
        <v>848</v>
      </c>
      <c r="G436" t="s">
        <v>616</v>
      </c>
      <c r="H436" t="s">
        <v>458</v>
      </c>
      <c r="I436" t="s">
        <v>374</v>
      </c>
      <c r="J436" t="s">
        <v>849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616</v>
      </c>
      <c r="B437" t="s">
        <v>846</v>
      </c>
      <c r="C437" t="s">
        <v>368</v>
      </c>
      <c r="D437" t="s">
        <v>523</v>
      </c>
      <c r="E437" t="s">
        <v>852</v>
      </c>
      <c r="F437" t="s">
        <v>848</v>
      </c>
      <c r="G437" t="s">
        <v>616</v>
      </c>
      <c r="H437" t="s">
        <v>458</v>
      </c>
      <c r="I437" t="s">
        <v>374</v>
      </c>
      <c r="J437" t="s">
        <v>849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616</v>
      </c>
      <c r="B438" t="s">
        <v>846</v>
      </c>
      <c r="C438" t="s">
        <v>368</v>
      </c>
      <c r="D438" t="s">
        <v>523</v>
      </c>
      <c r="E438" t="s">
        <v>853</v>
      </c>
      <c r="F438" t="s">
        <v>848</v>
      </c>
      <c r="G438" t="s">
        <v>616</v>
      </c>
      <c r="H438" t="s">
        <v>458</v>
      </c>
      <c r="I438" t="s">
        <v>374</v>
      </c>
      <c r="J438" t="s">
        <v>849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616</v>
      </c>
      <c r="B439" t="s">
        <v>846</v>
      </c>
      <c r="C439" t="s">
        <v>368</v>
      </c>
      <c r="D439" t="s">
        <v>523</v>
      </c>
      <c r="E439" t="s">
        <v>854</v>
      </c>
      <c r="F439" t="s">
        <v>848</v>
      </c>
      <c r="G439" t="s">
        <v>616</v>
      </c>
      <c r="H439" t="s">
        <v>458</v>
      </c>
      <c r="I439" t="s">
        <v>374</v>
      </c>
      <c r="J439" t="s">
        <v>849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616</v>
      </c>
      <c r="B440" t="s">
        <v>846</v>
      </c>
      <c r="C440" t="s">
        <v>368</v>
      </c>
      <c r="D440" t="s">
        <v>523</v>
      </c>
      <c r="E440" t="s">
        <v>855</v>
      </c>
      <c r="F440" t="s">
        <v>848</v>
      </c>
      <c r="G440" t="s">
        <v>616</v>
      </c>
      <c r="H440" t="s">
        <v>458</v>
      </c>
      <c r="I440" t="s">
        <v>374</v>
      </c>
      <c r="J440" t="s">
        <v>849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616</v>
      </c>
      <c r="B441" t="s">
        <v>846</v>
      </c>
      <c r="C441" t="s">
        <v>368</v>
      </c>
      <c r="D441" t="s">
        <v>523</v>
      </c>
      <c r="E441" t="s">
        <v>856</v>
      </c>
      <c r="F441" t="s">
        <v>848</v>
      </c>
      <c r="G441" t="s">
        <v>616</v>
      </c>
      <c r="H441" t="s">
        <v>458</v>
      </c>
      <c r="I441" t="s">
        <v>374</v>
      </c>
      <c r="J441" t="s">
        <v>849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616</v>
      </c>
      <c r="B442" t="s">
        <v>846</v>
      </c>
      <c r="C442" t="s">
        <v>368</v>
      </c>
      <c r="D442" t="s">
        <v>523</v>
      </c>
      <c r="E442" t="s">
        <v>857</v>
      </c>
      <c r="F442" t="s">
        <v>848</v>
      </c>
      <c r="G442" t="s">
        <v>616</v>
      </c>
      <c r="H442" t="s">
        <v>458</v>
      </c>
      <c r="I442" t="s">
        <v>374</v>
      </c>
      <c r="J442" t="s">
        <v>849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616</v>
      </c>
      <c r="B443" t="s">
        <v>846</v>
      </c>
      <c r="C443" t="s">
        <v>368</v>
      </c>
      <c r="D443" t="s">
        <v>523</v>
      </c>
      <c r="E443" t="s">
        <v>858</v>
      </c>
      <c r="F443" t="s">
        <v>848</v>
      </c>
      <c r="G443" t="s">
        <v>616</v>
      </c>
      <c r="H443" t="s">
        <v>458</v>
      </c>
      <c r="I443" t="s">
        <v>374</v>
      </c>
      <c r="J443" t="s">
        <v>849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616</v>
      </c>
      <c r="B444" t="s">
        <v>846</v>
      </c>
      <c r="C444" t="s">
        <v>368</v>
      </c>
      <c r="D444" t="s">
        <v>523</v>
      </c>
      <c r="E444" t="s">
        <v>859</v>
      </c>
      <c r="F444" t="s">
        <v>848</v>
      </c>
      <c r="G444" t="s">
        <v>616</v>
      </c>
      <c r="H444" t="s">
        <v>458</v>
      </c>
      <c r="I444" t="s">
        <v>374</v>
      </c>
      <c r="J444" t="s">
        <v>849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616</v>
      </c>
      <c r="B445" t="s">
        <v>846</v>
      </c>
      <c r="C445" t="s">
        <v>368</v>
      </c>
      <c r="D445" t="s">
        <v>523</v>
      </c>
      <c r="E445" t="s">
        <v>860</v>
      </c>
      <c r="F445" t="s">
        <v>848</v>
      </c>
      <c r="G445" t="s">
        <v>616</v>
      </c>
      <c r="H445" t="s">
        <v>458</v>
      </c>
      <c r="I445" t="s">
        <v>374</v>
      </c>
      <c r="J445" t="s">
        <v>849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616</v>
      </c>
      <c r="B446" t="s">
        <v>846</v>
      </c>
      <c r="C446" t="s">
        <v>368</v>
      </c>
      <c r="D446" t="s">
        <v>523</v>
      </c>
      <c r="E446" t="s">
        <v>861</v>
      </c>
      <c r="F446" t="s">
        <v>848</v>
      </c>
      <c r="G446" t="s">
        <v>616</v>
      </c>
      <c r="H446" t="s">
        <v>458</v>
      </c>
      <c r="I446" t="s">
        <v>374</v>
      </c>
      <c r="J446" t="s">
        <v>849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616</v>
      </c>
      <c r="B447" t="s">
        <v>846</v>
      </c>
      <c r="C447" t="s">
        <v>368</v>
      </c>
      <c r="D447" t="s">
        <v>523</v>
      </c>
      <c r="E447" t="s">
        <v>862</v>
      </c>
      <c r="F447" t="s">
        <v>848</v>
      </c>
      <c r="G447" t="s">
        <v>616</v>
      </c>
      <c r="H447" t="s">
        <v>458</v>
      </c>
      <c r="I447" t="s">
        <v>374</v>
      </c>
      <c r="J447" t="s">
        <v>849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616</v>
      </c>
      <c r="B448" t="s">
        <v>846</v>
      </c>
      <c r="C448" t="s">
        <v>368</v>
      </c>
      <c r="D448" t="s">
        <v>523</v>
      </c>
      <c r="E448" t="s">
        <v>863</v>
      </c>
      <c r="F448" t="s">
        <v>848</v>
      </c>
      <c r="G448" t="s">
        <v>616</v>
      </c>
      <c r="H448" t="s">
        <v>458</v>
      </c>
      <c r="I448" t="s">
        <v>374</v>
      </c>
      <c r="J448" t="s">
        <v>849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616</v>
      </c>
      <c r="B449" t="s">
        <v>846</v>
      </c>
      <c r="C449" t="s">
        <v>609</v>
      </c>
      <c r="D449" t="s">
        <v>523</v>
      </c>
      <c r="E449" t="s">
        <v>864</v>
      </c>
      <c r="F449" t="s">
        <v>848</v>
      </c>
      <c r="G449" t="s">
        <v>616</v>
      </c>
      <c r="H449" t="s">
        <v>458</v>
      </c>
      <c r="I449" t="s">
        <v>374</v>
      </c>
      <c r="J449" t="s">
        <v>849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616</v>
      </c>
      <c r="B450" t="s">
        <v>846</v>
      </c>
      <c r="C450" t="s">
        <v>609</v>
      </c>
      <c r="D450" t="s">
        <v>523</v>
      </c>
      <c r="E450" t="s">
        <v>865</v>
      </c>
      <c r="F450" t="s">
        <v>848</v>
      </c>
      <c r="G450" t="s">
        <v>616</v>
      </c>
      <c r="H450" t="s">
        <v>458</v>
      </c>
      <c r="I450" t="s">
        <v>374</v>
      </c>
      <c r="J450" t="s">
        <v>849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616</v>
      </c>
      <c r="B451" t="s">
        <v>846</v>
      </c>
      <c r="C451" t="s">
        <v>609</v>
      </c>
      <c r="D451" t="s">
        <v>523</v>
      </c>
      <c r="E451" t="s">
        <v>866</v>
      </c>
      <c r="F451" t="s">
        <v>848</v>
      </c>
      <c r="G451" t="s">
        <v>616</v>
      </c>
      <c r="H451" t="s">
        <v>458</v>
      </c>
      <c r="I451" t="s">
        <v>374</v>
      </c>
      <c r="J451" t="s">
        <v>849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616</v>
      </c>
      <c r="B452" t="s">
        <v>846</v>
      </c>
      <c r="C452" t="s">
        <v>609</v>
      </c>
      <c r="D452" t="s">
        <v>523</v>
      </c>
      <c r="E452" t="s">
        <v>867</v>
      </c>
      <c r="F452" t="s">
        <v>848</v>
      </c>
      <c r="G452" t="s">
        <v>616</v>
      </c>
      <c r="H452" t="s">
        <v>458</v>
      </c>
      <c r="I452" t="s">
        <v>374</v>
      </c>
      <c r="J452" t="s">
        <v>849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616</v>
      </c>
      <c r="B453" t="s">
        <v>846</v>
      </c>
      <c r="C453" t="s">
        <v>609</v>
      </c>
      <c r="D453" t="s">
        <v>523</v>
      </c>
      <c r="E453" t="s">
        <v>868</v>
      </c>
      <c r="F453" t="s">
        <v>848</v>
      </c>
      <c r="G453" t="s">
        <v>616</v>
      </c>
      <c r="H453" t="s">
        <v>458</v>
      </c>
      <c r="I453" t="s">
        <v>374</v>
      </c>
      <c r="J453" t="s">
        <v>849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616</v>
      </c>
      <c r="B454" t="s">
        <v>846</v>
      </c>
      <c r="C454" t="s">
        <v>368</v>
      </c>
      <c r="D454" t="s">
        <v>523</v>
      </c>
      <c r="E454" t="s">
        <v>869</v>
      </c>
      <c r="F454" t="s">
        <v>848</v>
      </c>
      <c r="G454" t="s">
        <v>616</v>
      </c>
      <c r="H454" t="s">
        <v>458</v>
      </c>
      <c r="I454" t="s">
        <v>374</v>
      </c>
      <c r="J454" t="s">
        <v>849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616</v>
      </c>
      <c r="B455" t="s">
        <v>846</v>
      </c>
      <c r="C455" t="s">
        <v>368</v>
      </c>
      <c r="D455" t="s">
        <v>523</v>
      </c>
      <c r="E455" t="s">
        <v>870</v>
      </c>
      <c r="F455" t="s">
        <v>848</v>
      </c>
      <c r="G455" t="s">
        <v>616</v>
      </c>
      <c r="H455" t="s">
        <v>458</v>
      </c>
      <c r="I455" t="s">
        <v>374</v>
      </c>
      <c r="J455" t="s">
        <v>849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616</v>
      </c>
      <c r="B456" t="s">
        <v>871</v>
      </c>
      <c r="C456" t="s">
        <v>368</v>
      </c>
      <c r="D456" t="s">
        <v>523</v>
      </c>
      <c r="E456" t="s">
        <v>872</v>
      </c>
      <c r="F456" t="s">
        <v>873</v>
      </c>
      <c r="G456" t="s">
        <v>616</v>
      </c>
      <c r="H456" t="s">
        <v>458</v>
      </c>
      <c r="I456" t="s">
        <v>374</v>
      </c>
      <c r="J456" t="s">
        <v>874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616</v>
      </c>
      <c r="B457" t="s">
        <v>871</v>
      </c>
      <c r="C457" t="s">
        <v>368</v>
      </c>
      <c r="D457" t="s">
        <v>523</v>
      </c>
      <c r="E457" t="s">
        <v>875</v>
      </c>
      <c r="F457" t="s">
        <v>873</v>
      </c>
      <c r="G457" t="s">
        <v>616</v>
      </c>
      <c r="H457" t="s">
        <v>458</v>
      </c>
      <c r="I457" t="s">
        <v>374</v>
      </c>
      <c r="J457" t="s">
        <v>874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616</v>
      </c>
      <c r="B458" t="s">
        <v>871</v>
      </c>
      <c r="C458" t="s">
        <v>609</v>
      </c>
      <c r="D458" t="s">
        <v>523</v>
      </c>
      <c r="E458" t="s">
        <v>876</v>
      </c>
      <c r="F458" t="s">
        <v>873</v>
      </c>
      <c r="G458" t="s">
        <v>616</v>
      </c>
      <c r="H458" t="s">
        <v>458</v>
      </c>
      <c r="I458" t="s">
        <v>374</v>
      </c>
      <c r="J458" t="s">
        <v>874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616</v>
      </c>
      <c r="B459" t="s">
        <v>871</v>
      </c>
      <c r="C459" t="s">
        <v>368</v>
      </c>
      <c r="D459" t="s">
        <v>523</v>
      </c>
      <c r="E459" t="s">
        <v>877</v>
      </c>
      <c r="F459" t="s">
        <v>873</v>
      </c>
      <c r="G459" t="s">
        <v>616</v>
      </c>
      <c r="H459" t="s">
        <v>458</v>
      </c>
      <c r="I459" t="s">
        <v>374</v>
      </c>
      <c r="J459" t="s">
        <v>874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616</v>
      </c>
      <c r="B460" t="s">
        <v>878</v>
      </c>
      <c r="C460" t="s">
        <v>368</v>
      </c>
      <c r="D460" t="s">
        <v>523</v>
      </c>
      <c r="E460" t="s">
        <v>879</v>
      </c>
      <c r="F460" t="s">
        <v>880</v>
      </c>
      <c r="G460" t="s">
        <v>616</v>
      </c>
      <c r="H460" t="s">
        <v>458</v>
      </c>
      <c r="I460" t="s">
        <v>374</v>
      </c>
      <c r="J460" t="s">
        <v>881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616</v>
      </c>
      <c r="B461" t="s">
        <v>878</v>
      </c>
      <c r="C461" t="s">
        <v>368</v>
      </c>
      <c r="D461" t="s">
        <v>523</v>
      </c>
      <c r="E461" t="s">
        <v>882</v>
      </c>
      <c r="F461" t="s">
        <v>880</v>
      </c>
      <c r="G461" t="s">
        <v>616</v>
      </c>
      <c r="H461" t="s">
        <v>458</v>
      </c>
      <c r="I461" t="s">
        <v>374</v>
      </c>
      <c r="J461" t="s">
        <v>881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616</v>
      </c>
      <c r="B462" t="s">
        <v>878</v>
      </c>
      <c r="C462" t="s">
        <v>368</v>
      </c>
      <c r="D462" t="s">
        <v>523</v>
      </c>
      <c r="E462" t="s">
        <v>883</v>
      </c>
      <c r="F462" t="s">
        <v>880</v>
      </c>
      <c r="G462" t="s">
        <v>616</v>
      </c>
      <c r="H462" t="s">
        <v>458</v>
      </c>
      <c r="I462" t="s">
        <v>374</v>
      </c>
      <c r="J462" t="s">
        <v>881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616</v>
      </c>
      <c r="B463" t="s">
        <v>878</v>
      </c>
      <c r="C463" t="s">
        <v>368</v>
      </c>
      <c r="D463" t="s">
        <v>523</v>
      </c>
      <c r="E463" t="s">
        <v>884</v>
      </c>
      <c r="F463" t="s">
        <v>880</v>
      </c>
      <c r="G463" t="s">
        <v>616</v>
      </c>
      <c r="H463" t="s">
        <v>458</v>
      </c>
      <c r="I463" t="s">
        <v>374</v>
      </c>
      <c r="J463" t="s">
        <v>881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616</v>
      </c>
      <c r="B464" t="s">
        <v>878</v>
      </c>
      <c r="C464" t="s">
        <v>368</v>
      </c>
      <c r="D464" t="s">
        <v>523</v>
      </c>
      <c r="E464" t="s">
        <v>885</v>
      </c>
      <c r="F464" t="s">
        <v>880</v>
      </c>
      <c r="G464" t="s">
        <v>616</v>
      </c>
      <c r="H464" t="s">
        <v>458</v>
      </c>
      <c r="I464" t="s">
        <v>374</v>
      </c>
      <c r="J464" t="s">
        <v>881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616</v>
      </c>
      <c r="B465" t="s">
        <v>878</v>
      </c>
      <c r="C465" t="s">
        <v>368</v>
      </c>
      <c r="D465" t="s">
        <v>523</v>
      </c>
      <c r="E465" t="s">
        <v>886</v>
      </c>
      <c r="F465" t="s">
        <v>880</v>
      </c>
      <c r="G465" t="s">
        <v>616</v>
      </c>
      <c r="H465" t="s">
        <v>458</v>
      </c>
      <c r="I465" t="s">
        <v>374</v>
      </c>
      <c r="J465" t="s">
        <v>881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616</v>
      </c>
      <c r="B466" t="s">
        <v>878</v>
      </c>
      <c r="C466" t="s">
        <v>368</v>
      </c>
      <c r="D466" t="s">
        <v>523</v>
      </c>
      <c r="E466" t="s">
        <v>887</v>
      </c>
      <c r="F466" t="s">
        <v>880</v>
      </c>
      <c r="G466" t="s">
        <v>616</v>
      </c>
      <c r="H466" t="s">
        <v>458</v>
      </c>
      <c r="I466" t="s">
        <v>374</v>
      </c>
      <c r="J466" t="s">
        <v>881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616</v>
      </c>
      <c r="B467" t="s">
        <v>878</v>
      </c>
      <c r="C467" t="s">
        <v>368</v>
      </c>
      <c r="D467" t="s">
        <v>523</v>
      </c>
      <c r="E467" t="s">
        <v>888</v>
      </c>
      <c r="F467" t="s">
        <v>880</v>
      </c>
      <c r="G467" t="s">
        <v>616</v>
      </c>
      <c r="H467" t="s">
        <v>458</v>
      </c>
      <c r="I467" t="s">
        <v>374</v>
      </c>
      <c r="J467" t="s">
        <v>881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616</v>
      </c>
      <c r="B468" t="s">
        <v>878</v>
      </c>
      <c r="C468" t="s">
        <v>368</v>
      </c>
      <c r="D468" t="s">
        <v>523</v>
      </c>
      <c r="E468" t="s">
        <v>889</v>
      </c>
      <c r="F468" t="s">
        <v>880</v>
      </c>
      <c r="G468" t="s">
        <v>616</v>
      </c>
      <c r="H468" t="s">
        <v>458</v>
      </c>
      <c r="I468" t="s">
        <v>374</v>
      </c>
      <c r="J468" t="s">
        <v>881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616</v>
      </c>
      <c r="B469" t="s">
        <v>878</v>
      </c>
      <c r="C469" t="s">
        <v>368</v>
      </c>
      <c r="D469" t="s">
        <v>523</v>
      </c>
      <c r="E469" t="s">
        <v>890</v>
      </c>
      <c r="F469" t="s">
        <v>880</v>
      </c>
      <c r="G469" t="s">
        <v>616</v>
      </c>
      <c r="H469" t="s">
        <v>458</v>
      </c>
      <c r="I469" t="s">
        <v>374</v>
      </c>
      <c r="J469" t="s">
        <v>881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616</v>
      </c>
      <c r="B470" t="s">
        <v>878</v>
      </c>
      <c r="C470" t="s">
        <v>368</v>
      </c>
      <c r="D470" t="s">
        <v>523</v>
      </c>
      <c r="E470" t="s">
        <v>891</v>
      </c>
      <c r="F470" t="s">
        <v>880</v>
      </c>
      <c r="G470" t="s">
        <v>616</v>
      </c>
      <c r="H470" t="s">
        <v>458</v>
      </c>
      <c r="I470" t="s">
        <v>374</v>
      </c>
      <c r="J470" t="s">
        <v>881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616</v>
      </c>
      <c r="B471" t="s">
        <v>878</v>
      </c>
      <c r="C471" t="s">
        <v>368</v>
      </c>
      <c r="D471" t="s">
        <v>523</v>
      </c>
      <c r="E471" t="s">
        <v>892</v>
      </c>
      <c r="F471" t="s">
        <v>880</v>
      </c>
      <c r="G471" t="s">
        <v>616</v>
      </c>
      <c r="H471" t="s">
        <v>458</v>
      </c>
      <c r="I471" t="s">
        <v>374</v>
      </c>
      <c r="J471" t="s">
        <v>881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616</v>
      </c>
      <c r="B472" t="s">
        <v>878</v>
      </c>
      <c r="C472" t="s">
        <v>368</v>
      </c>
      <c r="D472" t="s">
        <v>523</v>
      </c>
      <c r="E472" t="s">
        <v>893</v>
      </c>
      <c r="F472" t="s">
        <v>880</v>
      </c>
      <c r="G472" t="s">
        <v>616</v>
      </c>
      <c r="H472" t="s">
        <v>458</v>
      </c>
      <c r="I472" t="s">
        <v>374</v>
      </c>
      <c r="J472" t="s">
        <v>881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616</v>
      </c>
      <c r="B473" t="s">
        <v>878</v>
      </c>
      <c r="C473" t="s">
        <v>368</v>
      </c>
      <c r="D473" t="s">
        <v>523</v>
      </c>
      <c r="E473" t="s">
        <v>894</v>
      </c>
      <c r="F473" t="s">
        <v>880</v>
      </c>
      <c r="G473" t="s">
        <v>616</v>
      </c>
      <c r="H473" t="s">
        <v>458</v>
      </c>
      <c r="I473" t="s">
        <v>374</v>
      </c>
      <c r="J473" t="s">
        <v>881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616</v>
      </c>
      <c r="B474" t="s">
        <v>878</v>
      </c>
      <c r="C474" t="s">
        <v>368</v>
      </c>
      <c r="D474" t="s">
        <v>523</v>
      </c>
      <c r="E474" t="s">
        <v>895</v>
      </c>
      <c r="F474" t="s">
        <v>880</v>
      </c>
      <c r="G474" t="s">
        <v>616</v>
      </c>
      <c r="H474" t="s">
        <v>458</v>
      </c>
      <c r="I474" t="s">
        <v>374</v>
      </c>
      <c r="J474" t="s">
        <v>881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616</v>
      </c>
      <c r="B475" t="s">
        <v>878</v>
      </c>
      <c r="C475" t="s">
        <v>609</v>
      </c>
      <c r="D475" t="s">
        <v>523</v>
      </c>
      <c r="E475" t="s">
        <v>896</v>
      </c>
      <c r="F475" t="s">
        <v>880</v>
      </c>
      <c r="G475" t="s">
        <v>616</v>
      </c>
      <c r="H475" t="s">
        <v>458</v>
      </c>
      <c r="I475" t="s">
        <v>374</v>
      </c>
      <c r="J475" t="s">
        <v>881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616</v>
      </c>
      <c r="B476" t="s">
        <v>878</v>
      </c>
      <c r="C476" t="s">
        <v>609</v>
      </c>
      <c r="D476" t="s">
        <v>523</v>
      </c>
      <c r="E476" t="s">
        <v>897</v>
      </c>
      <c r="F476" t="s">
        <v>880</v>
      </c>
      <c r="G476" t="s">
        <v>616</v>
      </c>
      <c r="H476" t="s">
        <v>458</v>
      </c>
      <c r="I476" t="s">
        <v>374</v>
      </c>
      <c r="J476" t="s">
        <v>881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616</v>
      </c>
      <c r="B477" t="s">
        <v>878</v>
      </c>
      <c r="C477" t="s">
        <v>609</v>
      </c>
      <c r="D477" t="s">
        <v>523</v>
      </c>
      <c r="E477" t="s">
        <v>898</v>
      </c>
      <c r="F477" t="s">
        <v>880</v>
      </c>
      <c r="G477" t="s">
        <v>616</v>
      </c>
      <c r="H477" t="s">
        <v>458</v>
      </c>
      <c r="I477" t="s">
        <v>374</v>
      </c>
      <c r="J477" t="s">
        <v>881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616</v>
      </c>
      <c r="B478" t="s">
        <v>878</v>
      </c>
      <c r="C478" t="s">
        <v>609</v>
      </c>
      <c r="D478" t="s">
        <v>523</v>
      </c>
      <c r="E478" t="s">
        <v>899</v>
      </c>
      <c r="F478" t="s">
        <v>880</v>
      </c>
      <c r="G478" t="s">
        <v>616</v>
      </c>
      <c r="H478" t="s">
        <v>458</v>
      </c>
      <c r="I478" t="s">
        <v>374</v>
      </c>
      <c r="J478" t="s">
        <v>881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616</v>
      </c>
      <c r="B479" t="s">
        <v>878</v>
      </c>
      <c r="C479" t="s">
        <v>609</v>
      </c>
      <c r="D479" t="s">
        <v>523</v>
      </c>
      <c r="E479" t="s">
        <v>900</v>
      </c>
      <c r="F479" t="s">
        <v>880</v>
      </c>
      <c r="G479" t="s">
        <v>616</v>
      </c>
      <c r="H479" t="s">
        <v>458</v>
      </c>
      <c r="I479" t="s">
        <v>374</v>
      </c>
      <c r="J479" t="s">
        <v>881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616</v>
      </c>
      <c r="B480" t="s">
        <v>878</v>
      </c>
      <c r="C480" t="s">
        <v>368</v>
      </c>
      <c r="D480" t="s">
        <v>523</v>
      </c>
      <c r="E480" t="s">
        <v>901</v>
      </c>
      <c r="F480" t="s">
        <v>880</v>
      </c>
      <c r="G480" t="s">
        <v>616</v>
      </c>
      <c r="H480" t="s">
        <v>458</v>
      </c>
      <c r="I480" t="s">
        <v>374</v>
      </c>
      <c r="J480" t="s">
        <v>881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616</v>
      </c>
      <c r="B481" t="s">
        <v>878</v>
      </c>
      <c r="C481" t="s">
        <v>368</v>
      </c>
      <c r="D481" t="s">
        <v>523</v>
      </c>
      <c r="E481" t="s">
        <v>902</v>
      </c>
      <c r="F481" t="s">
        <v>880</v>
      </c>
      <c r="G481" t="s">
        <v>616</v>
      </c>
      <c r="H481" t="s">
        <v>458</v>
      </c>
      <c r="I481" t="s">
        <v>374</v>
      </c>
      <c r="J481" t="s">
        <v>881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616</v>
      </c>
      <c r="B482" t="s">
        <v>903</v>
      </c>
      <c r="C482" t="s">
        <v>368</v>
      </c>
      <c r="D482" t="s">
        <v>523</v>
      </c>
      <c r="E482" t="s">
        <v>904</v>
      </c>
      <c r="F482" t="s">
        <v>905</v>
      </c>
      <c r="G482" t="s">
        <v>616</v>
      </c>
      <c r="H482" t="s">
        <v>458</v>
      </c>
      <c r="I482" t="s">
        <v>374</v>
      </c>
      <c r="J482" t="s">
        <v>906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616</v>
      </c>
      <c r="B483" t="s">
        <v>903</v>
      </c>
      <c r="C483" t="s">
        <v>368</v>
      </c>
      <c r="D483" t="s">
        <v>523</v>
      </c>
      <c r="E483" t="s">
        <v>907</v>
      </c>
      <c r="F483" t="s">
        <v>905</v>
      </c>
      <c r="G483" t="s">
        <v>616</v>
      </c>
      <c r="H483" t="s">
        <v>458</v>
      </c>
      <c r="I483" t="s">
        <v>374</v>
      </c>
      <c r="J483" t="s">
        <v>906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616</v>
      </c>
      <c r="B484" t="s">
        <v>903</v>
      </c>
      <c r="C484" t="s">
        <v>368</v>
      </c>
      <c r="D484" t="s">
        <v>523</v>
      </c>
      <c r="E484" t="s">
        <v>908</v>
      </c>
      <c r="F484" t="s">
        <v>905</v>
      </c>
      <c r="G484" t="s">
        <v>616</v>
      </c>
      <c r="H484" t="s">
        <v>458</v>
      </c>
      <c r="I484" t="s">
        <v>374</v>
      </c>
      <c r="J484" t="s">
        <v>906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616</v>
      </c>
      <c r="B485" t="s">
        <v>903</v>
      </c>
      <c r="C485" t="s">
        <v>368</v>
      </c>
      <c r="D485" t="s">
        <v>523</v>
      </c>
      <c r="E485" t="s">
        <v>909</v>
      </c>
      <c r="F485" t="s">
        <v>905</v>
      </c>
      <c r="G485" t="s">
        <v>616</v>
      </c>
      <c r="H485" t="s">
        <v>458</v>
      </c>
      <c r="I485" t="s">
        <v>374</v>
      </c>
      <c r="J485" t="s">
        <v>906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616</v>
      </c>
      <c r="B486" t="s">
        <v>903</v>
      </c>
      <c r="C486" t="s">
        <v>368</v>
      </c>
      <c r="D486" t="s">
        <v>523</v>
      </c>
      <c r="E486" t="s">
        <v>910</v>
      </c>
      <c r="F486" t="s">
        <v>905</v>
      </c>
      <c r="G486" t="s">
        <v>616</v>
      </c>
      <c r="H486" t="s">
        <v>458</v>
      </c>
      <c r="I486" t="s">
        <v>374</v>
      </c>
      <c r="J486" t="s">
        <v>906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616</v>
      </c>
      <c r="B487" t="s">
        <v>903</v>
      </c>
      <c r="C487" t="s">
        <v>368</v>
      </c>
      <c r="D487" t="s">
        <v>523</v>
      </c>
      <c r="E487" t="s">
        <v>911</v>
      </c>
      <c r="F487" t="s">
        <v>905</v>
      </c>
      <c r="G487" t="s">
        <v>616</v>
      </c>
      <c r="H487" t="s">
        <v>458</v>
      </c>
      <c r="I487" t="s">
        <v>374</v>
      </c>
      <c r="J487" t="s">
        <v>906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616</v>
      </c>
      <c r="B488" t="s">
        <v>903</v>
      </c>
      <c r="C488" t="s">
        <v>368</v>
      </c>
      <c r="D488" t="s">
        <v>523</v>
      </c>
      <c r="E488" t="s">
        <v>912</v>
      </c>
      <c r="F488" t="s">
        <v>905</v>
      </c>
      <c r="G488" t="s">
        <v>616</v>
      </c>
      <c r="H488" t="s">
        <v>458</v>
      </c>
      <c r="I488" t="s">
        <v>374</v>
      </c>
      <c r="J488" t="s">
        <v>906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616</v>
      </c>
      <c r="B489" t="s">
        <v>903</v>
      </c>
      <c r="C489" t="s">
        <v>368</v>
      </c>
      <c r="D489" t="s">
        <v>523</v>
      </c>
      <c r="E489" t="s">
        <v>913</v>
      </c>
      <c r="F489" t="s">
        <v>905</v>
      </c>
      <c r="G489" t="s">
        <v>616</v>
      </c>
      <c r="H489" t="s">
        <v>458</v>
      </c>
      <c r="I489" t="s">
        <v>374</v>
      </c>
      <c r="J489" t="s">
        <v>906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616</v>
      </c>
      <c r="B490" t="s">
        <v>903</v>
      </c>
      <c r="C490" t="s">
        <v>368</v>
      </c>
      <c r="D490" t="s">
        <v>523</v>
      </c>
      <c r="E490" t="s">
        <v>914</v>
      </c>
      <c r="F490" t="s">
        <v>905</v>
      </c>
      <c r="G490" t="s">
        <v>616</v>
      </c>
      <c r="H490" t="s">
        <v>458</v>
      </c>
      <c r="I490" t="s">
        <v>374</v>
      </c>
      <c r="J490" t="s">
        <v>906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616</v>
      </c>
      <c r="B491" t="s">
        <v>903</v>
      </c>
      <c r="C491" t="s">
        <v>368</v>
      </c>
      <c r="D491" t="s">
        <v>523</v>
      </c>
      <c r="E491" t="s">
        <v>915</v>
      </c>
      <c r="F491" t="s">
        <v>905</v>
      </c>
      <c r="G491" t="s">
        <v>616</v>
      </c>
      <c r="H491" t="s">
        <v>458</v>
      </c>
      <c r="I491" t="s">
        <v>374</v>
      </c>
      <c r="J491" t="s">
        <v>906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616</v>
      </c>
      <c r="B492" t="s">
        <v>903</v>
      </c>
      <c r="C492" t="s">
        <v>368</v>
      </c>
      <c r="D492" t="s">
        <v>523</v>
      </c>
      <c r="E492" t="s">
        <v>916</v>
      </c>
      <c r="F492" t="s">
        <v>905</v>
      </c>
      <c r="G492" t="s">
        <v>616</v>
      </c>
      <c r="H492" t="s">
        <v>458</v>
      </c>
      <c r="I492" t="s">
        <v>374</v>
      </c>
      <c r="J492" t="s">
        <v>906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616</v>
      </c>
      <c r="B493" t="s">
        <v>903</v>
      </c>
      <c r="C493" t="s">
        <v>368</v>
      </c>
      <c r="D493" t="s">
        <v>523</v>
      </c>
      <c r="E493" t="s">
        <v>917</v>
      </c>
      <c r="F493" t="s">
        <v>905</v>
      </c>
      <c r="G493" t="s">
        <v>616</v>
      </c>
      <c r="H493" t="s">
        <v>458</v>
      </c>
      <c r="I493" t="s">
        <v>374</v>
      </c>
      <c r="J493" t="s">
        <v>906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616</v>
      </c>
      <c r="B494" t="s">
        <v>903</v>
      </c>
      <c r="C494" t="s">
        <v>368</v>
      </c>
      <c r="D494" t="s">
        <v>523</v>
      </c>
      <c r="E494" t="s">
        <v>918</v>
      </c>
      <c r="F494" t="s">
        <v>905</v>
      </c>
      <c r="G494" t="s">
        <v>616</v>
      </c>
      <c r="H494" t="s">
        <v>458</v>
      </c>
      <c r="I494" t="s">
        <v>374</v>
      </c>
      <c r="J494" t="s">
        <v>906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616</v>
      </c>
      <c r="B495" t="s">
        <v>903</v>
      </c>
      <c r="C495" t="s">
        <v>368</v>
      </c>
      <c r="D495" t="s">
        <v>523</v>
      </c>
      <c r="E495" t="s">
        <v>919</v>
      </c>
      <c r="F495" t="s">
        <v>905</v>
      </c>
      <c r="G495" t="s">
        <v>616</v>
      </c>
      <c r="H495" t="s">
        <v>458</v>
      </c>
      <c r="I495" t="s">
        <v>374</v>
      </c>
      <c r="J495" t="s">
        <v>906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616</v>
      </c>
      <c r="B496" t="s">
        <v>903</v>
      </c>
      <c r="C496" t="s">
        <v>368</v>
      </c>
      <c r="D496" t="s">
        <v>523</v>
      </c>
      <c r="E496" t="s">
        <v>920</v>
      </c>
      <c r="F496" t="s">
        <v>905</v>
      </c>
      <c r="G496" t="s">
        <v>616</v>
      </c>
      <c r="H496" t="s">
        <v>458</v>
      </c>
      <c r="I496" t="s">
        <v>374</v>
      </c>
      <c r="J496" t="s">
        <v>906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616</v>
      </c>
      <c r="B497" t="s">
        <v>903</v>
      </c>
      <c r="C497" t="s">
        <v>609</v>
      </c>
      <c r="D497" t="s">
        <v>523</v>
      </c>
      <c r="E497" t="s">
        <v>921</v>
      </c>
      <c r="F497" t="s">
        <v>905</v>
      </c>
      <c r="G497" t="s">
        <v>616</v>
      </c>
      <c r="H497" t="s">
        <v>458</v>
      </c>
      <c r="I497" t="s">
        <v>374</v>
      </c>
      <c r="J497" t="s">
        <v>906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616</v>
      </c>
      <c r="B498" t="s">
        <v>903</v>
      </c>
      <c r="C498" t="s">
        <v>609</v>
      </c>
      <c r="D498" t="s">
        <v>523</v>
      </c>
      <c r="E498" t="s">
        <v>922</v>
      </c>
      <c r="F498" t="s">
        <v>905</v>
      </c>
      <c r="G498" t="s">
        <v>616</v>
      </c>
      <c r="H498" t="s">
        <v>458</v>
      </c>
      <c r="I498" t="s">
        <v>374</v>
      </c>
      <c r="J498" t="s">
        <v>906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616</v>
      </c>
      <c r="B499" t="s">
        <v>903</v>
      </c>
      <c r="C499" t="s">
        <v>609</v>
      </c>
      <c r="D499" t="s">
        <v>523</v>
      </c>
      <c r="E499" t="s">
        <v>923</v>
      </c>
      <c r="F499" t="s">
        <v>905</v>
      </c>
      <c r="G499" t="s">
        <v>616</v>
      </c>
      <c r="H499" t="s">
        <v>458</v>
      </c>
      <c r="I499" t="s">
        <v>374</v>
      </c>
      <c r="J499" t="s">
        <v>906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616</v>
      </c>
      <c r="B500" t="s">
        <v>903</v>
      </c>
      <c r="C500" t="s">
        <v>609</v>
      </c>
      <c r="D500" t="s">
        <v>523</v>
      </c>
      <c r="E500" t="s">
        <v>924</v>
      </c>
      <c r="F500" t="s">
        <v>905</v>
      </c>
      <c r="G500" t="s">
        <v>616</v>
      </c>
      <c r="H500" t="s">
        <v>458</v>
      </c>
      <c r="I500" t="s">
        <v>374</v>
      </c>
      <c r="J500" t="s">
        <v>906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616</v>
      </c>
      <c r="B501" t="s">
        <v>903</v>
      </c>
      <c r="C501" t="s">
        <v>609</v>
      </c>
      <c r="D501" t="s">
        <v>523</v>
      </c>
      <c r="E501" t="s">
        <v>925</v>
      </c>
      <c r="F501" t="s">
        <v>905</v>
      </c>
      <c r="G501" t="s">
        <v>616</v>
      </c>
      <c r="H501" t="s">
        <v>458</v>
      </c>
      <c r="I501" t="s">
        <v>374</v>
      </c>
      <c r="J501" t="s">
        <v>906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616</v>
      </c>
      <c r="B502" t="s">
        <v>903</v>
      </c>
      <c r="C502" t="s">
        <v>368</v>
      </c>
      <c r="D502" t="s">
        <v>523</v>
      </c>
      <c r="E502" t="s">
        <v>926</v>
      </c>
      <c r="F502" t="s">
        <v>905</v>
      </c>
      <c r="G502" t="s">
        <v>616</v>
      </c>
      <c r="H502" t="s">
        <v>458</v>
      </c>
      <c r="I502" t="s">
        <v>374</v>
      </c>
      <c r="J502" t="s">
        <v>906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616</v>
      </c>
      <c r="B503" t="s">
        <v>903</v>
      </c>
      <c r="C503" t="s">
        <v>368</v>
      </c>
      <c r="D503" t="s">
        <v>523</v>
      </c>
      <c r="E503" t="s">
        <v>927</v>
      </c>
      <c r="F503" t="s">
        <v>905</v>
      </c>
      <c r="G503" t="s">
        <v>616</v>
      </c>
      <c r="H503" t="s">
        <v>458</v>
      </c>
      <c r="I503" t="s">
        <v>374</v>
      </c>
      <c r="J503" t="s">
        <v>906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616</v>
      </c>
      <c r="B504" t="s">
        <v>928</v>
      </c>
      <c r="C504" t="s">
        <v>368</v>
      </c>
      <c r="D504" t="s">
        <v>523</v>
      </c>
      <c r="E504" t="s">
        <v>929</v>
      </c>
      <c r="F504" t="s">
        <v>930</v>
      </c>
      <c r="G504" t="s">
        <v>616</v>
      </c>
      <c r="H504" t="s">
        <v>458</v>
      </c>
      <c r="I504" t="s">
        <v>374</v>
      </c>
      <c r="J504" t="s">
        <v>931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616</v>
      </c>
      <c r="B505" t="s">
        <v>928</v>
      </c>
      <c r="C505" t="s">
        <v>368</v>
      </c>
      <c r="D505" t="s">
        <v>523</v>
      </c>
      <c r="E505" t="s">
        <v>932</v>
      </c>
      <c r="F505" t="s">
        <v>930</v>
      </c>
      <c r="G505" t="s">
        <v>616</v>
      </c>
      <c r="H505" t="s">
        <v>458</v>
      </c>
      <c r="I505" t="s">
        <v>374</v>
      </c>
      <c r="J505" t="s">
        <v>931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616</v>
      </c>
      <c r="B506" t="s">
        <v>928</v>
      </c>
      <c r="C506" t="s">
        <v>368</v>
      </c>
      <c r="D506" t="s">
        <v>523</v>
      </c>
      <c r="E506" t="s">
        <v>933</v>
      </c>
      <c r="F506" t="s">
        <v>930</v>
      </c>
      <c r="G506" t="s">
        <v>616</v>
      </c>
      <c r="H506" t="s">
        <v>458</v>
      </c>
      <c r="I506" t="s">
        <v>374</v>
      </c>
      <c r="J506" t="s">
        <v>931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616</v>
      </c>
      <c r="B507" t="s">
        <v>928</v>
      </c>
      <c r="C507" t="s">
        <v>368</v>
      </c>
      <c r="D507" t="s">
        <v>523</v>
      </c>
      <c r="E507" t="s">
        <v>934</v>
      </c>
      <c r="F507" t="s">
        <v>930</v>
      </c>
      <c r="G507" t="s">
        <v>616</v>
      </c>
      <c r="H507" t="s">
        <v>458</v>
      </c>
      <c r="I507" t="s">
        <v>374</v>
      </c>
      <c r="J507" t="s">
        <v>931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616</v>
      </c>
      <c r="B508" t="s">
        <v>928</v>
      </c>
      <c r="C508" t="s">
        <v>368</v>
      </c>
      <c r="D508" t="s">
        <v>523</v>
      </c>
      <c r="E508" t="s">
        <v>935</v>
      </c>
      <c r="F508" t="s">
        <v>930</v>
      </c>
      <c r="G508" t="s">
        <v>616</v>
      </c>
      <c r="H508" t="s">
        <v>458</v>
      </c>
      <c r="I508" t="s">
        <v>374</v>
      </c>
      <c r="J508" t="s">
        <v>931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616</v>
      </c>
      <c r="B509" t="s">
        <v>928</v>
      </c>
      <c r="C509" t="s">
        <v>368</v>
      </c>
      <c r="D509" t="s">
        <v>523</v>
      </c>
      <c r="E509" t="s">
        <v>936</v>
      </c>
      <c r="F509" t="s">
        <v>930</v>
      </c>
      <c r="G509" t="s">
        <v>616</v>
      </c>
      <c r="H509" t="s">
        <v>458</v>
      </c>
      <c r="I509" t="s">
        <v>374</v>
      </c>
      <c r="J509" t="s">
        <v>931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616</v>
      </c>
      <c r="B510" t="s">
        <v>928</v>
      </c>
      <c r="C510" t="s">
        <v>368</v>
      </c>
      <c r="D510" t="s">
        <v>523</v>
      </c>
      <c r="E510" t="s">
        <v>937</v>
      </c>
      <c r="F510" t="s">
        <v>930</v>
      </c>
      <c r="G510" t="s">
        <v>616</v>
      </c>
      <c r="H510" t="s">
        <v>458</v>
      </c>
      <c r="I510" t="s">
        <v>374</v>
      </c>
      <c r="J510" t="s">
        <v>931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616</v>
      </c>
      <c r="B511" t="s">
        <v>928</v>
      </c>
      <c r="C511" t="s">
        <v>368</v>
      </c>
      <c r="D511" t="s">
        <v>523</v>
      </c>
      <c r="E511" t="s">
        <v>938</v>
      </c>
      <c r="F511" t="s">
        <v>930</v>
      </c>
      <c r="G511" t="s">
        <v>616</v>
      </c>
      <c r="H511" t="s">
        <v>458</v>
      </c>
      <c r="I511" t="s">
        <v>374</v>
      </c>
      <c r="J511" t="s">
        <v>931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616</v>
      </c>
      <c r="B512" t="s">
        <v>928</v>
      </c>
      <c r="C512" t="s">
        <v>368</v>
      </c>
      <c r="D512" t="s">
        <v>523</v>
      </c>
      <c r="E512" t="s">
        <v>939</v>
      </c>
      <c r="F512" t="s">
        <v>930</v>
      </c>
      <c r="G512" t="s">
        <v>616</v>
      </c>
      <c r="H512" t="s">
        <v>458</v>
      </c>
      <c r="I512" t="s">
        <v>374</v>
      </c>
      <c r="J512" t="s">
        <v>931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616</v>
      </c>
      <c r="B513" t="s">
        <v>928</v>
      </c>
      <c r="C513" t="s">
        <v>368</v>
      </c>
      <c r="D513" t="s">
        <v>523</v>
      </c>
      <c r="E513" t="s">
        <v>940</v>
      </c>
      <c r="F513" t="s">
        <v>930</v>
      </c>
      <c r="G513" t="s">
        <v>616</v>
      </c>
      <c r="H513" t="s">
        <v>458</v>
      </c>
      <c r="I513" t="s">
        <v>374</v>
      </c>
      <c r="J513" t="s">
        <v>931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616</v>
      </c>
      <c r="B514" t="s">
        <v>928</v>
      </c>
      <c r="C514" t="s">
        <v>368</v>
      </c>
      <c r="D514" t="s">
        <v>523</v>
      </c>
      <c r="E514" t="s">
        <v>941</v>
      </c>
      <c r="F514" t="s">
        <v>930</v>
      </c>
      <c r="G514" t="s">
        <v>616</v>
      </c>
      <c r="H514" t="s">
        <v>458</v>
      </c>
      <c r="I514" t="s">
        <v>374</v>
      </c>
      <c r="J514" t="s">
        <v>931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616</v>
      </c>
      <c r="B515" t="s">
        <v>928</v>
      </c>
      <c r="C515" t="s">
        <v>368</v>
      </c>
      <c r="D515" t="s">
        <v>523</v>
      </c>
      <c r="E515" t="s">
        <v>942</v>
      </c>
      <c r="F515" t="s">
        <v>930</v>
      </c>
      <c r="G515" t="s">
        <v>616</v>
      </c>
      <c r="H515" t="s">
        <v>458</v>
      </c>
      <c r="I515" t="s">
        <v>374</v>
      </c>
      <c r="J515" t="s">
        <v>931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616</v>
      </c>
      <c r="B516" t="s">
        <v>928</v>
      </c>
      <c r="C516" t="s">
        <v>368</v>
      </c>
      <c r="D516" t="s">
        <v>523</v>
      </c>
      <c r="E516" t="s">
        <v>943</v>
      </c>
      <c r="F516" t="s">
        <v>930</v>
      </c>
      <c r="G516" t="s">
        <v>616</v>
      </c>
      <c r="H516" t="s">
        <v>458</v>
      </c>
      <c r="I516" t="s">
        <v>374</v>
      </c>
      <c r="J516" t="s">
        <v>931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616</v>
      </c>
      <c r="B517" t="s">
        <v>928</v>
      </c>
      <c r="C517" t="s">
        <v>368</v>
      </c>
      <c r="D517" t="s">
        <v>523</v>
      </c>
      <c r="E517" t="s">
        <v>944</v>
      </c>
      <c r="F517" t="s">
        <v>930</v>
      </c>
      <c r="G517" t="s">
        <v>616</v>
      </c>
      <c r="H517" t="s">
        <v>458</v>
      </c>
      <c r="I517" t="s">
        <v>374</v>
      </c>
      <c r="J517" t="s">
        <v>931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616</v>
      </c>
      <c r="B518" t="s">
        <v>928</v>
      </c>
      <c r="C518" t="s">
        <v>368</v>
      </c>
      <c r="D518" t="s">
        <v>523</v>
      </c>
      <c r="E518" t="s">
        <v>945</v>
      </c>
      <c r="F518" t="s">
        <v>930</v>
      </c>
      <c r="G518" t="s">
        <v>616</v>
      </c>
      <c r="H518" t="s">
        <v>458</v>
      </c>
      <c r="I518" t="s">
        <v>374</v>
      </c>
      <c r="J518" t="s">
        <v>931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616</v>
      </c>
      <c r="B519" t="s">
        <v>928</v>
      </c>
      <c r="C519" t="s">
        <v>609</v>
      </c>
      <c r="D519" t="s">
        <v>523</v>
      </c>
      <c r="E519" t="s">
        <v>946</v>
      </c>
      <c r="F519" t="s">
        <v>930</v>
      </c>
      <c r="G519" t="s">
        <v>616</v>
      </c>
      <c r="H519" t="s">
        <v>458</v>
      </c>
      <c r="I519" t="s">
        <v>374</v>
      </c>
      <c r="J519" t="s">
        <v>931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616</v>
      </c>
      <c r="B520" t="s">
        <v>928</v>
      </c>
      <c r="C520" t="s">
        <v>609</v>
      </c>
      <c r="D520" t="s">
        <v>523</v>
      </c>
      <c r="E520" t="s">
        <v>947</v>
      </c>
      <c r="F520" t="s">
        <v>930</v>
      </c>
      <c r="G520" t="s">
        <v>616</v>
      </c>
      <c r="H520" t="s">
        <v>458</v>
      </c>
      <c r="I520" t="s">
        <v>374</v>
      </c>
      <c r="J520" t="s">
        <v>931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616</v>
      </c>
      <c r="B521" t="s">
        <v>928</v>
      </c>
      <c r="C521" t="s">
        <v>609</v>
      </c>
      <c r="D521" t="s">
        <v>523</v>
      </c>
      <c r="E521" t="s">
        <v>948</v>
      </c>
      <c r="F521" t="s">
        <v>930</v>
      </c>
      <c r="G521" t="s">
        <v>616</v>
      </c>
      <c r="H521" t="s">
        <v>458</v>
      </c>
      <c r="I521" t="s">
        <v>374</v>
      </c>
      <c r="J521" t="s">
        <v>931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616</v>
      </c>
      <c r="B522" t="s">
        <v>928</v>
      </c>
      <c r="C522" t="s">
        <v>609</v>
      </c>
      <c r="D522" t="s">
        <v>523</v>
      </c>
      <c r="E522" t="s">
        <v>949</v>
      </c>
      <c r="F522" t="s">
        <v>930</v>
      </c>
      <c r="G522" t="s">
        <v>616</v>
      </c>
      <c r="H522" t="s">
        <v>458</v>
      </c>
      <c r="I522" t="s">
        <v>374</v>
      </c>
      <c r="J522" t="s">
        <v>931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616</v>
      </c>
      <c r="B523" t="s">
        <v>928</v>
      </c>
      <c r="C523" t="s">
        <v>609</v>
      </c>
      <c r="D523" t="s">
        <v>523</v>
      </c>
      <c r="E523" t="s">
        <v>950</v>
      </c>
      <c r="F523" t="s">
        <v>930</v>
      </c>
      <c r="G523" t="s">
        <v>616</v>
      </c>
      <c r="H523" t="s">
        <v>458</v>
      </c>
      <c r="I523" t="s">
        <v>374</v>
      </c>
      <c r="J523" t="s">
        <v>931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616</v>
      </c>
      <c r="B524" t="s">
        <v>928</v>
      </c>
      <c r="C524" t="s">
        <v>368</v>
      </c>
      <c r="D524" t="s">
        <v>523</v>
      </c>
      <c r="E524" t="s">
        <v>951</v>
      </c>
      <c r="F524" t="s">
        <v>930</v>
      </c>
      <c r="G524" t="s">
        <v>616</v>
      </c>
      <c r="H524" t="s">
        <v>458</v>
      </c>
      <c r="I524" t="s">
        <v>374</v>
      </c>
      <c r="J524" t="s">
        <v>931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616</v>
      </c>
      <c r="B525" t="s">
        <v>928</v>
      </c>
      <c r="C525" t="s">
        <v>368</v>
      </c>
      <c r="D525" t="s">
        <v>523</v>
      </c>
      <c r="E525" t="s">
        <v>952</v>
      </c>
      <c r="F525" t="s">
        <v>930</v>
      </c>
      <c r="G525" t="s">
        <v>616</v>
      </c>
      <c r="H525" t="s">
        <v>458</v>
      </c>
      <c r="I525" t="s">
        <v>374</v>
      </c>
      <c r="J525" t="s">
        <v>931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616</v>
      </c>
      <c r="B526" t="s">
        <v>953</v>
      </c>
      <c r="C526" t="s">
        <v>368</v>
      </c>
      <c r="D526" t="s">
        <v>523</v>
      </c>
      <c r="E526" t="s">
        <v>954</v>
      </c>
      <c r="F526" t="s">
        <v>955</v>
      </c>
      <c r="G526" t="s">
        <v>616</v>
      </c>
      <c r="H526" t="s">
        <v>458</v>
      </c>
      <c r="I526" t="s">
        <v>374</v>
      </c>
      <c r="J526" t="s">
        <v>956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616</v>
      </c>
      <c r="B527" t="s">
        <v>953</v>
      </c>
      <c r="C527" t="s">
        <v>368</v>
      </c>
      <c r="D527" t="s">
        <v>523</v>
      </c>
      <c r="E527" t="s">
        <v>957</v>
      </c>
      <c r="F527" t="s">
        <v>955</v>
      </c>
      <c r="G527" t="s">
        <v>616</v>
      </c>
      <c r="H527" t="s">
        <v>458</v>
      </c>
      <c r="I527" t="s">
        <v>374</v>
      </c>
      <c r="J527" t="s">
        <v>956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616</v>
      </c>
      <c r="B528" t="s">
        <v>953</v>
      </c>
      <c r="C528" t="s">
        <v>368</v>
      </c>
      <c r="D528" t="s">
        <v>523</v>
      </c>
      <c r="E528" t="s">
        <v>958</v>
      </c>
      <c r="F528" t="s">
        <v>955</v>
      </c>
      <c r="G528" t="s">
        <v>616</v>
      </c>
      <c r="H528" t="s">
        <v>458</v>
      </c>
      <c r="I528" t="s">
        <v>374</v>
      </c>
      <c r="J528" t="s">
        <v>956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616</v>
      </c>
      <c r="B529" t="s">
        <v>953</v>
      </c>
      <c r="C529" t="s">
        <v>368</v>
      </c>
      <c r="D529" t="s">
        <v>523</v>
      </c>
      <c r="E529" t="s">
        <v>959</v>
      </c>
      <c r="F529" t="s">
        <v>955</v>
      </c>
      <c r="G529" t="s">
        <v>616</v>
      </c>
      <c r="H529" t="s">
        <v>458</v>
      </c>
      <c r="I529" t="s">
        <v>374</v>
      </c>
      <c r="J529" t="s">
        <v>956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616</v>
      </c>
      <c r="B530" t="s">
        <v>953</v>
      </c>
      <c r="C530" t="s">
        <v>368</v>
      </c>
      <c r="D530" t="s">
        <v>523</v>
      </c>
      <c r="E530" t="s">
        <v>960</v>
      </c>
      <c r="F530" t="s">
        <v>955</v>
      </c>
      <c r="G530" t="s">
        <v>616</v>
      </c>
      <c r="H530" t="s">
        <v>458</v>
      </c>
      <c r="I530" t="s">
        <v>374</v>
      </c>
      <c r="J530" t="s">
        <v>956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616</v>
      </c>
      <c r="B531" t="s">
        <v>953</v>
      </c>
      <c r="C531" t="s">
        <v>368</v>
      </c>
      <c r="D531" t="s">
        <v>523</v>
      </c>
      <c r="E531" t="s">
        <v>961</v>
      </c>
      <c r="F531" t="s">
        <v>955</v>
      </c>
      <c r="G531" t="s">
        <v>616</v>
      </c>
      <c r="H531" t="s">
        <v>458</v>
      </c>
      <c r="I531" t="s">
        <v>374</v>
      </c>
      <c r="J531" t="s">
        <v>956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616</v>
      </c>
      <c r="B532" t="s">
        <v>953</v>
      </c>
      <c r="C532" t="s">
        <v>368</v>
      </c>
      <c r="D532" t="s">
        <v>523</v>
      </c>
      <c r="E532" t="s">
        <v>962</v>
      </c>
      <c r="F532" t="s">
        <v>955</v>
      </c>
      <c r="G532" t="s">
        <v>616</v>
      </c>
      <c r="H532" t="s">
        <v>458</v>
      </c>
      <c r="I532" t="s">
        <v>374</v>
      </c>
      <c r="J532" t="s">
        <v>956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616</v>
      </c>
      <c r="B533" t="s">
        <v>953</v>
      </c>
      <c r="C533" t="s">
        <v>368</v>
      </c>
      <c r="D533" t="s">
        <v>523</v>
      </c>
      <c r="E533" t="s">
        <v>963</v>
      </c>
      <c r="F533" t="s">
        <v>955</v>
      </c>
      <c r="G533" t="s">
        <v>616</v>
      </c>
      <c r="H533" t="s">
        <v>458</v>
      </c>
      <c r="I533" t="s">
        <v>374</v>
      </c>
      <c r="J533" t="s">
        <v>956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616</v>
      </c>
      <c r="B534" t="s">
        <v>953</v>
      </c>
      <c r="C534" t="s">
        <v>368</v>
      </c>
      <c r="D534" t="s">
        <v>523</v>
      </c>
      <c r="E534" t="s">
        <v>964</v>
      </c>
      <c r="F534" t="s">
        <v>955</v>
      </c>
      <c r="G534" t="s">
        <v>616</v>
      </c>
      <c r="H534" t="s">
        <v>458</v>
      </c>
      <c r="I534" t="s">
        <v>374</v>
      </c>
      <c r="J534" t="s">
        <v>956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616</v>
      </c>
      <c r="B535" t="s">
        <v>953</v>
      </c>
      <c r="C535" t="s">
        <v>368</v>
      </c>
      <c r="D535" t="s">
        <v>523</v>
      </c>
      <c r="E535" t="s">
        <v>965</v>
      </c>
      <c r="F535" t="s">
        <v>955</v>
      </c>
      <c r="G535" t="s">
        <v>616</v>
      </c>
      <c r="H535" t="s">
        <v>458</v>
      </c>
      <c r="I535" t="s">
        <v>374</v>
      </c>
      <c r="J535" t="s">
        <v>956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616</v>
      </c>
      <c r="B536" t="s">
        <v>953</v>
      </c>
      <c r="C536" t="s">
        <v>368</v>
      </c>
      <c r="D536" t="s">
        <v>523</v>
      </c>
      <c r="E536" t="s">
        <v>966</v>
      </c>
      <c r="F536" t="s">
        <v>955</v>
      </c>
      <c r="G536" t="s">
        <v>616</v>
      </c>
      <c r="H536" t="s">
        <v>458</v>
      </c>
      <c r="I536" t="s">
        <v>374</v>
      </c>
      <c r="J536" t="s">
        <v>956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616</v>
      </c>
      <c r="B537" t="s">
        <v>953</v>
      </c>
      <c r="C537" t="s">
        <v>368</v>
      </c>
      <c r="D537" t="s">
        <v>523</v>
      </c>
      <c r="E537" t="s">
        <v>967</v>
      </c>
      <c r="F537" t="s">
        <v>955</v>
      </c>
      <c r="G537" t="s">
        <v>616</v>
      </c>
      <c r="H537" t="s">
        <v>458</v>
      </c>
      <c r="I537" t="s">
        <v>374</v>
      </c>
      <c r="J537" t="s">
        <v>956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616</v>
      </c>
      <c r="B538" t="s">
        <v>953</v>
      </c>
      <c r="C538" t="s">
        <v>368</v>
      </c>
      <c r="D538" t="s">
        <v>523</v>
      </c>
      <c r="E538" t="s">
        <v>968</v>
      </c>
      <c r="F538" t="s">
        <v>955</v>
      </c>
      <c r="G538" t="s">
        <v>616</v>
      </c>
      <c r="H538" t="s">
        <v>458</v>
      </c>
      <c r="I538" t="s">
        <v>374</v>
      </c>
      <c r="J538" t="s">
        <v>956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616</v>
      </c>
      <c r="B539" t="s">
        <v>953</v>
      </c>
      <c r="C539" t="s">
        <v>609</v>
      </c>
      <c r="D539" t="s">
        <v>523</v>
      </c>
      <c r="E539" t="s">
        <v>969</v>
      </c>
      <c r="F539" t="s">
        <v>955</v>
      </c>
      <c r="G539" t="s">
        <v>616</v>
      </c>
      <c r="H539" t="s">
        <v>458</v>
      </c>
      <c r="I539" t="s">
        <v>374</v>
      </c>
      <c r="J539" t="s">
        <v>956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616</v>
      </c>
      <c r="B540" t="s">
        <v>953</v>
      </c>
      <c r="C540" t="s">
        <v>609</v>
      </c>
      <c r="D540" t="s">
        <v>523</v>
      </c>
      <c r="E540" t="s">
        <v>970</v>
      </c>
      <c r="F540" t="s">
        <v>955</v>
      </c>
      <c r="G540" t="s">
        <v>616</v>
      </c>
      <c r="H540" t="s">
        <v>458</v>
      </c>
      <c r="I540" t="s">
        <v>374</v>
      </c>
      <c r="J540" t="s">
        <v>956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616</v>
      </c>
      <c r="B541" t="s">
        <v>953</v>
      </c>
      <c r="C541" t="s">
        <v>609</v>
      </c>
      <c r="D541" t="s">
        <v>523</v>
      </c>
      <c r="E541" t="s">
        <v>971</v>
      </c>
      <c r="F541" t="s">
        <v>955</v>
      </c>
      <c r="G541" t="s">
        <v>616</v>
      </c>
      <c r="H541" t="s">
        <v>458</v>
      </c>
      <c r="I541" t="s">
        <v>374</v>
      </c>
      <c r="J541" t="s">
        <v>956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616</v>
      </c>
      <c r="B542" t="s">
        <v>953</v>
      </c>
      <c r="C542" t="s">
        <v>609</v>
      </c>
      <c r="D542" t="s">
        <v>523</v>
      </c>
      <c r="E542" t="s">
        <v>972</v>
      </c>
      <c r="F542" t="s">
        <v>955</v>
      </c>
      <c r="G542" t="s">
        <v>616</v>
      </c>
      <c r="H542" t="s">
        <v>458</v>
      </c>
      <c r="I542" t="s">
        <v>374</v>
      </c>
      <c r="J542" t="s">
        <v>956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616</v>
      </c>
      <c r="B543" t="s">
        <v>953</v>
      </c>
      <c r="C543" t="s">
        <v>609</v>
      </c>
      <c r="D543" t="s">
        <v>523</v>
      </c>
      <c r="E543" t="s">
        <v>973</v>
      </c>
      <c r="F543" t="s">
        <v>955</v>
      </c>
      <c r="G543" t="s">
        <v>616</v>
      </c>
      <c r="H543" t="s">
        <v>458</v>
      </c>
      <c r="I543" t="s">
        <v>374</v>
      </c>
      <c r="J543" t="s">
        <v>956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616</v>
      </c>
      <c r="B544" t="s">
        <v>953</v>
      </c>
      <c r="C544" t="s">
        <v>368</v>
      </c>
      <c r="D544" t="s">
        <v>523</v>
      </c>
      <c r="E544" t="s">
        <v>974</v>
      </c>
      <c r="F544" t="s">
        <v>955</v>
      </c>
      <c r="G544" t="s">
        <v>616</v>
      </c>
      <c r="H544" t="s">
        <v>458</v>
      </c>
      <c r="I544" t="s">
        <v>374</v>
      </c>
      <c r="J544" t="s">
        <v>956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616</v>
      </c>
      <c r="B545" t="s">
        <v>953</v>
      </c>
      <c r="C545" t="s">
        <v>368</v>
      </c>
      <c r="D545" t="s">
        <v>523</v>
      </c>
      <c r="E545" t="s">
        <v>975</v>
      </c>
      <c r="F545" t="s">
        <v>955</v>
      </c>
      <c r="G545" t="s">
        <v>616</v>
      </c>
      <c r="H545" t="s">
        <v>458</v>
      </c>
      <c r="I545" t="s">
        <v>374</v>
      </c>
      <c r="J545" t="s">
        <v>956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616</v>
      </c>
      <c r="B546" t="s">
        <v>976</v>
      </c>
      <c r="C546" t="s">
        <v>368</v>
      </c>
      <c r="D546" t="s">
        <v>523</v>
      </c>
      <c r="E546" t="s">
        <v>977</v>
      </c>
      <c r="F546" t="s">
        <v>978</v>
      </c>
      <c r="G546" t="s">
        <v>616</v>
      </c>
      <c r="H546" t="s">
        <v>458</v>
      </c>
      <c r="I546" t="s">
        <v>374</v>
      </c>
      <c r="J546" t="s">
        <v>979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616</v>
      </c>
      <c r="B547" t="s">
        <v>976</v>
      </c>
      <c r="C547" t="s">
        <v>368</v>
      </c>
      <c r="D547" t="s">
        <v>523</v>
      </c>
      <c r="E547" t="s">
        <v>980</v>
      </c>
      <c r="F547" t="s">
        <v>978</v>
      </c>
      <c r="G547" t="s">
        <v>616</v>
      </c>
      <c r="H547" t="s">
        <v>458</v>
      </c>
      <c r="I547" t="s">
        <v>374</v>
      </c>
      <c r="J547" t="s">
        <v>979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616</v>
      </c>
      <c r="B548" t="s">
        <v>976</v>
      </c>
      <c r="C548" t="s">
        <v>368</v>
      </c>
      <c r="D548" t="s">
        <v>523</v>
      </c>
      <c r="E548" t="s">
        <v>981</v>
      </c>
      <c r="F548" t="s">
        <v>978</v>
      </c>
      <c r="G548" t="s">
        <v>616</v>
      </c>
      <c r="H548" t="s">
        <v>458</v>
      </c>
      <c r="I548" t="s">
        <v>374</v>
      </c>
      <c r="J548" t="s">
        <v>979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616</v>
      </c>
      <c r="B549" t="s">
        <v>976</v>
      </c>
      <c r="C549" t="s">
        <v>368</v>
      </c>
      <c r="D549" t="s">
        <v>523</v>
      </c>
      <c r="E549" t="s">
        <v>982</v>
      </c>
      <c r="F549" t="s">
        <v>978</v>
      </c>
      <c r="G549" t="s">
        <v>616</v>
      </c>
      <c r="H549" t="s">
        <v>458</v>
      </c>
      <c r="I549" t="s">
        <v>374</v>
      </c>
      <c r="J549" t="s">
        <v>979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616</v>
      </c>
      <c r="B550" t="s">
        <v>976</v>
      </c>
      <c r="C550" t="s">
        <v>368</v>
      </c>
      <c r="D550" t="s">
        <v>523</v>
      </c>
      <c r="E550" t="s">
        <v>983</v>
      </c>
      <c r="F550" t="s">
        <v>978</v>
      </c>
      <c r="G550" t="s">
        <v>616</v>
      </c>
      <c r="H550" t="s">
        <v>458</v>
      </c>
      <c r="I550" t="s">
        <v>374</v>
      </c>
      <c r="J550" t="s">
        <v>979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616</v>
      </c>
      <c r="B551" t="s">
        <v>976</v>
      </c>
      <c r="C551" t="s">
        <v>368</v>
      </c>
      <c r="D551" t="s">
        <v>523</v>
      </c>
      <c r="E551" t="s">
        <v>984</v>
      </c>
      <c r="F551" t="s">
        <v>978</v>
      </c>
      <c r="G551" t="s">
        <v>616</v>
      </c>
      <c r="H551" t="s">
        <v>458</v>
      </c>
      <c r="I551" t="s">
        <v>374</v>
      </c>
      <c r="J551" t="s">
        <v>979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616</v>
      </c>
      <c r="B552" t="s">
        <v>976</v>
      </c>
      <c r="C552" t="s">
        <v>368</v>
      </c>
      <c r="D552" t="s">
        <v>523</v>
      </c>
      <c r="E552" t="s">
        <v>985</v>
      </c>
      <c r="F552" t="s">
        <v>978</v>
      </c>
      <c r="G552" t="s">
        <v>616</v>
      </c>
      <c r="H552" t="s">
        <v>458</v>
      </c>
      <c r="I552" t="s">
        <v>374</v>
      </c>
      <c r="J552" t="s">
        <v>979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616</v>
      </c>
      <c r="B553" t="s">
        <v>976</v>
      </c>
      <c r="C553" t="s">
        <v>368</v>
      </c>
      <c r="D553" t="s">
        <v>523</v>
      </c>
      <c r="E553" t="s">
        <v>986</v>
      </c>
      <c r="F553" t="s">
        <v>978</v>
      </c>
      <c r="G553" t="s">
        <v>616</v>
      </c>
      <c r="H553" t="s">
        <v>458</v>
      </c>
      <c r="I553" t="s">
        <v>374</v>
      </c>
      <c r="J553" t="s">
        <v>979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616</v>
      </c>
      <c r="B554" t="s">
        <v>976</v>
      </c>
      <c r="C554" t="s">
        <v>368</v>
      </c>
      <c r="D554" t="s">
        <v>523</v>
      </c>
      <c r="E554" t="s">
        <v>987</v>
      </c>
      <c r="F554" t="s">
        <v>978</v>
      </c>
      <c r="G554" t="s">
        <v>616</v>
      </c>
      <c r="H554" t="s">
        <v>458</v>
      </c>
      <c r="I554" t="s">
        <v>374</v>
      </c>
      <c r="J554" t="s">
        <v>979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616</v>
      </c>
      <c r="B555" t="s">
        <v>976</v>
      </c>
      <c r="C555" t="s">
        <v>368</v>
      </c>
      <c r="D555" t="s">
        <v>523</v>
      </c>
      <c r="E555" t="s">
        <v>988</v>
      </c>
      <c r="F555" t="s">
        <v>978</v>
      </c>
      <c r="G555" t="s">
        <v>616</v>
      </c>
      <c r="H555" t="s">
        <v>458</v>
      </c>
      <c r="I555" t="s">
        <v>374</v>
      </c>
      <c r="J555" t="s">
        <v>979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616</v>
      </c>
      <c r="B556" t="s">
        <v>976</v>
      </c>
      <c r="C556" t="s">
        <v>368</v>
      </c>
      <c r="D556" t="s">
        <v>523</v>
      </c>
      <c r="E556" t="s">
        <v>989</v>
      </c>
      <c r="F556" t="s">
        <v>978</v>
      </c>
      <c r="G556" t="s">
        <v>616</v>
      </c>
      <c r="H556" t="s">
        <v>458</v>
      </c>
      <c r="I556" t="s">
        <v>374</v>
      </c>
      <c r="J556" t="s">
        <v>979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616</v>
      </c>
      <c r="B557" t="s">
        <v>976</v>
      </c>
      <c r="C557" t="s">
        <v>368</v>
      </c>
      <c r="D557" t="s">
        <v>523</v>
      </c>
      <c r="E557" t="s">
        <v>990</v>
      </c>
      <c r="F557" t="s">
        <v>978</v>
      </c>
      <c r="G557" t="s">
        <v>616</v>
      </c>
      <c r="H557" t="s">
        <v>458</v>
      </c>
      <c r="I557" t="s">
        <v>374</v>
      </c>
      <c r="J557" t="s">
        <v>979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616</v>
      </c>
      <c r="B558" t="s">
        <v>976</v>
      </c>
      <c r="C558" t="s">
        <v>368</v>
      </c>
      <c r="D558" t="s">
        <v>523</v>
      </c>
      <c r="E558" t="s">
        <v>991</v>
      </c>
      <c r="F558" t="s">
        <v>978</v>
      </c>
      <c r="G558" t="s">
        <v>616</v>
      </c>
      <c r="H558" t="s">
        <v>458</v>
      </c>
      <c r="I558" t="s">
        <v>374</v>
      </c>
      <c r="J558" t="s">
        <v>979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616</v>
      </c>
      <c r="B559" t="s">
        <v>976</v>
      </c>
      <c r="C559" t="s">
        <v>368</v>
      </c>
      <c r="D559" t="s">
        <v>523</v>
      </c>
      <c r="E559" t="s">
        <v>992</v>
      </c>
      <c r="F559" t="s">
        <v>978</v>
      </c>
      <c r="G559" t="s">
        <v>616</v>
      </c>
      <c r="H559" t="s">
        <v>458</v>
      </c>
      <c r="I559" t="s">
        <v>374</v>
      </c>
      <c r="J559" t="s">
        <v>979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616</v>
      </c>
      <c r="B560" t="s">
        <v>976</v>
      </c>
      <c r="C560" t="s">
        <v>368</v>
      </c>
      <c r="D560" t="s">
        <v>523</v>
      </c>
      <c r="E560" t="s">
        <v>993</v>
      </c>
      <c r="F560" t="s">
        <v>978</v>
      </c>
      <c r="G560" t="s">
        <v>616</v>
      </c>
      <c r="H560" t="s">
        <v>458</v>
      </c>
      <c r="I560" t="s">
        <v>374</v>
      </c>
      <c r="J560" t="s">
        <v>979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616</v>
      </c>
      <c r="B561" t="s">
        <v>976</v>
      </c>
      <c r="C561" t="s">
        <v>368</v>
      </c>
      <c r="D561" t="s">
        <v>523</v>
      </c>
      <c r="E561" t="s">
        <v>994</v>
      </c>
      <c r="F561" t="s">
        <v>978</v>
      </c>
      <c r="G561" t="s">
        <v>616</v>
      </c>
      <c r="H561" t="s">
        <v>458</v>
      </c>
      <c r="I561" t="s">
        <v>374</v>
      </c>
      <c r="J561" t="s">
        <v>979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616</v>
      </c>
      <c r="B562" t="s">
        <v>976</v>
      </c>
      <c r="C562" t="s">
        <v>368</v>
      </c>
      <c r="D562" t="s">
        <v>523</v>
      </c>
      <c r="E562" t="s">
        <v>995</v>
      </c>
      <c r="F562" t="s">
        <v>978</v>
      </c>
      <c r="G562" t="s">
        <v>616</v>
      </c>
      <c r="H562" t="s">
        <v>458</v>
      </c>
      <c r="I562" t="s">
        <v>374</v>
      </c>
      <c r="J562" t="s">
        <v>979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616</v>
      </c>
      <c r="B563" t="s">
        <v>976</v>
      </c>
      <c r="C563" t="s">
        <v>368</v>
      </c>
      <c r="D563" t="s">
        <v>523</v>
      </c>
      <c r="E563" t="s">
        <v>996</v>
      </c>
      <c r="F563" t="s">
        <v>978</v>
      </c>
      <c r="G563" t="s">
        <v>616</v>
      </c>
      <c r="H563" t="s">
        <v>458</v>
      </c>
      <c r="I563" t="s">
        <v>374</v>
      </c>
      <c r="J563" t="s">
        <v>979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616</v>
      </c>
      <c r="B564" t="s">
        <v>976</v>
      </c>
      <c r="C564" t="s">
        <v>368</v>
      </c>
      <c r="D564" t="s">
        <v>523</v>
      </c>
      <c r="E564" t="s">
        <v>997</v>
      </c>
      <c r="F564" t="s">
        <v>978</v>
      </c>
      <c r="G564" t="s">
        <v>616</v>
      </c>
      <c r="H564" t="s">
        <v>458</v>
      </c>
      <c r="I564" t="s">
        <v>374</v>
      </c>
      <c r="J564" t="s">
        <v>979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616</v>
      </c>
      <c r="B565" t="s">
        <v>976</v>
      </c>
      <c r="C565" t="s">
        <v>368</v>
      </c>
      <c r="D565" t="s">
        <v>523</v>
      </c>
      <c r="E565" t="s">
        <v>998</v>
      </c>
      <c r="F565" t="s">
        <v>978</v>
      </c>
      <c r="G565" t="s">
        <v>616</v>
      </c>
      <c r="H565" t="s">
        <v>458</v>
      </c>
      <c r="I565" t="s">
        <v>374</v>
      </c>
      <c r="J565" t="s">
        <v>979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616</v>
      </c>
      <c r="B566" t="s">
        <v>976</v>
      </c>
      <c r="C566" t="s">
        <v>368</v>
      </c>
      <c r="D566" t="s">
        <v>523</v>
      </c>
      <c r="E566" t="s">
        <v>999</v>
      </c>
      <c r="F566" t="s">
        <v>978</v>
      </c>
      <c r="G566" t="s">
        <v>616</v>
      </c>
      <c r="H566" t="s">
        <v>458</v>
      </c>
      <c r="I566" t="s">
        <v>374</v>
      </c>
      <c r="J566" t="s">
        <v>979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616</v>
      </c>
      <c r="B567" t="s">
        <v>976</v>
      </c>
      <c r="C567" t="s">
        <v>368</v>
      </c>
      <c r="D567" t="s">
        <v>523</v>
      </c>
      <c r="E567" t="s">
        <v>1000</v>
      </c>
      <c r="F567" t="s">
        <v>978</v>
      </c>
      <c r="G567" t="s">
        <v>616</v>
      </c>
      <c r="H567" t="s">
        <v>458</v>
      </c>
      <c r="I567" t="s">
        <v>374</v>
      </c>
      <c r="J567" t="s">
        <v>979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616</v>
      </c>
      <c r="B568" t="s">
        <v>976</v>
      </c>
      <c r="C568" t="s">
        <v>368</v>
      </c>
      <c r="D568" t="s">
        <v>523</v>
      </c>
      <c r="E568" t="s">
        <v>1001</v>
      </c>
      <c r="F568" t="s">
        <v>978</v>
      </c>
      <c r="G568" t="s">
        <v>616</v>
      </c>
      <c r="H568" t="s">
        <v>458</v>
      </c>
      <c r="I568" t="s">
        <v>374</v>
      </c>
      <c r="J568" t="s">
        <v>979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616</v>
      </c>
      <c r="B569" t="s">
        <v>976</v>
      </c>
      <c r="C569" t="s">
        <v>368</v>
      </c>
      <c r="D569" t="s">
        <v>523</v>
      </c>
      <c r="E569" t="s">
        <v>1002</v>
      </c>
      <c r="F569" t="s">
        <v>978</v>
      </c>
      <c r="G569" t="s">
        <v>616</v>
      </c>
      <c r="H569" t="s">
        <v>458</v>
      </c>
      <c r="I569" t="s">
        <v>374</v>
      </c>
      <c r="J569" t="s">
        <v>979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616</v>
      </c>
      <c r="B570" t="s">
        <v>976</v>
      </c>
      <c r="C570" t="s">
        <v>368</v>
      </c>
      <c r="D570" t="s">
        <v>523</v>
      </c>
      <c r="E570" t="s">
        <v>1003</v>
      </c>
      <c r="F570" t="s">
        <v>978</v>
      </c>
      <c r="G570" t="s">
        <v>616</v>
      </c>
      <c r="H570" t="s">
        <v>458</v>
      </c>
      <c r="I570" t="s">
        <v>374</v>
      </c>
      <c r="J570" t="s">
        <v>979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616</v>
      </c>
      <c r="B571" t="s">
        <v>976</v>
      </c>
      <c r="C571" t="s">
        <v>368</v>
      </c>
      <c r="D571" t="s">
        <v>523</v>
      </c>
      <c r="E571" t="s">
        <v>1004</v>
      </c>
      <c r="F571" t="s">
        <v>978</v>
      </c>
      <c r="G571" t="s">
        <v>616</v>
      </c>
      <c r="H571" t="s">
        <v>458</v>
      </c>
      <c r="I571" t="s">
        <v>374</v>
      </c>
      <c r="J571" t="s">
        <v>979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616</v>
      </c>
      <c r="B572" t="s">
        <v>976</v>
      </c>
      <c r="C572" t="s">
        <v>609</v>
      </c>
      <c r="D572" t="s">
        <v>523</v>
      </c>
      <c r="E572" t="s">
        <v>1005</v>
      </c>
      <c r="F572" t="s">
        <v>978</v>
      </c>
      <c r="G572" t="s">
        <v>616</v>
      </c>
      <c r="H572" t="s">
        <v>458</v>
      </c>
      <c r="I572" t="s">
        <v>374</v>
      </c>
      <c r="J572" t="s">
        <v>979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616</v>
      </c>
      <c r="B573" t="s">
        <v>976</v>
      </c>
      <c r="C573" t="s">
        <v>609</v>
      </c>
      <c r="D573" t="s">
        <v>523</v>
      </c>
      <c r="E573" t="s">
        <v>1006</v>
      </c>
      <c r="F573" t="s">
        <v>978</v>
      </c>
      <c r="G573" t="s">
        <v>616</v>
      </c>
      <c r="H573" t="s">
        <v>458</v>
      </c>
      <c r="I573" t="s">
        <v>374</v>
      </c>
      <c r="J573" t="s">
        <v>979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616</v>
      </c>
      <c r="B574" t="s">
        <v>976</v>
      </c>
      <c r="C574" t="s">
        <v>609</v>
      </c>
      <c r="D574" t="s">
        <v>523</v>
      </c>
      <c r="E574" t="s">
        <v>1007</v>
      </c>
      <c r="F574" t="s">
        <v>978</v>
      </c>
      <c r="G574" t="s">
        <v>616</v>
      </c>
      <c r="H574" t="s">
        <v>458</v>
      </c>
      <c r="I574" t="s">
        <v>374</v>
      </c>
      <c r="J574" t="s">
        <v>979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616</v>
      </c>
      <c r="B575" t="s">
        <v>976</v>
      </c>
      <c r="C575" t="s">
        <v>609</v>
      </c>
      <c r="D575" t="s">
        <v>523</v>
      </c>
      <c r="E575" t="s">
        <v>1008</v>
      </c>
      <c r="F575" t="s">
        <v>978</v>
      </c>
      <c r="G575" t="s">
        <v>616</v>
      </c>
      <c r="H575" t="s">
        <v>458</v>
      </c>
      <c r="I575" t="s">
        <v>374</v>
      </c>
      <c r="J575" t="s">
        <v>979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616</v>
      </c>
      <c r="B576" t="s">
        <v>976</v>
      </c>
      <c r="C576" t="s">
        <v>609</v>
      </c>
      <c r="D576" t="s">
        <v>523</v>
      </c>
      <c r="E576" t="s">
        <v>1009</v>
      </c>
      <c r="F576" t="s">
        <v>978</v>
      </c>
      <c r="G576" t="s">
        <v>616</v>
      </c>
      <c r="H576" t="s">
        <v>458</v>
      </c>
      <c r="I576" t="s">
        <v>374</v>
      </c>
      <c r="J576" t="s">
        <v>979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616</v>
      </c>
      <c r="B577" t="s">
        <v>976</v>
      </c>
      <c r="C577" t="s">
        <v>609</v>
      </c>
      <c r="D577" t="s">
        <v>523</v>
      </c>
      <c r="E577" t="s">
        <v>1010</v>
      </c>
      <c r="F577" t="s">
        <v>978</v>
      </c>
      <c r="G577" t="s">
        <v>616</v>
      </c>
      <c r="H577" t="s">
        <v>458</v>
      </c>
      <c r="I577" t="s">
        <v>374</v>
      </c>
      <c r="J577" t="s">
        <v>979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616</v>
      </c>
      <c r="B578" t="s">
        <v>976</v>
      </c>
      <c r="C578" t="s">
        <v>609</v>
      </c>
      <c r="D578" t="s">
        <v>523</v>
      </c>
      <c r="E578" t="s">
        <v>1011</v>
      </c>
      <c r="F578" t="s">
        <v>978</v>
      </c>
      <c r="G578" t="s">
        <v>616</v>
      </c>
      <c r="H578" t="s">
        <v>458</v>
      </c>
      <c r="I578" t="s">
        <v>374</v>
      </c>
      <c r="J578" t="s">
        <v>979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616</v>
      </c>
      <c r="B579" t="s">
        <v>976</v>
      </c>
      <c r="C579" t="s">
        <v>609</v>
      </c>
      <c r="D579" t="s">
        <v>523</v>
      </c>
      <c r="E579" t="s">
        <v>1012</v>
      </c>
      <c r="F579" t="s">
        <v>978</v>
      </c>
      <c r="G579" t="s">
        <v>616</v>
      </c>
      <c r="H579" t="s">
        <v>458</v>
      </c>
      <c r="I579" t="s">
        <v>374</v>
      </c>
      <c r="J579" t="s">
        <v>979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616</v>
      </c>
      <c r="B580" t="s">
        <v>976</v>
      </c>
      <c r="C580" t="s">
        <v>609</v>
      </c>
      <c r="D580" t="s">
        <v>523</v>
      </c>
      <c r="E580" t="s">
        <v>1013</v>
      </c>
      <c r="F580" t="s">
        <v>978</v>
      </c>
      <c r="G580" t="s">
        <v>616</v>
      </c>
      <c r="H580" t="s">
        <v>458</v>
      </c>
      <c r="I580" t="s">
        <v>374</v>
      </c>
      <c r="J580" t="s">
        <v>979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616</v>
      </c>
      <c r="B581" t="s">
        <v>976</v>
      </c>
      <c r="C581" t="s">
        <v>609</v>
      </c>
      <c r="D581" t="s">
        <v>523</v>
      </c>
      <c r="E581" t="s">
        <v>1014</v>
      </c>
      <c r="F581" t="s">
        <v>978</v>
      </c>
      <c r="G581" t="s">
        <v>616</v>
      </c>
      <c r="H581" t="s">
        <v>458</v>
      </c>
      <c r="I581" t="s">
        <v>374</v>
      </c>
      <c r="J581" t="s">
        <v>979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616</v>
      </c>
      <c r="B582" t="s">
        <v>976</v>
      </c>
      <c r="C582" t="s">
        <v>368</v>
      </c>
      <c r="D582" t="s">
        <v>523</v>
      </c>
      <c r="E582" t="s">
        <v>1015</v>
      </c>
      <c r="F582" t="s">
        <v>978</v>
      </c>
      <c r="G582" t="s">
        <v>616</v>
      </c>
      <c r="H582" t="s">
        <v>458</v>
      </c>
      <c r="I582" t="s">
        <v>374</v>
      </c>
      <c r="J582" t="s">
        <v>979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616</v>
      </c>
      <c r="B583" t="s">
        <v>976</v>
      </c>
      <c r="C583" t="s">
        <v>368</v>
      </c>
      <c r="D583" t="s">
        <v>523</v>
      </c>
      <c r="E583" t="s">
        <v>1016</v>
      </c>
      <c r="F583" t="s">
        <v>978</v>
      </c>
      <c r="G583" t="s">
        <v>616</v>
      </c>
      <c r="H583" t="s">
        <v>458</v>
      </c>
      <c r="I583" t="s">
        <v>374</v>
      </c>
      <c r="J583" t="s">
        <v>979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616</v>
      </c>
      <c r="B584" t="s">
        <v>976</v>
      </c>
      <c r="C584" t="s">
        <v>368</v>
      </c>
      <c r="D584" t="s">
        <v>523</v>
      </c>
      <c r="E584" t="s">
        <v>1017</v>
      </c>
      <c r="F584" t="s">
        <v>978</v>
      </c>
      <c r="G584" t="s">
        <v>616</v>
      </c>
      <c r="H584" t="s">
        <v>458</v>
      </c>
      <c r="I584" t="s">
        <v>374</v>
      </c>
      <c r="J584" t="s">
        <v>979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616</v>
      </c>
      <c r="B585" t="s">
        <v>976</v>
      </c>
      <c r="C585" t="s">
        <v>368</v>
      </c>
      <c r="D585" t="s">
        <v>523</v>
      </c>
      <c r="E585" t="s">
        <v>1018</v>
      </c>
      <c r="F585" t="s">
        <v>978</v>
      </c>
      <c r="G585" t="s">
        <v>616</v>
      </c>
      <c r="H585" t="s">
        <v>458</v>
      </c>
      <c r="I585" t="s">
        <v>374</v>
      </c>
      <c r="J585" t="s">
        <v>979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616</v>
      </c>
      <c r="B586" t="s">
        <v>1019</v>
      </c>
      <c r="C586" t="s">
        <v>368</v>
      </c>
      <c r="D586" t="s">
        <v>523</v>
      </c>
      <c r="E586" t="s">
        <v>1020</v>
      </c>
      <c r="F586" t="s">
        <v>1021</v>
      </c>
      <c r="G586" t="s">
        <v>616</v>
      </c>
      <c r="H586" t="s">
        <v>458</v>
      </c>
      <c r="I586" t="s">
        <v>374</v>
      </c>
      <c r="J586" t="s">
        <v>1022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616</v>
      </c>
      <c r="B587" t="s">
        <v>1019</v>
      </c>
      <c r="C587" t="s">
        <v>368</v>
      </c>
      <c r="D587" t="s">
        <v>523</v>
      </c>
      <c r="E587" t="s">
        <v>1023</v>
      </c>
      <c r="F587" t="s">
        <v>1021</v>
      </c>
      <c r="G587" t="s">
        <v>616</v>
      </c>
      <c r="H587" t="s">
        <v>458</v>
      </c>
      <c r="I587" t="s">
        <v>374</v>
      </c>
      <c r="J587" t="s">
        <v>1022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616</v>
      </c>
      <c r="B588" t="s">
        <v>1019</v>
      </c>
      <c r="C588" t="s">
        <v>368</v>
      </c>
      <c r="D588" t="s">
        <v>523</v>
      </c>
      <c r="E588" t="s">
        <v>1024</v>
      </c>
      <c r="F588" t="s">
        <v>1021</v>
      </c>
      <c r="G588" t="s">
        <v>616</v>
      </c>
      <c r="H588" t="s">
        <v>458</v>
      </c>
      <c r="I588" t="s">
        <v>374</v>
      </c>
      <c r="J588" t="s">
        <v>1022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616</v>
      </c>
      <c r="B589" t="s">
        <v>1019</v>
      </c>
      <c r="C589" t="s">
        <v>368</v>
      </c>
      <c r="D589" t="s">
        <v>523</v>
      </c>
      <c r="E589" t="s">
        <v>1025</v>
      </c>
      <c r="F589" t="s">
        <v>1021</v>
      </c>
      <c r="G589" t="s">
        <v>616</v>
      </c>
      <c r="H589" t="s">
        <v>458</v>
      </c>
      <c r="I589" t="s">
        <v>374</v>
      </c>
      <c r="J589" t="s">
        <v>1022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616</v>
      </c>
      <c r="B590" t="s">
        <v>1019</v>
      </c>
      <c r="C590" t="s">
        <v>368</v>
      </c>
      <c r="D590" t="s">
        <v>523</v>
      </c>
      <c r="E590" t="s">
        <v>1026</v>
      </c>
      <c r="F590" t="s">
        <v>1021</v>
      </c>
      <c r="G590" t="s">
        <v>616</v>
      </c>
      <c r="H590" t="s">
        <v>458</v>
      </c>
      <c r="I590" t="s">
        <v>374</v>
      </c>
      <c r="J590" t="s">
        <v>1022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616</v>
      </c>
      <c r="B591" t="s">
        <v>1019</v>
      </c>
      <c r="C591" t="s">
        <v>368</v>
      </c>
      <c r="D591" t="s">
        <v>523</v>
      </c>
      <c r="E591" t="s">
        <v>1027</v>
      </c>
      <c r="F591" t="s">
        <v>1021</v>
      </c>
      <c r="G591" t="s">
        <v>616</v>
      </c>
      <c r="H591" t="s">
        <v>458</v>
      </c>
      <c r="I591" t="s">
        <v>374</v>
      </c>
      <c r="J591" t="s">
        <v>1022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616</v>
      </c>
      <c r="B592" t="s">
        <v>1019</v>
      </c>
      <c r="C592" t="s">
        <v>368</v>
      </c>
      <c r="D592" t="s">
        <v>523</v>
      </c>
      <c r="E592" t="s">
        <v>1028</v>
      </c>
      <c r="F592" t="s">
        <v>1021</v>
      </c>
      <c r="G592" t="s">
        <v>616</v>
      </c>
      <c r="H592" t="s">
        <v>458</v>
      </c>
      <c r="I592" t="s">
        <v>374</v>
      </c>
      <c r="J592" t="s">
        <v>1022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616</v>
      </c>
      <c r="B593" t="s">
        <v>1019</v>
      </c>
      <c r="C593" t="s">
        <v>368</v>
      </c>
      <c r="D593" t="s">
        <v>523</v>
      </c>
      <c r="E593" t="s">
        <v>1029</v>
      </c>
      <c r="F593" t="s">
        <v>1021</v>
      </c>
      <c r="G593" t="s">
        <v>616</v>
      </c>
      <c r="H593" t="s">
        <v>458</v>
      </c>
      <c r="I593" t="s">
        <v>374</v>
      </c>
      <c r="J593" t="s">
        <v>1022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616</v>
      </c>
      <c r="B594" t="s">
        <v>1019</v>
      </c>
      <c r="C594" t="s">
        <v>368</v>
      </c>
      <c r="D594" t="s">
        <v>523</v>
      </c>
      <c r="E594" t="s">
        <v>1030</v>
      </c>
      <c r="F594" t="s">
        <v>1021</v>
      </c>
      <c r="G594" t="s">
        <v>616</v>
      </c>
      <c r="H594" t="s">
        <v>458</v>
      </c>
      <c r="I594" t="s">
        <v>374</v>
      </c>
      <c r="J594" t="s">
        <v>1022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616</v>
      </c>
      <c r="B595" t="s">
        <v>1019</v>
      </c>
      <c r="C595" t="s">
        <v>368</v>
      </c>
      <c r="D595" t="s">
        <v>523</v>
      </c>
      <c r="E595" t="s">
        <v>1031</v>
      </c>
      <c r="F595" t="s">
        <v>1021</v>
      </c>
      <c r="G595" t="s">
        <v>616</v>
      </c>
      <c r="H595" t="s">
        <v>458</v>
      </c>
      <c r="I595" t="s">
        <v>374</v>
      </c>
      <c r="J595" t="s">
        <v>1022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616</v>
      </c>
      <c r="B596" t="s">
        <v>1019</v>
      </c>
      <c r="C596" t="s">
        <v>368</v>
      </c>
      <c r="D596" t="s">
        <v>523</v>
      </c>
      <c r="E596" t="s">
        <v>1032</v>
      </c>
      <c r="F596" t="s">
        <v>1021</v>
      </c>
      <c r="G596" t="s">
        <v>616</v>
      </c>
      <c r="H596" t="s">
        <v>458</v>
      </c>
      <c r="I596" t="s">
        <v>374</v>
      </c>
      <c r="J596" t="s">
        <v>1022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616</v>
      </c>
      <c r="B597" t="s">
        <v>1019</v>
      </c>
      <c r="C597" t="s">
        <v>368</v>
      </c>
      <c r="D597" t="s">
        <v>523</v>
      </c>
      <c r="E597" t="s">
        <v>1033</v>
      </c>
      <c r="F597" t="s">
        <v>1021</v>
      </c>
      <c r="G597" t="s">
        <v>616</v>
      </c>
      <c r="H597" t="s">
        <v>458</v>
      </c>
      <c r="I597" t="s">
        <v>374</v>
      </c>
      <c r="J597" t="s">
        <v>1022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616</v>
      </c>
      <c r="B598" t="s">
        <v>1019</v>
      </c>
      <c r="C598" t="s">
        <v>368</v>
      </c>
      <c r="D598" t="s">
        <v>523</v>
      </c>
      <c r="E598" t="s">
        <v>1034</v>
      </c>
      <c r="F598" t="s">
        <v>1021</v>
      </c>
      <c r="G598" t="s">
        <v>616</v>
      </c>
      <c r="H598" t="s">
        <v>458</v>
      </c>
      <c r="I598" t="s">
        <v>374</v>
      </c>
      <c r="J598" t="s">
        <v>1022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616</v>
      </c>
      <c r="B599" t="s">
        <v>1019</v>
      </c>
      <c r="C599" t="s">
        <v>609</v>
      </c>
      <c r="D599" t="s">
        <v>523</v>
      </c>
      <c r="E599" t="s">
        <v>1035</v>
      </c>
      <c r="F599" t="s">
        <v>1021</v>
      </c>
      <c r="G599" t="s">
        <v>616</v>
      </c>
      <c r="H599" t="s">
        <v>458</v>
      </c>
      <c r="I599" t="s">
        <v>374</v>
      </c>
      <c r="J599" t="s">
        <v>1022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616</v>
      </c>
      <c r="B600" t="s">
        <v>1019</v>
      </c>
      <c r="C600" t="s">
        <v>609</v>
      </c>
      <c r="D600" t="s">
        <v>523</v>
      </c>
      <c r="E600" t="s">
        <v>1036</v>
      </c>
      <c r="F600" t="s">
        <v>1021</v>
      </c>
      <c r="G600" t="s">
        <v>616</v>
      </c>
      <c r="H600" t="s">
        <v>458</v>
      </c>
      <c r="I600" t="s">
        <v>374</v>
      </c>
      <c r="J600" t="s">
        <v>1022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616</v>
      </c>
      <c r="B601" t="s">
        <v>1019</v>
      </c>
      <c r="C601" t="s">
        <v>609</v>
      </c>
      <c r="D601" t="s">
        <v>523</v>
      </c>
      <c r="E601" t="s">
        <v>1037</v>
      </c>
      <c r="F601" t="s">
        <v>1021</v>
      </c>
      <c r="G601" t="s">
        <v>616</v>
      </c>
      <c r="H601" t="s">
        <v>458</v>
      </c>
      <c r="I601" t="s">
        <v>374</v>
      </c>
      <c r="J601" t="s">
        <v>1022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616</v>
      </c>
      <c r="B602" t="s">
        <v>1019</v>
      </c>
      <c r="C602" t="s">
        <v>609</v>
      </c>
      <c r="D602" t="s">
        <v>523</v>
      </c>
      <c r="E602" t="s">
        <v>1038</v>
      </c>
      <c r="F602" t="s">
        <v>1021</v>
      </c>
      <c r="G602" t="s">
        <v>616</v>
      </c>
      <c r="H602" t="s">
        <v>458</v>
      </c>
      <c r="I602" t="s">
        <v>374</v>
      </c>
      <c r="J602" t="s">
        <v>1022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616</v>
      </c>
      <c r="B603" t="s">
        <v>1019</v>
      </c>
      <c r="C603" t="s">
        <v>609</v>
      </c>
      <c r="D603" t="s">
        <v>523</v>
      </c>
      <c r="E603" t="s">
        <v>1039</v>
      </c>
      <c r="F603" t="s">
        <v>1021</v>
      </c>
      <c r="G603" t="s">
        <v>616</v>
      </c>
      <c r="H603" t="s">
        <v>458</v>
      </c>
      <c r="I603" t="s">
        <v>374</v>
      </c>
      <c r="J603" t="s">
        <v>1022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616</v>
      </c>
      <c r="B604" t="s">
        <v>1019</v>
      </c>
      <c r="C604" t="s">
        <v>368</v>
      </c>
      <c r="D604" t="s">
        <v>523</v>
      </c>
      <c r="E604" t="s">
        <v>1040</v>
      </c>
      <c r="F604" t="s">
        <v>1021</v>
      </c>
      <c r="G604" t="s">
        <v>616</v>
      </c>
      <c r="H604" t="s">
        <v>458</v>
      </c>
      <c r="I604" t="s">
        <v>374</v>
      </c>
      <c r="J604" t="s">
        <v>1022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616</v>
      </c>
      <c r="B605" t="s">
        <v>1019</v>
      </c>
      <c r="C605" t="s">
        <v>368</v>
      </c>
      <c r="D605" t="s">
        <v>523</v>
      </c>
      <c r="E605" t="s">
        <v>1041</v>
      </c>
      <c r="F605" t="s">
        <v>1021</v>
      </c>
      <c r="G605" t="s">
        <v>616</v>
      </c>
      <c r="H605" t="s">
        <v>458</v>
      </c>
      <c r="I605" t="s">
        <v>374</v>
      </c>
      <c r="J605" t="s">
        <v>1022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616</v>
      </c>
      <c r="B606" t="s">
        <v>1042</v>
      </c>
      <c r="C606" t="s">
        <v>368</v>
      </c>
      <c r="D606" t="s">
        <v>523</v>
      </c>
      <c r="E606" t="s">
        <v>1043</v>
      </c>
      <c r="F606" t="s">
        <v>1044</v>
      </c>
      <c r="G606" t="s">
        <v>616</v>
      </c>
      <c r="H606" t="s">
        <v>458</v>
      </c>
      <c r="I606" t="s">
        <v>374</v>
      </c>
      <c r="J606" t="s">
        <v>1045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616</v>
      </c>
      <c r="B607" t="s">
        <v>1042</v>
      </c>
      <c r="C607" t="s">
        <v>368</v>
      </c>
      <c r="D607" t="s">
        <v>523</v>
      </c>
      <c r="E607" t="s">
        <v>1046</v>
      </c>
      <c r="F607" t="s">
        <v>1044</v>
      </c>
      <c r="G607" t="s">
        <v>616</v>
      </c>
      <c r="H607" t="s">
        <v>458</v>
      </c>
      <c r="I607" t="s">
        <v>374</v>
      </c>
      <c r="J607" t="s">
        <v>1045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616</v>
      </c>
      <c r="B608" t="s">
        <v>1042</v>
      </c>
      <c r="C608" t="s">
        <v>368</v>
      </c>
      <c r="D608" t="s">
        <v>523</v>
      </c>
      <c r="E608" t="s">
        <v>1047</v>
      </c>
      <c r="F608" t="s">
        <v>1044</v>
      </c>
      <c r="G608" t="s">
        <v>616</v>
      </c>
      <c r="H608" t="s">
        <v>458</v>
      </c>
      <c r="I608" t="s">
        <v>374</v>
      </c>
      <c r="J608" t="s">
        <v>1045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616</v>
      </c>
      <c r="B609" t="s">
        <v>1042</v>
      </c>
      <c r="C609" t="s">
        <v>368</v>
      </c>
      <c r="D609" t="s">
        <v>523</v>
      </c>
      <c r="E609" t="s">
        <v>1048</v>
      </c>
      <c r="F609" t="s">
        <v>1044</v>
      </c>
      <c r="G609" t="s">
        <v>616</v>
      </c>
      <c r="H609" t="s">
        <v>458</v>
      </c>
      <c r="I609" t="s">
        <v>374</v>
      </c>
      <c r="J609" t="s">
        <v>1045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616</v>
      </c>
      <c r="B610" t="s">
        <v>1042</v>
      </c>
      <c r="C610" t="s">
        <v>368</v>
      </c>
      <c r="D610" t="s">
        <v>523</v>
      </c>
      <c r="E610" t="s">
        <v>1049</v>
      </c>
      <c r="F610" t="s">
        <v>1044</v>
      </c>
      <c r="G610" t="s">
        <v>616</v>
      </c>
      <c r="H610" t="s">
        <v>458</v>
      </c>
      <c r="I610" t="s">
        <v>374</v>
      </c>
      <c r="J610" t="s">
        <v>1045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616</v>
      </c>
      <c r="B611" t="s">
        <v>1042</v>
      </c>
      <c r="C611" t="s">
        <v>368</v>
      </c>
      <c r="D611" t="s">
        <v>523</v>
      </c>
      <c r="E611" t="s">
        <v>1050</v>
      </c>
      <c r="F611" t="s">
        <v>1044</v>
      </c>
      <c r="G611" t="s">
        <v>616</v>
      </c>
      <c r="H611" t="s">
        <v>458</v>
      </c>
      <c r="I611" t="s">
        <v>374</v>
      </c>
      <c r="J611" t="s">
        <v>1045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616</v>
      </c>
      <c r="B612" t="s">
        <v>1042</v>
      </c>
      <c r="C612" t="s">
        <v>368</v>
      </c>
      <c r="D612" t="s">
        <v>523</v>
      </c>
      <c r="E612" t="s">
        <v>1051</v>
      </c>
      <c r="F612" t="s">
        <v>1044</v>
      </c>
      <c r="G612" t="s">
        <v>616</v>
      </c>
      <c r="H612" t="s">
        <v>458</v>
      </c>
      <c r="I612" t="s">
        <v>374</v>
      </c>
      <c r="J612" t="s">
        <v>1045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616</v>
      </c>
      <c r="B613" t="s">
        <v>1042</v>
      </c>
      <c r="C613" t="s">
        <v>368</v>
      </c>
      <c r="D613" t="s">
        <v>523</v>
      </c>
      <c r="E613" t="s">
        <v>1052</v>
      </c>
      <c r="F613" t="s">
        <v>1044</v>
      </c>
      <c r="G613" t="s">
        <v>616</v>
      </c>
      <c r="H613" t="s">
        <v>458</v>
      </c>
      <c r="I613" t="s">
        <v>374</v>
      </c>
      <c r="J613" t="s">
        <v>1045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616</v>
      </c>
      <c r="B614" t="s">
        <v>1042</v>
      </c>
      <c r="C614" t="s">
        <v>368</v>
      </c>
      <c r="D614" t="s">
        <v>523</v>
      </c>
      <c r="E614" t="s">
        <v>1053</v>
      </c>
      <c r="F614" t="s">
        <v>1044</v>
      </c>
      <c r="G614" t="s">
        <v>616</v>
      </c>
      <c r="H614" t="s">
        <v>458</v>
      </c>
      <c r="I614" t="s">
        <v>374</v>
      </c>
      <c r="J614" t="s">
        <v>1045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616</v>
      </c>
      <c r="B615" t="s">
        <v>1042</v>
      </c>
      <c r="C615" t="s">
        <v>368</v>
      </c>
      <c r="D615" t="s">
        <v>523</v>
      </c>
      <c r="E615" t="s">
        <v>1054</v>
      </c>
      <c r="F615" t="s">
        <v>1044</v>
      </c>
      <c r="G615" t="s">
        <v>616</v>
      </c>
      <c r="H615" t="s">
        <v>458</v>
      </c>
      <c r="I615" t="s">
        <v>374</v>
      </c>
      <c r="J615" t="s">
        <v>1045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616</v>
      </c>
      <c r="B616" t="s">
        <v>1042</v>
      </c>
      <c r="C616" t="s">
        <v>368</v>
      </c>
      <c r="D616" t="s">
        <v>523</v>
      </c>
      <c r="E616" t="s">
        <v>1055</v>
      </c>
      <c r="F616" t="s">
        <v>1044</v>
      </c>
      <c r="G616" t="s">
        <v>616</v>
      </c>
      <c r="H616" t="s">
        <v>458</v>
      </c>
      <c r="I616" t="s">
        <v>374</v>
      </c>
      <c r="J616" t="s">
        <v>1045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616</v>
      </c>
      <c r="B617" t="s">
        <v>1042</v>
      </c>
      <c r="C617" t="s">
        <v>368</v>
      </c>
      <c r="D617" t="s">
        <v>523</v>
      </c>
      <c r="E617" t="s">
        <v>1056</v>
      </c>
      <c r="F617" t="s">
        <v>1044</v>
      </c>
      <c r="G617" t="s">
        <v>616</v>
      </c>
      <c r="H617" t="s">
        <v>458</v>
      </c>
      <c r="I617" t="s">
        <v>374</v>
      </c>
      <c r="J617" t="s">
        <v>1045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616</v>
      </c>
      <c r="B618" t="s">
        <v>1042</v>
      </c>
      <c r="C618" t="s">
        <v>368</v>
      </c>
      <c r="D618" t="s">
        <v>523</v>
      </c>
      <c r="E618" t="s">
        <v>1057</v>
      </c>
      <c r="F618" t="s">
        <v>1044</v>
      </c>
      <c r="G618" t="s">
        <v>616</v>
      </c>
      <c r="H618" t="s">
        <v>458</v>
      </c>
      <c r="I618" t="s">
        <v>374</v>
      </c>
      <c r="J618" t="s">
        <v>1045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616</v>
      </c>
      <c r="B619" t="s">
        <v>1042</v>
      </c>
      <c r="C619" t="s">
        <v>368</v>
      </c>
      <c r="D619" t="s">
        <v>523</v>
      </c>
      <c r="E619" t="s">
        <v>1058</v>
      </c>
      <c r="F619" t="s">
        <v>1044</v>
      </c>
      <c r="G619" t="s">
        <v>616</v>
      </c>
      <c r="H619" t="s">
        <v>458</v>
      </c>
      <c r="I619" t="s">
        <v>374</v>
      </c>
      <c r="J619" t="s">
        <v>1045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616</v>
      </c>
      <c r="B620" t="s">
        <v>1042</v>
      </c>
      <c r="C620" t="s">
        <v>368</v>
      </c>
      <c r="D620" t="s">
        <v>523</v>
      </c>
      <c r="E620" t="s">
        <v>1059</v>
      </c>
      <c r="F620" t="s">
        <v>1044</v>
      </c>
      <c r="G620" t="s">
        <v>616</v>
      </c>
      <c r="H620" t="s">
        <v>458</v>
      </c>
      <c r="I620" t="s">
        <v>374</v>
      </c>
      <c r="J620" t="s">
        <v>1045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616</v>
      </c>
      <c r="B621" t="s">
        <v>1042</v>
      </c>
      <c r="C621" t="s">
        <v>368</v>
      </c>
      <c r="D621" t="s">
        <v>523</v>
      </c>
      <c r="E621" t="s">
        <v>1060</v>
      </c>
      <c r="F621" t="s">
        <v>1044</v>
      </c>
      <c r="G621" t="s">
        <v>616</v>
      </c>
      <c r="H621" t="s">
        <v>458</v>
      </c>
      <c r="I621" t="s">
        <v>374</v>
      </c>
      <c r="J621" t="s">
        <v>1045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616</v>
      </c>
      <c r="B622" t="s">
        <v>1042</v>
      </c>
      <c r="C622" t="s">
        <v>368</v>
      </c>
      <c r="D622" t="s">
        <v>523</v>
      </c>
      <c r="E622" t="s">
        <v>1061</v>
      </c>
      <c r="F622" t="s">
        <v>1044</v>
      </c>
      <c r="G622" t="s">
        <v>616</v>
      </c>
      <c r="H622" t="s">
        <v>458</v>
      </c>
      <c r="I622" t="s">
        <v>374</v>
      </c>
      <c r="J622" t="s">
        <v>1045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616</v>
      </c>
      <c r="B623" t="s">
        <v>1042</v>
      </c>
      <c r="C623" t="s">
        <v>368</v>
      </c>
      <c r="D623" t="s">
        <v>523</v>
      </c>
      <c r="E623" t="s">
        <v>1062</v>
      </c>
      <c r="F623" t="s">
        <v>1044</v>
      </c>
      <c r="G623" t="s">
        <v>616</v>
      </c>
      <c r="H623" t="s">
        <v>458</v>
      </c>
      <c r="I623" t="s">
        <v>374</v>
      </c>
      <c r="J623" t="s">
        <v>1045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616</v>
      </c>
      <c r="B624" t="s">
        <v>1042</v>
      </c>
      <c r="C624" t="s">
        <v>368</v>
      </c>
      <c r="D624" t="s">
        <v>523</v>
      </c>
      <c r="E624" t="s">
        <v>1063</v>
      </c>
      <c r="F624" t="s">
        <v>1044</v>
      </c>
      <c r="G624" t="s">
        <v>616</v>
      </c>
      <c r="H624" t="s">
        <v>458</v>
      </c>
      <c r="I624" t="s">
        <v>374</v>
      </c>
      <c r="J624" t="s">
        <v>1045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616</v>
      </c>
      <c r="B625" t="s">
        <v>1042</v>
      </c>
      <c r="C625" t="s">
        <v>368</v>
      </c>
      <c r="D625" t="s">
        <v>523</v>
      </c>
      <c r="E625" t="s">
        <v>1064</v>
      </c>
      <c r="F625" t="s">
        <v>1044</v>
      </c>
      <c r="G625" t="s">
        <v>616</v>
      </c>
      <c r="H625" t="s">
        <v>458</v>
      </c>
      <c r="I625" t="s">
        <v>374</v>
      </c>
      <c r="J625" t="s">
        <v>1045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616</v>
      </c>
      <c r="B626" t="s">
        <v>1042</v>
      </c>
      <c r="C626" t="s">
        <v>368</v>
      </c>
      <c r="D626" t="s">
        <v>523</v>
      </c>
      <c r="E626" t="s">
        <v>1065</v>
      </c>
      <c r="F626" t="s">
        <v>1044</v>
      </c>
      <c r="G626" t="s">
        <v>616</v>
      </c>
      <c r="H626" t="s">
        <v>458</v>
      </c>
      <c r="I626" t="s">
        <v>374</v>
      </c>
      <c r="J626" t="s">
        <v>1045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616</v>
      </c>
      <c r="B627" t="s">
        <v>1042</v>
      </c>
      <c r="C627" t="s">
        <v>368</v>
      </c>
      <c r="D627" t="s">
        <v>523</v>
      </c>
      <c r="E627" t="s">
        <v>1066</v>
      </c>
      <c r="F627" t="s">
        <v>1044</v>
      </c>
      <c r="G627" t="s">
        <v>616</v>
      </c>
      <c r="H627" t="s">
        <v>458</v>
      </c>
      <c r="I627" t="s">
        <v>374</v>
      </c>
      <c r="J627" t="s">
        <v>1045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616</v>
      </c>
      <c r="B628" t="s">
        <v>1042</v>
      </c>
      <c r="C628" t="s">
        <v>368</v>
      </c>
      <c r="D628" t="s">
        <v>523</v>
      </c>
      <c r="E628" t="s">
        <v>1067</v>
      </c>
      <c r="F628" t="s">
        <v>1044</v>
      </c>
      <c r="G628" t="s">
        <v>616</v>
      </c>
      <c r="H628" t="s">
        <v>458</v>
      </c>
      <c r="I628" t="s">
        <v>374</v>
      </c>
      <c r="J628" t="s">
        <v>1045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616</v>
      </c>
      <c r="B629" t="s">
        <v>1042</v>
      </c>
      <c r="C629" t="s">
        <v>368</v>
      </c>
      <c r="D629" t="s">
        <v>523</v>
      </c>
      <c r="E629" t="s">
        <v>1068</v>
      </c>
      <c r="F629" t="s">
        <v>1044</v>
      </c>
      <c r="G629" t="s">
        <v>616</v>
      </c>
      <c r="H629" t="s">
        <v>458</v>
      </c>
      <c r="I629" t="s">
        <v>374</v>
      </c>
      <c r="J629" t="s">
        <v>1045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616</v>
      </c>
      <c r="B630" t="s">
        <v>1042</v>
      </c>
      <c r="C630" t="s">
        <v>368</v>
      </c>
      <c r="D630" t="s">
        <v>523</v>
      </c>
      <c r="E630" t="s">
        <v>1069</v>
      </c>
      <c r="F630" t="s">
        <v>1044</v>
      </c>
      <c r="G630" t="s">
        <v>616</v>
      </c>
      <c r="H630" t="s">
        <v>458</v>
      </c>
      <c r="I630" t="s">
        <v>374</v>
      </c>
      <c r="J630" t="s">
        <v>1045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616</v>
      </c>
      <c r="B631" t="s">
        <v>1042</v>
      </c>
      <c r="C631" t="s">
        <v>368</v>
      </c>
      <c r="D631" t="s">
        <v>523</v>
      </c>
      <c r="E631" t="s">
        <v>1070</v>
      </c>
      <c r="F631" t="s">
        <v>1044</v>
      </c>
      <c r="G631" t="s">
        <v>616</v>
      </c>
      <c r="H631" t="s">
        <v>458</v>
      </c>
      <c r="I631" t="s">
        <v>374</v>
      </c>
      <c r="J631" t="s">
        <v>1045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616</v>
      </c>
      <c r="B632" t="s">
        <v>1042</v>
      </c>
      <c r="C632" t="s">
        <v>609</v>
      </c>
      <c r="D632" t="s">
        <v>523</v>
      </c>
      <c r="E632" t="s">
        <v>1071</v>
      </c>
      <c r="F632" t="s">
        <v>1044</v>
      </c>
      <c r="G632" t="s">
        <v>616</v>
      </c>
      <c r="H632" t="s">
        <v>458</v>
      </c>
      <c r="I632" t="s">
        <v>374</v>
      </c>
      <c r="J632" t="s">
        <v>1045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616</v>
      </c>
      <c r="B633" t="s">
        <v>1042</v>
      </c>
      <c r="C633" t="s">
        <v>609</v>
      </c>
      <c r="D633" t="s">
        <v>523</v>
      </c>
      <c r="E633" t="s">
        <v>1072</v>
      </c>
      <c r="F633" t="s">
        <v>1044</v>
      </c>
      <c r="G633" t="s">
        <v>616</v>
      </c>
      <c r="H633" t="s">
        <v>458</v>
      </c>
      <c r="I633" t="s">
        <v>374</v>
      </c>
      <c r="J633" t="s">
        <v>1045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616</v>
      </c>
      <c r="B634" t="s">
        <v>1042</v>
      </c>
      <c r="C634" t="s">
        <v>609</v>
      </c>
      <c r="D634" t="s">
        <v>523</v>
      </c>
      <c r="E634" t="s">
        <v>1073</v>
      </c>
      <c r="F634" t="s">
        <v>1044</v>
      </c>
      <c r="G634" t="s">
        <v>616</v>
      </c>
      <c r="H634" t="s">
        <v>458</v>
      </c>
      <c r="I634" t="s">
        <v>374</v>
      </c>
      <c r="J634" t="s">
        <v>1045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616</v>
      </c>
      <c r="B635" t="s">
        <v>1042</v>
      </c>
      <c r="C635" t="s">
        <v>609</v>
      </c>
      <c r="D635" t="s">
        <v>523</v>
      </c>
      <c r="E635" t="s">
        <v>1074</v>
      </c>
      <c r="F635" t="s">
        <v>1044</v>
      </c>
      <c r="G635" t="s">
        <v>616</v>
      </c>
      <c r="H635" t="s">
        <v>458</v>
      </c>
      <c r="I635" t="s">
        <v>374</v>
      </c>
      <c r="J635" t="s">
        <v>1045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616</v>
      </c>
      <c r="B636" t="s">
        <v>1042</v>
      </c>
      <c r="C636" t="s">
        <v>609</v>
      </c>
      <c r="D636" t="s">
        <v>523</v>
      </c>
      <c r="E636" t="s">
        <v>1075</v>
      </c>
      <c r="F636" t="s">
        <v>1044</v>
      </c>
      <c r="G636" t="s">
        <v>616</v>
      </c>
      <c r="H636" t="s">
        <v>458</v>
      </c>
      <c r="I636" t="s">
        <v>374</v>
      </c>
      <c r="J636" t="s">
        <v>1045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616</v>
      </c>
      <c r="B637" t="s">
        <v>1042</v>
      </c>
      <c r="C637" t="s">
        <v>609</v>
      </c>
      <c r="D637" t="s">
        <v>523</v>
      </c>
      <c r="E637" t="s">
        <v>1076</v>
      </c>
      <c r="F637" t="s">
        <v>1044</v>
      </c>
      <c r="G637" t="s">
        <v>616</v>
      </c>
      <c r="H637" t="s">
        <v>458</v>
      </c>
      <c r="I637" t="s">
        <v>374</v>
      </c>
      <c r="J637" t="s">
        <v>1045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616</v>
      </c>
      <c r="B638" t="s">
        <v>1042</v>
      </c>
      <c r="C638" t="s">
        <v>609</v>
      </c>
      <c r="D638" t="s">
        <v>523</v>
      </c>
      <c r="E638" t="s">
        <v>1077</v>
      </c>
      <c r="F638" t="s">
        <v>1044</v>
      </c>
      <c r="G638" t="s">
        <v>616</v>
      </c>
      <c r="H638" t="s">
        <v>458</v>
      </c>
      <c r="I638" t="s">
        <v>374</v>
      </c>
      <c r="J638" t="s">
        <v>1045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616</v>
      </c>
      <c r="B639" t="s">
        <v>1042</v>
      </c>
      <c r="C639" t="s">
        <v>609</v>
      </c>
      <c r="D639" t="s">
        <v>523</v>
      </c>
      <c r="E639" t="s">
        <v>1078</v>
      </c>
      <c r="F639" t="s">
        <v>1044</v>
      </c>
      <c r="G639" t="s">
        <v>616</v>
      </c>
      <c r="H639" t="s">
        <v>458</v>
      </c>
      <c r="I639" t="s">
        <v>374</v>
      </c>
      <c r="J639" t="s">
        <v>1045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616</v>
      </c>
      <c r="B640" t="s">
        <v>1042</v>
      </c>
      <c r="C640" t="s">
        <v>609</v>
      </c>
      <c r="D640" t="s">
        <v>523</v>
      </c>
      <c r="E640" t="s">
        <v>1079</v>
      </c>
      <c r="F640" t="s">
        <v>1044</v>
      </c>
      <c r="G640" t="s">
        <v>616</v>
      </c>
      <c r="H640" t="s">
        <v>458</v>
      </c>
      <c r="I640" t="s">
        <v>374</v>
      </c>
      <c r="J640" t="s">
        <v>1045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616</v>
      </c>
      <c r="B641" t="s">
        <v>1042</v>
      </c>
      <c r="C641" t="s">
        <v>609</v>
      </c>
      <c r="D641" t="s">
        <v>523</v>
      </c>
      <c r="E641" t="s">
        <v>1080</v>
      </c>
      <c r="F641" t="s">
        <v>1044</v>
      </c>
      <c r="G641" t="s">
        <v>616</v>
      </c>
      <c r="H641" t="s">
        <v>458</v>
      </c>
      <c r="I641" t="s">
        <v>374</v>
      </c>
      <c r="J641" t="s">
        <v>1045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616</v>
      </c>
      <c r="B642" t="s">
        <v>1042</v>
      </c>
      <c r="C642" t="s">
        <v>368</v>
      </c>
      <c r="D642" t="s">
        <v>523</v>
      </c>
      <c r="E642" t="s">
        <v>1081</v>
      </c>
      <c r="F642" t="s">
        <v>1044</v>
      </c>
      <c r="G642" t="s">
        <v>616</v>
      </c>
      <c r="H642" t="s">
        <v>458</v>
      </c>
      <c r="I642" t="s">
        <v>374</v>
      </c>
      <c r="J642" t="s">
        <v>1045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616</v>
      </c>
      <c r="B643" t="s">
        <v>1042</v>
      </c>
      <c r="C643" t="s">
        <v>368</v>
      </c>
      <c r="D643" t="s">
        <v>523</v>
      </c>
      <c r="E643" t="s">
        <v>1082</v>
      </c>
      <c r="F643" t="s">
        <v>1044</v>
      </c>
      <c r="G643" t="s">
        <v>616</v>
      </c>
      <c r="H643" t="s">
        <v>458</v>
      </c>
      <c r="I643" t="s">
        <v>374</v>
      </c>
      <c r="J643" t="s">
        <v>1045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616</v>
      </c>
      <c r="B644" t="s">
        <v>1042</v>
      </c>
      <c r="C644" t="s">
        <v>368</v>
      </c>
      <c r="D644" t="s">
        <v>523</v>
      </c>
      <c r="E644" t="s">
        <v>1083</v>
      </c>
      <c r="F644" t="s">
        <v>1044</v>
      </c>
      <c r="G644" t="s">
        <v>616</v>
      </c>
      <c r="H644" t="s">
        <v>458</v>
      </c>
      <c r="I644" t="s">
        <v>374</v>
      </c>
      <c r="J644" t="s">
        <v>1045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616</v>
      </c>
      <c r="B645" t="s">
        <v>1042</v>
      </c>
      <c r="C645" t="s">
        <v>368</v>
      </c>
      <c r="D645" t="s">
        <v>523</v>
      </c>
      <c r="E645" t="s">
        <v>1084</v>
      </c>
      <c r="F645" t="s">
        <v>1044</v>
      </c>
      <c r="G645" t="s">
        <v>616</v>
      </c>
      <c r="H645" t="s">
        <v>458</v>
      </c>
      <c r="I645" t="s">
        <v>374</v>
      </c>
      <c r="J645" t="s">
        <v>1045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616</v>
      </c>
      <c r="B646" t="s">
        <v>1085</v>
      </c>
      <c r="C646" t="s">
        <v>368</v>
      </c>
      <c r="D646" t="s">
        <v>523</v>
      </c>
      <c r="E646" t="s">
        <v>1086</v>
      </c>
      <c r="F646" t="s">
        <v>1087</v>
      </c>
      <c r="G646" t="s">
        <v>616</v>
      </c>
      <c r="H646" t="s">
        <v>458</v>
      </c>
      <c r="I646" t="s">
        <v>374</v>
      </c>
      <c r="J646" t="s">
        <v>1088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616</v>
      </c>
      <c r="B647" t="s">
        <v>1089</v>
      </c>
      <c r="C647" t="s">
        <v>368</v>
      </c>
      <c r="D647" t="s">
        <v>523</v>
      </c>
      <c r="E647" t="str">
        <f>"CM412"&amp;K647&amp;"S"</f>
        <v>CM41210S</v>
      </c>
      <c r="F647" t="s">
        <v>1090</v>
      </c>
      <c r="G647" t="s">
        <v>616</v>
      </c>
      <c r="H647" t="s">
        <v>458</v>
      </c>
      <c r="I647" t="s">
        <v>374</v>
      </c>
      <c r="J647" t="s">
        <v>1091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616</v>
      </c>
      <c r="B648" t="s">
        <v>1089</v>
      </c>
      <c r="C648" t="s">
        <v>368</v>
      </c>
      <c r="D648" t="s">
        <v>523</v>
      </c>
      <c r="E648" t="str">
        <f>"CMKD412"&amp;K648&amp;"S"</f>
        <v>CMKD41210S</v>
      </c>
      <c r="F648" t="s">
        <v>1090</v>
      </c>
      <c r="G648" t="s">
        <v>616</v>
      </c>
      <c r="H648" t="s">
        <v>458</v>
      </c>
      <c r="I648" t="s">
        <v>374</v>
      </c>
      <c r="J648" t="s">
        <v>1091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616</v>
      </c>
      <c r="B649" t="s">
        <v>1089</v>
      </c>
      <c r="C649" t="s">
        <v>368</v>
      </c>
      <c r="D649" t="s">
        <v>523</v>
      </c>
      <c r="E649" t="str">
        <f>"CM412"&amp;K649&amp;"S"</f>
        <v>CM41211S</v>
      </c>
      <c r="F649" t="s">
        <v>1090</v>
      </c>
      <c r="G649" t="s">
        <v>616</v>
      </c>
      <c r="H649" t="s">
        <v>458</v>
      </c>
      <c r="I649" t="s">
        <v>374</v>
      </c>
      <c r="J649" t="s">
        <v>1091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616</v>
      </c>
      <c r="B650" t="s">
        <v>1089</v>
      </c>
      <c r="C650" t="s">
        <v>368</v>
      </c>
      <c r="D650" t="s">
        <v>523</v>
      </c>
      <c r="E650" t="str">
        <f>"CMKD412"&amp;K650&amp;"S"</f>
        <v>CMKD41211S</v>
      </c>
      <c r="F650" t="s">
        <v>1090</v>
      </c>
      <c r="G650" t="s">
        <v>616</v>
      </c>
      <c r="H650" t="s">
        <v>458</v>
      </c>
      <c r="I650" t="s">
        <v>374</v>
      </c>
      <c r="J650" t="s">
        <v>1091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616</v>
      </c>
      <c r="B651" t="s">
        <v>1089</v>
      </c>
      <c r="C651" t="s">
        <v>368</v>
      </c>
      <c r="D651" t="s">
        <v>523</v>
      </c>
      <c r="E651" t="str">
        <f>"CM412"&amp;K651&amp;"S"</f>
        <v>CM41212S</v>
      </c>
      <c r="F651" t="s">
        <v>1090</v>
      </c>
      <c r="G651" t="s">
        <v>616</v>
      </c>
      <c r="H651" t="s">
        <v>458</v>
      </c>
      <c r="I651" t="s">
        <v>374</v>
      </c>
      <c r="J651" t="s">
        <v>1091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616</v>
      </c>
      <c r="B652" t="s">
        <v>1089</v>
      </c>
      <c r="C652" t="s">
        <v>368</v>
      </c>
      <c r="D652" t="s">
        <v>523</v>
      </c>
      <c r="E652" t="str">
        <f>"CMKD412"&amp;K652&amp;"S"</f>
        <v>CMKD41212S</v>
      </c>
      <c r="F652" t="s">
        <v>1090</v>
      </c>
      <c r="G652" t="s">
        <v>616</v>
      </c>
      <c r="H652" t="s">
        <v>458</v>
      </c>
      <c r="I652" t="s">
        <v>374</v>
      </c>
      <c r="J652" t="s">
        <v>1091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616</v>
      </c>
      <c r="B653" t="s">
        <v>1089</v>
      </c>
      <c r="C653" t="s">
        <v>368</v>
      </c>
      <c r="D653" t="s">
        <v>523</v>
      </c>
      <c r="E653" t="str">
        <f>"CM412"&amp;K653&amp;"S"</f>
        <v>CM41213S</v>
      </c>
      <c r="F653" t="s">
        <v>1090</v>
      </c>
      <c r="G653" t="s">
        <v>616</v>
      </c>
      <c r="H653" t="s">
        <v>458</v>
      </c>
      <c r="I653" t="s">
        <v>374</v>
      </c>
      <c r="J653" t="s">
        <v>1091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616</v>
      </c>
      <c r="B654" t="s">
        <v>1089</v>
      </c>
      <c r="C654" t="s">
        <v>368</v>
      </c>
      <c r="D654" t="s">
        <v>523</v>
      </c>
      <c r="E654" t="str">
        <f>"CMKD412"&amp;K654&amp;"S"</f>
        <v>CMKD41213S</v>
      </c>
      <c r="F654" t="s">
        <v>1090</v>
      </c>
      <c r="G654" t="s">
        <v>616</v>
      </c>
      <c r="H654" t="s">
        <v>458</v>
      </c>
      <c r="I654" t="s">
        <v>374</v>
      </c>
      <c r="J654" t="s">
        <v>1091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616</v>
      </c>
      <c r="B655" t="s">
        <v>1089</v>
      </c>
      <c r="C655" t="s">
        <v>368</v>
      </c>
      <c r="D655" t="s">
        <v>523</v>
      </c>
      <c r="E655" t="str">
        <f>"CM412"&amp;K655&amp;"S"</f>
        <v>CM41214S</v>
      </c>
      <c r="F655" t="s">
        <v>1090</v>
      </c>
      <c r="G655" t="s">
        <v>616</v>
      </c>
      <c r="H655" t="s">
        <v>458</v>
      </c>
      <c r="I655" t="s">
        <v>374</v>
      </c>
      <c r="J655" t="s">
        <v>1091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616</v>
      </c>
      <c r="B656" t="s">
        <v>1089</v>
      </c>
      <c r="C656" t="s">
        <v>368</v>
      </c>
      <c r="D656" t="s">
        <v>523</v>
      </c>
      <c r="E656" t="str">
        <f>"CMKD412"&amp;K656&amp;"S"</f>
        <v>CMKD41214S</v>
      </c>
      <c r="F656" t="s">
        <v>1090</v>
      </c>
      <c r="G656" t="s">
        <v>616</v>
      </c>
      <c r="H656" t="s">
        <v>458</v>
      </c>
      <c r="I656" t="s">
        <v>374</v>
      </c>
      <c r="J656" t="s">
        <v>1091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616</v>
      </c>
      <c r="B657" t="s">
        <v>1089</v>
      </c>
      <c r="C657" t="s">
        <v>368</v>
      </c>
      <c r="D657" t="s">
        <v>523</v>
      </c>
      <c r="E657" t="str">
        <f>"CM412"&amp;K657&amp;"S"</f>
        <v>CM41215S</v>
      </c>
      <c r="F657" t="s">
        <v>1090</v>
      </c>
      <c r="G657" t="s">
        <v>616</v>
      </c>
      <c r="H657" t="s">
        <v>458</v>
      </c>
      <c r="I657" t="s">
        <v>374</v>
      </c>
      <c r="J657" t="s">
        <v>1091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616</v>
      </c>
      <c r="B658" t="s">
        <v>1089</v>
      </c>
      <c r="C658" t="s">
        <v>368</v>
      </c>
      <c r="D658" t="s">
        <v>523</v>
      </c>
      <c r="E658" t="str">
        <f>"CMKD412"&amp;K658&amp;"S"</f>
        <v>CMKD41215S</v>
      </c>
      <c r="F658" t="s">
        <v>1090</v>
      </c>
      <c r="G658" t="s">
        <v>616</v>
      </c>
      <c r="H658" t="s">
        <v>458</v>
      </c>
      <c r="I658" t="s">
        <v>374</v>
      </c>
      <c r="J658" t="s">
        <v>1091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616</v>
      </c>
      <c r="B659" t="s">
        <v>1089</v>
      </c>
      <c r="C659" t="s">
        <v>368</v>
      </c>
      <c r="D659" t="s">
        <v>523</v>
      </c>
      <c r="E659" t="str">
        <f>"CM412"&amp;K659&amp;"S"</f>
        <v>CM41216S</v>
      </c>
      <c r="F659" t="s">
        <v>1090</v>
      </c>
      <c r="G659" t="s">
        <v>616</v>
      </c>
      <c r="H659" t="s">
        <v>458</v>
      </c>
      <c r="I659" t="s">
        <v>374</v>
      </c>
      <c r="J659" t="s">
        <v>1091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616</v>
      </c>
      <c r="B660" t="s">
        <v>1089</v>
      </c>
      <c r="C660" t="s">
        <v>368</v>
      </c>
      <c r="D660" t="s">
        <v>523</v>
      </c>
      <c r="E660" t="str">
        <f>"CMKD412"&amp;K660&amp;"S"</f>
        <v>CMKD41216S</v>
      </c>
      <c r="F660" t="s">
        <v>1090</v>
      </c>
      <c r="G660" t="s">
        <v>616</v>
      </c>
      <c r="H660" t="s">
        <v>458</v>
      </c>
      <c r="I660" t="s">
        <v>374</v>
      </c>
      <c r="J660" t="s">
        <v>1091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616</v>
      </c>
      <c r="B661" t="s">
        <v>1089</v>
      </c>
      <c r="C661" t="s">
        <v>368</v>
      </c>
      <c r="D661" t="s">
        <v>523</v>
      </c>
      <c r="E661" t="str">
        <f>"CM412"&amp;K661&amp;"S"</f>
        <v>CM41217S</v>
      </c>
      <c r="F661" t="s">
        <v>1090</v>
      </c>
      <c r="G661" t="s">
        <v>616</v>
      </c>
      <c r="H661" t="s">
        <v>458</v>
      </c>
      <c r="I661" t="s">
        <v>374</v>
      </c>
      <c r="J661" t="s">
        <v>1091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616</v>
      </c>
      <c r="B662" t="s">
        <v>1089</v>
      </c>
      <c r="C662" t="s">
        <v>368</v>
      </c>
      <c r="D662" t="s">
        <v>523</v>
      </c>
      <c r="E662" t="str">
        <f>"CMKD412"&amp;K662&amp;"S"</f>
        <v>CMKD41217S</v>
      </c>
      <c r="F662" t="s">
        <v>1090</v>
      </c>
      <c r="G662" t="s">
        <v>616</v>
      </c>
      <c r="H662" t="s">
        <v>458</v>
      </c>
      <c r="I662" t="s">
        <v>374</v>
      </c>
      <c r="J662" t="s">
        <v>1091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616</v>
      </c>
      <c r="B663" t="s">
        <v>1089</v>
      </c>
      <c r="C663" t="s">
        <v>368</v>
      </c>
      <c r="D663" t="s">
        <v>523</v>
      </c>
      <c r="E663" t="str">
        <f>"CM412"&amp;K663&amp;"S"</f>
        <v>CM41218S</v>
      </c>
      <c r="F663" t="s">
        <v>1090</v>
      </c>
      <c r="G663" t="s">
        <v>616</v>
      </c>
      <c r="H663" t="s">
        <v>458</v>
      </c>
      <c r="I663" t="s">
        <v>374</v>
      </c>
      <c r="J663" t="s">
        <v>1091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616</v>
      </c>
      <c r="B664" t="s">
        <v>1089</v>
      </c>
      <c r="C664" t="s">
        <v>368</v>
      </c>
      <c r="D664" t="s">
        <v>523</v>
      </c>
      <c r="E664" t="str">
        <f>"CMKD412"&amp;K664&amp;"S"</f>
        <v>CMKD41218S</v>
      </c>
      <c r="F664" t="s">
        <v>1090</v>
      </c>
      <c r="G664" t="s">
        <v>616</v>
      </c>
      <c r="H664" t="s">
        <v>458</v>
      </c>
      <c r="I664" t="s">
        <v>374</v>
      </c>
      <c r="J664" t="s">
        <v>1091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616</v>
      </c>
      <c r="B665" t="s">
        <v>1089</v>
      </c>
      <c r="C665" t="s">
        <v>368</v>
      </c>
      <c r="D665" t="s">
        <v>523</v>
      </c>
      <c r="E665" t="str">
        <f>"CM412"&amp;K665&amp;"S"</f>
        <v>CM41219S</v>
      </c>
      <c r="F665" t="s">
        <v>1090</v>
      </c>
      <c r="G665" t="s">
        <v>616</v>
      </c>
      <c r="H665" t="s">
        <v>458</v>
      </c>
      <c r="I665" t="s">
        <v>374</v>
      </c>
      <c r="J665" t="s">
        <v>1091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616</v>
      </c>
      <c r="B666" t="s">
        <v>1089</v>
      </c>
      <c r="C666" t="s">
        <v>368</v>
      </c>
      <c r="D666" t="s">
        <v>523</v>
      </c>
      <c r="E666" t="str">
        <f>"CMKD412"&amp;K666&amp;"S"</f>
        <v>CMKD41219S</v>
      </c>
      <c r="F666" t="s">
        <v>1090</v>
      </c>
      <c r="G666" t="s">
        <v>616</v>
      </c>
      <c r="H666" t="s">
        <v>458</v>
      </c>
      <c r="I666" t="s">
        <v>374</v>
      </c>
      <c r="J666" t="s">
        <v>1091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616</v>
      </c>
      <c r="B667" t="s">
        <v>1089</v>
      </c>
      <c r="C667" t="s">
        <v>368</v>
      </c>
      <c r="D667" t="s">
        <v>523</v>
      </c>
      <c r="E667" t="str">
        <f>"CM412"&amp;K667&amp;"S"</f>
        <v>CM41220S</v>
      </c>
      <c r="F667" t="s">
        <v>1090</v>
      </c>
      <c r="G667" t="s">
        <v>616</v>
      </c>
      <c r="H667" t="s">
        <v>458</v>
      </c>
      <c r="I667" t="s">
        <v>374</v>
      </c>
      <c r="J667" t="s">
        <v>1091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616</v>
      </c>
      <c r="B668" t="s">
        <v>1089</v>
      </c>
      <c r="C668" t="s">
        <v>368</v>
      </c>
      <c r="D668" t="s">
        <v>523</v>
      </c>
      <c r="E668" t="str">
        <f>"CMKD412"&amp;K668&amp;"S"</f>
        <v>CMKD41220S</v>
      </c>
      <c r="F668" t="s">
        <v>1090</v>
      </c>
      <c r="G668" t="s">
        <v>616</v>
      </c>
      <c r="H668" t="s">
        <v>458</v>
      </c>
      <c r="I668" t="s">
        <v>374</v>
      </c>
      <c r="J668" t="s">
        <v>1091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616</v>
      </c>
      <c r="B669" t="s">
        <v>1089</v>
      </c>
      <c r="C669" t="s">
        <v>368</v>
      </c>
      <c r="D669" t="s">
        <v>523</v>
      </c>
      <c r="E669" t="str">
        <f>"CM412"&amp;K669&amp;"S"</f>
        <v>CM41221S</v>
      </c>
      <c r="F669" t="s">
        <v>1090</v>
      </c>
      <c r="G669" t="s">
        <v>616</v>
      </c>
      <c r="H669" t="s">
        <v>458</v>
      </c>
      <c r="I669" t="s">
        <v>374</v>
      </c>
      <c r="J669" t="s">
        <v>1091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616</v>
      </c>
      <c r="B670" t="s">
        <v>1089</v>
      </c>
      <c r="C670" t="s">
        <v>368</v>
      </c>
      <c r="D670" t="s">
        <v>523</v>
      </c>
      <c r="E670" t="str">
        <f>"CMKD412"&amp;K670&amp;"S"</f>
        <v>CMKD41221S</v>
      </c>
      <c r="F670" t="s">
        <v>1090</v>
      </c>
      <c r="G670" t="s">
        <v>616</v>
      </c>
      <c r="H670" t="s">
        <v>458</v>
      </c>
      <c r="I670" t="s">
        <v>374</v>
      </c>
      <c r="J670" t="s">
        <v>1091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616</v>
      </c>
      <c r="B671" t="s">
        <v>1089</v>
      </c>
      <c r="C671" t="s">
        <v>368</v>
      </c>
      <c r="D671" t="s">
        <v>523</v>
      </c>
      <c r="E671" t="str">
        <f>"CM412"&amp;K671&amp;"S"</f>
        <v>CM41222S</v>
      </c>
      <c r="F671" t="s">
        <v>1090</v>
      </c>
      <c r="G671" t="s">
        <v>616</v>
      </c>
      <c r="H671" t="s">
        <v>458</v>
      </c>
      <c r="I671" t="s">
        <v>374</v>
      </c>
      <c r="J671" t="s">
        <v>1091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616</v>
      </c>
      <c r="B672" t="s">
        <v>1089</v>
      </c>
      <c r="C672" t="s">
        <v>368</v>
      </c>
      <c r="D672" t="s">
        <v>523</v>
      </c>
      <c r="E672" t="str">
        <f>"CMKD412"&amp;K672&amp;"S"</f>
        <v>CMKD41222S</v>
      </c>
      <c r="F672" t="s">
        <v>1090</v>
      </c>
      <c r="G672" t="s">
        <v>616</v>
      </c>
      <c r="H672" t="s">
        <v>458</v>
      </c>
      <c r="I672" t="s">
        <v>374</v>
      </c>
      <c r="J672" t="s">
        <v>1091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616</v>
      </c>
      <c r="B673" t="s">
        <v>1089</v>
      </c>
      <c r="C673" t="s">
        <v>609</v>
      </c>
      <c r="D673" t="s">
        <v>523</v>
      </c>
      <c r="E673" t="str">
        <f>"CM412"&amp;K673&amp;"S"</f>
        <v>CM4123S</v>
      </c>
      <c r="F673" t="s">
        <v>1090</v>
      </c>
      <c r="G673" t="s">
        <v>616</v>
      </c>
      <c r="H673" t="s">
        <v>458</v>
      </c>
      <c r="I673" t="s">
        <v>374</v>
      </c>
      <c r="J673" t="s">
        <v>1091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616</v>
      </c>
      <c r="B674" t="s">
        <v>1089</v>
      </c>
      <c r="C674" t="s">
        <v>609</v>
      </c>
      <c r="D674" t="s">
        <v>523</v>
      </c>
      <c r="E674" t="str">
        <f>"CMKD412"&amp;K674&amp;"S"</f>
        <v>CMKD4123S</v>
      </c>
      <c r="F674" t="s">
        <v>1090</v>
      </c>
      <c r="G674" t="s">
        <v>616</v>
      </c>
      <c r="H674" t="s">
        <v>458</v>
      </c>
      <c r="I674" t="s">
        <v>374</v>
      </c>
      <c r="J674" t="s">
        <v>1091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616</v>
      </c>
      <c r="B675" t="s">
        <v>1089</v>
      </c>
      <c r="C675" t="s">
        <v>609</v>
      </c>
      <c r="D675" t="s">
        <v>523</v>
      </c>
      <c r="E675" t="str">
        <f>"CM412"&amp;K675&amp;"S"</f>
        <v>CM4124S</v>
      </c>
      <c r="F675" t="s">
        <v>1090</v>
      </c>
      <c r="G675" t="s">
        <v>616</v>
      </c>
      <c r="H675" t="s">
        <v>458</v>
      </c>
      <c r="I675" t="s">
        <v>374</v>
      </c>
      <c r="J675" t="s">
        <v>1091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616</v>
      </c>
      <c r="B676" t="s">
        <v>1089</v>
      </c>
      <c r="C676" t="s">
        <v>609</v>
      </c>
      <c r="D676" t="s">
        <v>523</v>
      </c>
      <c r="E676" t="str">
        <f>"CMKD412"&amp;K676&amp;"S"</f>
        <v>CMKD4124S</v>
      </c>
      <c r="F676" t="s">
        <v>1090</v>
      </c>
      <c r="G676" t="s">
        <v>616</v>
      </c>
      <c r="H676" t="s">
        <v>458</v>
      </c>
      <c r="I676" t="s">
        <v>374</v>
      </c>
      <c r="J676" t="s">
        <v>1091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616</v>
      </c>
      <c r="B677" t="s">
        <v>1089</v>
      </c>
      <c r="C677" t="s">
        <v>609</v>
      </c>
      <c r="D677" t="s">
        <v>523</v>
      </c>
      <c r="E677" t="str">
        <f>"CM412"&amp;K677&amp;"S"</f>
        <v>CM4125S</v>
      </c>
      <c r="F677" t="s">
        <v>1090</v>
      </c>
      <c r="G677" t="s">
        <v>616</v>
      </c>
      <c r="H677" t="s">
        <v>458</v>
      </c>
      <c r="I677" t="s">
        <v>374</v>
      </c>
      <c r="J677" t="s">
        <v>1091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616</v>
      </c>
      <c r="B678" t="s">
        <v>1089</v>
      </c>
      <c r="C678" t="s">
        <v>609</v>
      </c>
      <c r="D678" t="s">
        <v>523</v>
      </c>
      <c r="E678" t="str">
        <f>"CMKD412"&amp;K678&amp;"S"</f>
        <v>CMKD4125S</v>
      </c>
      <c r="F678" t="s">
        <v>1090</v>
      </c>
      <c r="G678" t="s">
        <v>616</v>
      </c>
      <c r="H678" t="s">
        <v>458</v>
      </c>
      <c r="I678" t="s">
        <v>374</v>
      </c>
      <c r="J678" t="s">
        <v>1091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616</v>
      </c>
      <c r="B679" t="s">
        <v>1089</v>
      </c>
      <c r="C679" t="s">
        <v>609</v>
      </c>
      <c r="D679" t="s">
        <v>523</v>
      </c>
      <c r="E679" t="str">
        <f>"CM412"&amp;K679&amp;"S"</f>
        <v>CM4126S</v>
      </c>
      <c r="F679" t="s">
        <v>1090</v>
      </c>
      <c r="G679" t="s">
        <v>616</v>
      </c>
      <c r="H679" t="s">
        <v>458</v>
      </c>
      <c r="I679" t="s">
        <v>374</v>
      </c>
      <c r="J679" t="s">
        <v>1091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616</v>
      </c>
      <c r="B680" t="s">
        <v>1089</v>
      </c>
      <c r="C680" t="s">
        <v>609</v>
      </c>
      <c r="D680" t="s">
        <v>523</v>
      </c>
      <c r="E680" t="str">
        <f>"CMKD412"&amp;K680&amp;"S"</f>
        <v>CMKD4126S</v>
      </c>
      <c r="F680" t="s">
        <v>1090</v>
      </c>
      <c r="G680" t="s">
        <v>616</v>
      </c>
      <c r="H680" t="s">
        <v>458</v>
      </c>
      <c r="I680" t="s">
        <v>374</v>
      </c>
      <c r="J680" t="s">
        <v>1091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616</v>
      </c>
      <c r="B681" t="s">
        <v>1089</v>
      </c>
      <c r="C681" t="s">
        <v>609</v>
      </c>
      <c r="D681" t="s">
        <v>523</v>
      </c>
      <c r="E681" t="str">
        <f>"CM412"&amp;K681&amp;"S"</f>
        <v>CM4127S</v>
      </c>
      <c r="F681" t="s">
        <v>1090</v>
      </c>
      <c r="G681" t="s">
        <v>616</v>
      </c>
      <c r="H681" t="s">
        <v>458</v>
      </c>
      <c r="I681" t="s">
        <v>374</v>
      </c>
      <c r="J681" t="s">
        <v>1091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616</v>
      </c>
      <c r="B682" t="s">
        <v>1089</v>
      </c>
      <c r="C682" t="s">
        <v>609</v>
      </c>
      <c r="D682" t="s">
        <v>523</v>
      </c>
      <c r="E682" t="str">
        <f>"CMKD412"&amp;K682&amp;"S"</f>
        <v>CMKD4127S</v>
      </c>
      <c r="F682" t="s">
        <v>1090</v>
      </c>
      <c r="G682" t="s">
        <v>616</v>
      </c>
      <c r="H682" t="s">
        <v>458</v>
      </c>
      <c r="I682" t="s">
        <v>374</v>
      </c>
      <c r="J682" t="s">
        <v>1091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616</v>
      </c>
      <c r="B683" t="s">
        <v>1089</v>
      </c>
      <c r="C683" t="s">
        <v>368</v>
      </c>
      <c r="D683" t="s">
        <v>523</v>
      </c>
      <c r="E683" t="str">
        <f>"CM412"&amp;K683&amp;"S"</f>
        <v>CM4128S</v>
      </c>
      <c r="F683" t="s">
        <v>1090</v>
      </c>
      <c r="G683" t="s">
        <v>616</v>
      </c>
      <c r="H683" t="s">
        <v>458</v>
      </c>
      <c r="I683" t="s">
        <v>374</v>
      </c>
      <c r="J683" t="s">
        <v>1091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616</v>
      </c>
      <c r="B684" t="s">
        <v>1089</v>
      </c>
      <c r="C684" t="s">
        <v>368</v>
      </c>
      <c r="D684" t="s">
        <v>523</v>
      </c>
      <c r="E684" t="str">
        <f>"CMKD412"&amp;K684&amp;"S"</f>
        <v>CMKD4128S</v>
      </c>
      <c r="F684" t="s">
        <v>1090</v>
      </c>
      <c r="G684" t="s">
        <v>616</v>
      </c>
      <c r="H684" t="s">
        <v>458</v>
      </c>
      <c r="I684" t="s">
        <v>374</v>
      </c>
      <c r="J684" t="s">
        <v>1091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616</v>
      </c>
      <c r="B685" t="s">
        <v>1089</v>
      </c>
      <c r="C685" t="s">
        <v>368</v>
      </c>
      <c r="D685" t="s">
        <v>523</v>
      </c>
      <c r="E685" t="str">
        <f>"CM412"&amp;K685&amp;"S"</f>
        <v>CM4129S</v>
      </c>
      <c r="F685" t="s">
        <v>1090</v>
      </c>
      <c r="G685" t="s">
        <v>616</v>
      </c>
      <c r="H685" t="s">
        <v>458</v>
      </c>
      <c r="I685" t="s">
        <v>374</v>
      </c>
      <c r="J685" t="s">
        <v>1091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616</v>
      </c>
      <c r="B686" t="s">
        <v>1089</v>
      </c>
      <c r="C686" t="s">
        <v>368</v>
      </c>
      <c r="D686" t="s">
        <v>523</v>
      </c>
      <c r="E686" t="str">
        <f>"CMKD412"&amp;K686&amp;"S"</f>
        <v>CMKD4129S</v>
      </c>
      <c r="F686" t="s">
        <v>1090</v>
      </c>
      <c r="G686" t="s">
        <v>616</v>
      </c>
      <c r="H686" t="s">
        <v>458</v>
      </c>
      <c r="I686" t="s">
        <v>374</v>
      </c>
      <c r="J686" t="s">
        <v>1091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616</v>
      </c>
      <c r="B687" t="s">
        <v>1092</v>
      </c>
      <c r="C687" t="s">
        <v>368</v>
      </c>
      <c r="D687" t="s">
        <v>523</v>
      </c>
      <c r="E687" t="s">
        <v>1093</v>
      </c>
      <c r="F687" t="s">
        <v>1094</v>
      </c>
      <c r="G687" t="s">
        <v>616</v>
      </c>
      <c r="H687" t="s">
        <v>458</v>
      </c>
      <c r="I687" t="s">
        <v>374</v>
      </c>
      <c r="J687" t="s">
        <v>1095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616</v>
      </c>
      <c r="B688" t="s">
        <v>1092</v>
      </c>
      <c r="C688" t="s">
        <v>368</v>
      </c>
      <c r="D688" t="s">
        <v>523</v>
      </c>
      <c r="E688" t="s">
        <v>1096</v>
      </c>
      <c r="F688" t="s">
        <v>1094</v>
      </c>
      <c r="G688" t="s">
        <v>616</v>
      </c>
      <c r="H688" t="s">
        <v>458</v>
      </c>
      <c r="I688" t="s">
        <v>374</v>
      </c>
      <c r="J688" t="s">
        <v>1095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616</v>
      </c>
      <c r="B689" t="s">
        <v>1092</v>
      </c>
      <c r="C689" t="s">
        <v>368</v>
      </c>
      <c r="D689" t="s">
        <v>523</v>
      </c>
      <c r="E689" t="s">
        <v>1097</v>
      </c>
      <c r="F689" t="s">
        <v>1094</v>
      </c>
      <c r="G689" t="s">
        <v>616</v>
      </c>
      <c r="H689" t="s">
        <v>458</v>
      </c>
      <c r="I689" t="s">
        <v>374</v>
      </c>
      <c r="J689" t="s">
        <v>1095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616</v>
      </c>
      <c r="B690" t="s">
        <v>1092</v>
      </c>
      <c r="C690" t="s">
        <v>368</v>
      </c>
      <c r="D690" t="s">
        <v>523</v>
      </c>
      <c r="E690" t="s">
        <v>1098</v>
      </c>
      <c r="F690" t="s">
        <v>1094</v>
      </c>
      <c r="G690" t="s">
        <v>616</v>
      </c>
      <c r="H690" t="s">
        <v>458</v>
      </c>
      <c r="I690" t="s">
        <v>374</v>
      </c>
      <c r="J690" t="s">
        <v>1095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616</v>
      </c>
      <c r="B691" t="s">
        <v>1092</v>
      </c>
      <c r="C691" t="s">
        <v>368</v>
      </c>
      <c r="D691" t="s">
        <v>523</v>
      </c>
      <c r="E691" t="s">
        <v>1099</v>
      </c>
      <c r="F691" t="s">
        <v>1094</v>
      </c>
      <c r="G691" t="s">
        <v>616</v>
      </c>
      <c r="H691" t="s">
        <v>458</v>
      </c>
      <c r="I691" t="s">
        <v>374</v>
      </c>
      <c r="J691" t="s">
        <v>1095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616</v>
      </c>
      <c r="B692" t="s">
        <v>1092</v>
      </c>
      <c r="C692" t="s">
        <v>368</v>
      </c>
      <c r="D692" t="s">
        <v>523</v>
      </c>
      <c r="E692" t="s">
        <v>1100</v>
      </c>
      <c r="F692" t="s">
        <v>1094</v>
      </c>
      <c r="G692" t="s">
        <v>616</v>
      </c>
      <c r="H692" t="s">
        <v>458</v>
      </c>
      <c r="I692" t="s">
        <v>374</v>
      </c>
      <c r="J692" t="s">
        <v>1095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616</v>
      </c>
      <c r="B693" t="s">
        <v>1092</v>
      </c>
      <c r="C693" t="s">
        <v>368</v>
      </c>
      <c r="D693" t="s">
        <v>523</v>
      </c>
      <c r="E693" t="s">
        <v>1101</v>
      </c>
      <c r="F693" t="s">
        <v>1094</v>
      </c>
      <c r="G693" t="s">
        <v>616</v>
      </c>
      <c r="H693" t="s">
        <v>458</v>
      </c>
      <c r="I693" t="s">
        <v>374</v>
      </c>
      <c r="J693" t="s">
        <v>1095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616</v>
      </c>
      <c r="B694" t="s">
        <v>1092</v>
      </c>
      <c r="C694" t="s">
        <v>368</v>
      </c>
      <c r="D694" t="s">
        <v>523</v>
      </c>
      <c r="E694" t="s">
        <v>1102</v>
      </c>
      <c r="F694" t="s">
        <v>1094</v>
      </c>
      <c r="G694" t="s">
        <v>616</v>
      </c>
      <c r="H694" t="s">
        <v>458</v>
      </c>
      <c r="I694" t="s">
        <v>374</v>
      </c>
      <c r="J694" t="s">
        <v>1095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616</v>
      </c>
      <c r="B695" t="s">
        <v>1092</v>
      </c>
      <c r="C695" t="s">
        <v>368</v>
      </c>
      <c r="D695" t="s">
        <v>523</v>
      </c>
      <c r="E695" t="s">
        <v>1103</v>
      </c>
      <c r="F695" t="s">
        <v>1094</v>
      </c>
      <c r="G695" t="s">
        <v>616</v>
      </c>
      <c r="H695" t="s">
        <v>458</v>
      </c>
      <c r="I695" t="s">
        <v>374</v>
      </c>
      <c r="J695" t="s">
        <v>1095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616</v>
      </c>
      <c r="B696" t="s">
        <v>1092</v>
      </c>
      <c r="C696" t="s">
        <v>368</v>
      </c>
      <c r="D696" t="s">
        <v>523</v>
      </c>
      <c r="E696" t="s">
        <v>1104</v>
      </c>
      <c r="F696" t="s">
        <v>1094</v>
      </c>
      <c r="G696" t="s">
        <v>616</v>
      </c>
      <c r="H696" t="s">
        <v>458</v>
      </c>
      <c r="I696" t="s">
        <v>374</v>
      </c>
      <c r="J696" t="s">
        <v>1095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616</v>
      </c>
      <c r="B697" t="s">
        <v>1092</v>
      </c>
      <c r="C697" t="s">
        <v>368</v>
      </c>
      <c r="D697" t="s">
        <v>523</v>
      </c>
      <c r="E697" t="s">
        <v>1105</v>
      </c>
      <c r="F697" t="s">
        <v>1094</v>
      </c>
      <c r="G697" t="s">
        <v>616</v>
      </c>
      <c r="H697" t="s">
        <v>458</v>
      </c>
      <c r="I697" t="s">
        <v>374</v>
      </c>
      <c r="J697" t="s">
        <v>1095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616</v>
      </c>
      <c r="B698" t="s">
        <v>1092</v>
      </c>
      <c r="C698" t="s">
        <v>368</v>
      </c>
      <c r="D698" t="s">
        <v>523</v>
      </c>
      <c r="E698" t="s">
        <v>1106</v>
      </c>
      <c r="F698" t="s">
        <v>1094</v>
      </c>
      <c r="G698" t="s">
        <v>616</v>
      </c>
      <c r="H698" t="s">
        <v>458</v>
      </c>
      <c r="I698" t="s">
        <v>374</v>
      </c>
      <c r="J698" t="s">
        <v>1095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616</v>
      </c>
      <c r="B699" t="s">
        <v>1092</v>
      </c>
      <c r="C699" t="s">
        <v>368</v>
      </c>
      <c r="D699" t="s">
        <v>523</v>
      </c>
      <c r="E699" t="s">
        <v>1107</v>
      </c>
      <c r="F699" t="s">
        <v>1094</v>
      </c>
      <c r="G699" t="s">
        <v>616</v>
      </c>
      <c r="H699" t="s">
        <v>458</v>
      </c>
      <c r="I699" t="s">
        <v>374</v>
      </c>
      <c r="J699" t="s">
        <v>1095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616</v>
      </c>
      <c r="B700" t="s">
        <v>1092</v>
      </c>
      <c r="C700" t="s">
        <v>609</v>
      </c>
      <c r="D700" t="s">
        <v>523</v>
      </c>
      <c r="E700" t="s">
        <v>1108</v>
      </c>
      <c r="F700" t="s">
        <v>1094</v>
      </c>
      <c r="G700" t="s">
        <v>616</v>
      </c>
      <c r="H700" t="s">
        <v>458</v>
      </c>
      <c r="I700" t="s">
        <v>374</v>
      </c>
      <c r="J700" t="s">
        <v>1095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616</v>
      </c>
      <c r="B701" t="s">
        <v>1092</v>
      </c>
      <c r="C701" t="s">
        <v>609</v>
      </c>
      <c r="D701" t="s">
        <v>523</v>
      </c>
      <c r="E701" t="s">
        <v>1109</v>
      </c>
      <c r="F701" t="s">
        <v>1094</v>
      </c>
      <c r="G701" t="s">
        <v>616</v>
      </c>
      <c r="H701" t="s">
        <v>458</v>
      </c>
      <c r="I701" t="s">
        <v>374</v>
      </c>
      <c r="J701" t="s">
        <v>1095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616</v>
      </c>
      <c r="B702" t="s">
        <v>1092</v>
      </c>
      <c r="C702" t="s">
        <v>609</v>
      </c>
      <c r="D702" t="s">
        <v>523</v>
      </c>
      <c r="E702" t="s">
        <v>1110</v>
      </c>
      <c r="F702" t="s">
        <v>1094</v>
      </c>
      <c r="G702" t="s">
        <v>616</v>
      </c>
      <c r="H702" t="s">
        <v>458</v>
      </c>
      <c r="I702" t="s">
        <v>374</v>
      </c>
      <c r="J702" t="s">
        <v>1095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616</v>
      </c>
      <c r="B703" t="s">
        <v>1092</v>
      </c>
      <c r="C703" t="s">
        <v>609</v>
      </c>
      <c r="D703" t="s">
        <v>523</v>
      </c>
      <c r="E703" t="s">
        <v>1111</v>
      </c>
      <c r="F703" t="s">
        <v>1094</v>
      </c>
      <c r="G703" t="s">
        <v>616</v>
      </c>
      <c r="H703" t="s">
        <v>458</v>
      </c>
      <c r="I703" t="s">
        <v>374</v>
      </c>
      <c r="J703" t="s">
        <v>1095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616</v>
      </c>
      <c r="B704" t="s">
        <v>1092</v>
      </c>
      <c r="C704" t="s">
        <v>609</v>
      </c>
      <c r="D704" t="s">
        <v>523</v>
      </c>
      <c r="E704" t="s">
        <v>1112</v>
      </c>
      <c r="F704" t="s">
        <v>1094</v>
      </c>
      <c r="G704" t="s">
        <v>616</v>
      </c>
      <c r="H704" t="s">
        <v>458</v>
      </c>
      <c r="I704" t="s">
        <v>374</v>
      </c>
      <c r="J704" t="s">
        <v>1095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616</v>
      </c>
      <c r="B705" t="s">
        <v>1092</v>
      </c>
      <c r="C705" t="s">
        <v>368</v>
      </c>
      <c r="D705" t="s">
        <v>523</v>
      </c>
      <c r="E705" t="s">
        <v>1113</v>
      </c>
      <c r="F705" t="s">
        <v>1094</v>
      </c>
      <c r="G705" t="s">
        <v>616</v>
      </c>
      <c r="H705" t="s">
        <v>458</v>
      </c>
      <c r="I705" t="s">
        <v>374</v>
      </c>
      <c r="J705" t="s">
        <v>1095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616</v>
      </c>
      <c r="B706" t="s">
        <v>1092</v>
      </c>
      <c r="C706" t="s">
        <v>368</v>
      </c>
      <c r="D706" t="s">
        <v>523</v>
      </c>
      <c r="E706" t="s">
        <v>1114</v>
      </c>
      <c r="F706" t="s">
        <v>1094</v>
      </c>
      <c r="G706" t="s">
        <v>616</v>
      </c>
      <c r="H706" t="s">
        <v>458</v>
      </c>
      <c r="I706" t="s">
        <v>374</v>
      </c>
      <c r="J706" t="s">
        <v>1095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616</v>
      </c>
      <c r="B707" t="s">
        <v>1115</v>
      </c>
      <c r="C707" t="s">
        <v>368</v>
      </c>
      <c r="D707" t="s">
        <v>523</v>
      </c>
      <c r="E707" t="s">
        <v>1116</v>
      </c>
      <c r="F707" t="s">
        <v>1117</v>
      </c>
      <c r="G707" t="s">
        <v>616</v>
      </c>
      <c r="H707" t="s">
        <v>458</v>
      </c>
      <c r="I707" t="s">
        <v>374</v>
      </c>
      <c r="J707" t="s">
        <v>1118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616</v>
      </c>
      <c r="B708" t="s">
        <v>1115</v>
      </c>
      <c r="C708" t="s">
        <v>368</v>
      </c>
      <c r="D708" t="s">
        <v>523</v>
      </c>
      <c r="E708" t="s">
        <v>1119</v>
      </c>
      <c r="F708" t="s">
        <v>1117</v>
      </c>
      <c r="G708" t="s">
        <v>616</v>
      </c>
      <c r="H708" t="s">
        <v>458</v>
      </c>
      <c r="I708" t="s">
        <v>374</v>
      </c>
      <c r="J708" t="s">
        <v>1118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616</v>
      </c>
      <c r="B709" t="s">
        <v>1115</v>
      </c>
      <c r="C709" t="s">
        <v>368</v>
      </c>
      <c r="D709" t="s">
        <v>523</v>
      </c>
      <c r="E709" t="s">
        <v>1120</v>
      </c>
      <c r="F709" t="s">
        <v>1117</v>
      </c>
      <c r="G709" t="s">
        <v>616</v>
      </c>
      <c r="H709" t="s">
        <v>458</v>
      </c>
      <c r="I709" t="s">
        <v>374</v>
      </c>
      <c r="J709" t="s">
        <v>1118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616</v>
      </c>
      <c r="B710" t="s">
        <v>1115</v>
      </c>
      <c r="C710" t="s">
        <v>368</v>
      </c>
      <c r="D710" t="s">
        <v>523</v>
      </c>
      <c r="E710" t="s">
        <v>1121</v>
      </c>
      <c r="F710" t="s">
        <v>1117</v>
      </c>
      <c r="G710" t="s">
        <v>616</v>
      </c>
      <c r="H710" t="s">
        <v>458</v>
      </c>
      <c r="I710" t="s">
        <v>374</v>
      </c>
      <c r="J710" t="s">
        <v>1118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616</v>
      </c>
      <c r="B711" t="s">
        <v>1115</v>
      </c>
      <c r="C711" t="s">
        <v>368</v>
      </c>
      <c r="D711" t="s">
        <v>523</v>
      </c>
      <c r="E711" t="s">
        <v>1122</v>
      </c>
      <c r="F711" t="s">
        <v>1117</v>
      </c>
      <c r="G711" t="s">
        <v>616</v>
      </c>
      <c r="H711" t="s">
        <v>458</v>
      </c>
      <c r="I711" t="s">
        <v>374</v>
      </c>
      <c r="J711" t="s">
        <v>1118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616</v>
      </c>
      <c r="B712" t="s">
        <v>1115</v>
      </c>
      <c r="C712" t="s">
        <v>368</v>
      </c>
      <c r="D712" t="s">
        <v>523</v>
      </c>
      <c r="E712" t="s">
        <v>1123</v>
      </c>
      <c r="F712" t="s">
        <v>1117</v>
      </c>
      <c r="G712" t="s">
        <v>616</v>
      </c>
      <c r="H712" t="s">
        <v>458</v>
      </c>
      <c r="I712" t="s">
        <v>374</v>
      </c>
      <c r="J712" t="s">
        <v>1118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616</v>
      </c>
      <c r="B713" t="s">
        <v>1115</v>
      </c>
      <c r="C713" t="s">
        <v>368</v>
      </c>
      <c r="D713" t="s">
        <v>523</v>
      </c>
      <c r="E713" t="s">
        <v>1124</v>
      </c>
      <c r="F713" t="s">
        <v>1117</v>
      </c>
      <c r="G713" t="s">
        <v>616</v>
      </c>
      <c r="H713" t="s">
        <v>458</v>
      </c>
      <c r="I713" t="s">
        <v>374</v>
      </c>
      <c r="J713" t="s">
        <v>1118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616</v>
      </c>
      <c r="B714" t="s">
        <v>1115</v>
      </c>
      <c r="C714" t="s">
        <v>368</v>
      </c>
      <c r="D714" t="s">
        <v>523</v>
      </c>
      <c r="E714" t="s">
        <v>1125</v>
      </c>
      <c r="F714" t="s">
        <v>1117</v>
      </c>
      <c r="G714" t="s">
        <v>616</v>
      </c>
      <c r="H714" t="s">
        <v>458</v>
      </c>
      <c r="I714" t="s">
        <v>374</v>
      </c>
      <c r="J714" t="s">
        <v>1118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616</v>
      </c>
      <c r="B715" t="s">
        <v>1115</v>
      </c>
      <c r="C715" t="s">
        <v>368</v>
      </c>
      <c r="D715" t="s">
        <v>523</v>
      </c>
      <c r="E715" t="s">
        <v>1126</v>
      </c>
      <c r="F715" t="s">
        <v>1117</v>
      </c>
      <c r="G715" t="s">
        <v>616</v>
      </c>
      <c r="H715" t="s">
        <v>458</v>
      </c>
      <c r="I715" t="s">
        <v>374</v>
      </c>
      <c r="J715" t="s">
        <v>1118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616</v>
      </c>
      <c r="B716" t="s">
        <v>1115</v>
      </c>
      <c r="C716" t="s">
        <v>368</v>
      </c>
      <c r="D716" t="s">
        <v>523</v>
      </c>
      <c r="E716" t="s">
        <v>1127</v>
      </c>
      <c r="F716" t="s">
        <v>1117</v>
      </c>
      <c r="G716" t="s">
        <v>616</v>
      </c>
      <c r="H716" t="s">
        <v>458</v>
      </c>
      <c r="I716" t="s">
        <v>374</v>
      </c>
      <c r="J716" t="s">
        <v>1118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616</v>
      </c>
      <c r="B717" t="s">
        <v>1115</v>
      </c>
      <c r="C717" t="s">
        <v>368</v>
      </c>
      <c r="D717" t="s">
        <v>523</v>
      </c>
      <c r="E717" t="s">
        <v>1128</v>
      </c>
      <c r="F717" t="s">
        <v>1117</v>
      </c>
      <c r="G717" t="s">
        <v>616</v>
      </c>
      <c r="H717" t="s">
        <v>458</v>
      </c>
      <c r="I717" t="s">
        <v>374</v>
      </c>
      <c r="J717" t="s">
        <v>1118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616</v>
      </c>
      <c r="B718" t="s">
        <v>1115</v>
      </c>
      <c r="C718" t="s">
        <v>368</v>
      </c>
      <c r="D718" t="s">
        <v>523</v>
      </c>
      <c r="E718" t="s">
        <v>1129</v>
      </c>
      <c r="F718" t="s">
        <v>1117</v>
      </c>
      <c r="G718" t="s">
        <v>616</v>
      </c>
      <c r="H718" t="s">
        <v>458</v>
      </c>
      <c r="I718" t="s">
        <v>374</v>
      </c>
      <c r="J718" t="s">
        <v>1118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616</v>
      </c>
      <c r="B719" t="s">
        <v>1115</v>
      </c>
      <c r="C719" t="s">
        <v>368</v>
      </c>
      <c r="D719" t="s">
        <v>523</v>
      </c>
      <c r="E719" t="s">
        <v>1130</v>
      </c>
      <c r="F719" t="s">
        <v>1117</v>
      </c>
      <c r="G719" t="s">
        <v>616</v>
      </c>
      <c r="H719" t="s">
        <v>458</v>
      </c>
      <c r="I719" t="s">
        <v>374</v>
      </c>
      <c r="J719" t="s">
        <v>1118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616</v>
      </c>
      <c r="B720" t="s">
        <v>1115</v>
      </c>
      <c r="C720" t="s">
        <v>368</v>
      </c>
      <c r="D720" t="s">
        <v>523</v>
      </c>
      <c r="E720" t="s">
        <v>1131</v>
      </c>
      <c r="F720" t="s">
        <v>1117</v>
      </c>
      <c r="G720" t="s">
        <v>616</v>
      </c>
      <c r="H720" t="s">
        <v>458</v>
      </c>
      <c r="I720" t="s">
        <v>374</v>
      </c>
      <c r="J720" t="s">
        <v>1118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616</v>
      </c>
      <c r="B721" t="s">
        <v>1115</v>
      </c>
      <c r="C721" t="s">
        <v>368</v>
      </c>
      <c r="D721" t="s">
        <v>523</v>
      </c>
      <c r="E721" t="s">
        <v>1132</v>
      </c>
      <c r="F721" t="s">
        <v>1117</v>
      </c>
      <c r="G721" t="s">
        <v>616</v>
      </c>
      <c r="H721" t="s">
        <v>458</v>
      </c>
      <c r="I721" t="s">
        <v>374</v>
      </c>
      <c r="J721" t="s">
        <v>1118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616</v>
      </c>
      <c r="B722" t="s">
        <v>1115</v>
      </c>
      <c r="C722" t="s">
        <v>609</v>
      </c>
      <c r="D722" t="s">
        <v>523</v>
      </c>
      <c r="E722" t="s">
        <v>1133</v>
      </c>
      <c r="F722" t="s">
        <v>1117</v>
      </c>
      <c r="G722" t="s">
        <v>616</v>
      </c>
      <c r="H722" t="s">
        <v>458</v>
      </c>
      <c r="I722" t="s">
        <v>374</v>
      </c>
      <c r="J722" t="s">
        <v>1118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616</v>
      </c>
      <c r="B723" t="s">
        <v>1115</v>
      </c>
      <c r="C723" t="s">
        <v>609</v>
      </c>
      <c r="D723" t="s">
        <v>523</v>
      </c>
      <c r="E723" t="s">
        <v>1134</v>
      </c>
      <c r="F723" t="s">
        <v>1117</v>
      </c>
      <c r="G723" t="s">
        <v>616</v>
      </c>
      <c r="H723" t="s">
        <v>458</v>
      </c>
      <c r="I723" t="s">
        <v>374</v>
      </c>
      <c r="J723" t="s">
        <v>1118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616</v>
      </c>
      <c r="B724" t="s">
        <v>1115</v>
      </c>
      <c r="C724" t="s">
        <v>609</v>
      </c>
      <c r="D724" t="s">
        <v>523</v>
      </c>
      <c r="E724" t="s">
        <v>1135</v>
      </c>
      <c r="F724" t="s">
        <v>1117</v>
      </c>
      <c r="G724" t="s">
        <v>616</v>
      </c>
      <c r="H724" t="s">
        <v>458</v>
      </c>
      <c r="I724" t="s">
        <v>374</v>
      </c>
      <c r="J724" t="s">
        <v>1118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616</v>
      </c>
      <c r="B725" t="s">
        <v>1115</v>
      </c>
      <c r="C725" t="s">
        <v>609</v>
      </c>
      <c r="D725" t="s">
        <v>523</v>
      </c>
      <c r="E725" t="s">
        <v>1136</v>
      </c>
      <c r="F725" t="s">
        <v>1117</v>
      </c>
      <c r="G725" t="s">
        <v>616</v>
      </c>
      <c r="H725" t="s">
        <v>458</v>
      </c>
      <c r="I725" t="s">
        <v>374</v>
      </c>
      <c r="J725" t="s">
        <v>1118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616</v>
      </c>
      <c r="B726" t="s">
        <v>1115</v>
      </c>
      <c r="C726" t="s">
        <v>609</v>
      </c>
      <c r="D726" t="s">
        <v>523</v>
      </c>
      <c r="E726" t="s">
        <v>1137</v>
      </c>
      <c r="F726" t="s">
        <v>1117</v>
      </c>
      <c r="G726" t="s">
        <v>616</v>
      </c>
      <c r="H726" t="s">
        <v>458</v>
      </c>
      <c r="I726" t="s">
        <v>374</v>
      </c>
      <c r="J726" t="s">
        <v>1118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616</v>
      </c>
      <c r="B727" t="s">
        <v>1115</v>
      </c>
      <c r="C727" t="s">
        <v>368</v>
      </c>
      <c r="D727" t="s">
        <v>523</v>
      </c>
      <c r="E727" t="s">
        <v>1138</v>
      </c>
      <c r="F727" t="s">
        <v>1117</v>
      </c>
      <c r="G727" t="s">
        <v>616</v>
      </c>
      <c r="H727" t="s">
        <v>458</v>
      </c>
      <c r="I727" t="s">
        <v>374</v>
      </c>
      <c r="J727" t="s">
        <v>1118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616</v>
      </c>
      <c r="B728" t="s">
        <v>1115</v>
      </c>
      <c r="C728" t="s">
        <v>368</v>
      </c>
      <c r="D728" t="s">
        <v>523</v>
      </c>
      <c r="E728" t="s">
        <v>1139</v>
      </c>
      <c r="F728" t="s">
        <v>1117</v>
      </c>
      <c r="G728" t="s">
        <v>616</v>
      </c>
      <c r="H728" t="s">
        <v>458</v>
      </c>
      <c r="I728" t="s">
        <v>374</v>
      </c>
      <c r="J728" t="s">
        <v>1118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616</v>
      </c>
      <c r="B729" t="s">
        <v>1140</v>
      </c>
      <c r="C729" t="s">
        <v>368</v>
      </c>
      <c r="D729" t="s">
        <v>523</v>
      </c>
      <c r="E729" t="s">
        <v>1141</v>
      </c>
      <c r="F729" t="s">
        <v>1142</v>
      </c>
      <c r="G729" t="s">
        <v>616</v>
      </c>
      <c r="H729" t="s">
        <v>458</v>
      </c>
      <c r="I729" t="s">
        <v>374</v>
      </c>
      <c r="J729" t="s">
        <v>1143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616</v>
      </c>
      <c r="B730" t="s">
        <v>1140</v>
      </c>
      <c r="C730" t="s">
        <v>368</v>
      </c>
      <c r="D730" t="s">
        <v>523</v>
      </c>
      <c r="E730" t="s">
        <v>1144</v>
      </c>
      <c r="F730" t="s">
        <v>1142</v>
      </c>
      <c r="G730" t="s">
        <v>616</v>
      </c>
      <c r="H730" t="s">
        <v>458</v>
      </c>
      <c r="I730" t="s">
        <v>374</v>
      </c>
      <c r="J730" t="s">
        <v>1143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616</v>
      </c>
      <c r="B731" t="s">
        <v>1140</v>
      </c>
      <c r="C731" t="s">
        <v>368</v>
      </c>
      <c r="D731" t="s">
        <v>523</v>
      </c>
      <c r="E731" t="s">
        <v>1145</v>
      </c>
      <c r="F731" t="s">
        <v>1142</v>
      </c>
      <c r="G731" t="s">
        <v>616</v>
      </c>
      <c r="H731" t="s">
        <v>458</v>
      </c>
      <c r="I731" t="s">
        <v>374</v>
      </c>
      <c r="J731" t="s">
        <v>1143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616</v>
      </c>
      <c r="B732" t="s">
        <v>1140</v>
      </c>
      <c r="C732" t="s">
        <v>368</v>
      </c>
      <c r="D732" t="s">
        <v>523</v>
      </c>
      <c r="E732" t="s">
        <v>1146</v>
      </c>
      <c r="F732" t="s">
        <v>1142</v>
      </c>
      <c r="G732" t="s">
        <v>616</v>
      </c>
      <c r="H732" t="s">
        <v>458</v>
      </c>
      <c r="I732" t="s">
        <v>374</v>
      </c>
      <c r="J732" t="s">
        <v>1143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616</v>
      </c>
      <c r="B733" t="s">
        <v>1140</v>
      </c>
      <c r="C733" t="s">
        <v>368</v>
      </c>
      <c r="D733" t="s">
        <v>523</v>
      </c>
      <c r="E733" t="s">
        <v>1147</v>
      </c>
      <c r="F733" t="s">
        <v>1142</v>
      </c>
      <c r="G733" t="s">
        <v>616</v>
      </c>
      <c r="H733" t="s">
        <v>458</v>
      </c>
      <c r="I733" t="s">
        <v>374</v>
      </c>
      <c r="J733" t="s">
        <v>1143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616</v>
      </c>
      <c r="B734" t="s">
        <v>1140</v>
      </c>
      <c r="C734" t="s">
        <v>368</v>
      </c>
      <c r="D734" t="s">
        <v>523</v>
      </c>
      <c r="E734" t="s">
        <v>1148</v>
      </c>
      <c r="F734" t="s">
        <v>1142</v>
      </c>
      <c r="G734" t="s">
        <v>616</v>
      </c>
      <c r="H734" t="s">
        <v>458</v>
      </c>
      <c r="I734" t="s">
        <v>374</v>
      </c>
      <c r="J734" t="s">
        <v>1143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616</v>
      </c>
      <c r="B735" t="s">
        <v>1140</v>
      </c>
      <c r="C735" t="s">
        <v>368</v>
      </c>
      <c r="D735" t="s">
        <v>523</v>
      </c>
      <c r="E735" t="s">
        <v>1149</v>
      </c>
      <c r="F735" t="s">
        <v>1142</v>
      </c>
      <c r="G735" t="s">
        <v>616</v>
      </c>
      <c r="H735" t="s">
        <v>458</v>
      </c>
      <c r="I735" t="s">
        <v>374</v>
      </c>
      <c r="J735" t="s">
        <v>1143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616</v>
      </c>
      <c r="B736" t="s">
        <v>1140</v>
      </c>
      <c r="C736" t="s">
        <v>368</v>
      </c>
      <c r="D736" t="s">
        <v>523</v>
      </c>
      <c r="E736" t="s">
        <v>1150</v>
      </c>
      <c r="F736" t="s">
        <v>1142</v>
      </c>
      <c r="G736" t="s">
        <v>616</v>
      </c>
      <c r="H736" t="s">
        <v>458</v>
      </c>
      <c r="I736" t="s">
        <v>374</v>
      </c>
      <c r="J736" t="s">
        <v>1143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616</v>
      </c>
      <c r="B737" t="s">
        <v>1140</v>
      </c>
      <c r="C737" t="s">
        <v>368</v>
      </c>
      <c r="D737" t="s">
        <v>523</v>
      </c>
      <c r="E737" t="s">
        <v>1151</v>
      </c>
      <c r="F737" t="s">
        <v>1142</v>
      </c>
      <c r="G737" t="s">
        <v>616</v>
      </c>
      <c r="H737" t="s">
        <v>458</v>
      </c>
      <c r="I737" t="s">
        <v>374</v>
      </c>
      <c r="J737" t="s">
        <v>1143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616</v>
      </c>
      <c r="B738" t="s">
        <v>1140</v>
      </c>
      <c r="C738" t="s">
        <v>368</v>
      </c>
      <c r="D738" t="s">
        <v>523</v>
      </c>
      <c r="E738" t="s">
        <v>1152</v>
      </c>
      <c r="F738" t="s">
        <v>1142</v>
      </c>
      <c r="G738" t="s">
        <v>616</v>
      </c>
      <c r="H738" t="s">
        <v>458</v>
      </c>
      <c r="I738" t="s">
        <v>374</v>
      </c>
      <c r="J738" t="s">
        <v>1143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616</v>
      </c>
      <c r="B739" t="s">
        <v>1140</v>
      </c>
      <c r="C739" t="s">
        <v>368</v>
      </c>
      <c r="D739" t="s">
        <v>523</v>
      </c>
      <c r="E739" t="s">
        <v>1153</v>
      </c>
      <c r="F739" t="s">
        <v>1142</v>
      </c>
      <c r="G739" t="s">
        <v>616</v>
      </c>
      <c r="H739" t="s">
        <v>458</v>
      </c>
      <c r="I739" t="s">
        <v>374</v>
      </c>
      <c r="J739" t="s">
        <v>1143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616</v>
      </c>
      <c r="B740" t="s">
        <v>1140</v>
      </c>
      <c r="C740" t="s">
        <v>368</v>
      </c>
      <c r="D740" t="s">
        <v>523</v>
      </c>
      <c r="E740" t="s">
        <v>1154</v>
      </c>
      <c r="F740" t="s">
        <v>1142</v>
      </c>
      <c r="G740" t="s">
        <v>616</v>
      </c>
      <c r="H740" t="s">
        <v>458</v>
      </c>
      <c r="I740" t="s">
        <v>374</v>
      </c>
      <c r="J740" t="s">
        <v>1143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616</v>
      </c>
      <c r="B741" t="s">
        <v>1140</v>
      </c>
      <c r="C741" t="s">
        <v>368</v>
      </c>
      <c r="D741" t="s">
        <v>523</v>
      </c>
      <c r="E741" t="s">
        <v>1155</v>
      </c>
      <c r="F741" t="s">
        <v>1142</v>
      </c>
      <c r="G741" t="s">
        <v>616</v>
      </c>
      <c r="H741" t="s">
        <v>458</v>
      </c>
      <c r="I741" t="s">
        <v>374</v>
      </c>
      <c r="J741" t="s">
        <v>1143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616</v>
      </c>
      <c r="B742" t="s">
        <v>1140</v>
      </c>
      <c r="C742" t="s">
        <v>368</v>
      </c>
      <c r="D742" t="s">
        <v>523</v>
      </c>
      <c r="E742" t="s">
        <v>1156</v>
      </c>
      <c r="F742" t="s">
        <v>1142</v>
      </c>
      <c r="G742" t="s">
        <v>616</v>
      </c>
      <c r="H742" t="s">
        <v>458</v>
      </c>
      <c r="I742" t="s">
        <v>374</v>
      </c>
      <c r="J742" t="s">
        <v>1143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616</v>
      </c>
      <c r="B743" t="s">
        <v>1140</v>
      </c>
      <c r="C743" t="s">
        <v>368</v>
      </c>
      <c r="D743" t="s">
        <v>523</v>
      </c>
      <c r="E743" t="s">
        <v>1157</v>
      </c>
      <c r="F743" t="s">
        <v>1142</v>
      </c>
      <c r="G743" t="s">
        <v>616</v>
      </c>
      <c r="H743" t="s">
        <v>458</v>
      </c>
      <c r="I743" t="s">
        <v>374</v>
      </c>
      <c r="J743" t="s">
        <v>1143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616</v>
      </c>
      <c r="B744" t="s">
        <v>1140</v>
      </c>
      <c r="C744" t="s">
        <v>609</v>
      </c>
      <c r="D744" t="s">
        <v>523</v>
      </c>
      <c r="E744" t="s">
        <v>1158</v>
      </c>
      <c r="F744" t="s">
        <v>1142</v>
      </c>
      <c r="G744" t="s">
        <v>616</v>
      </c>
      <c r="H744" t="s">
        <v>458</v>
      </c>
      <c r="I744" t="s">
        <v>374</v>
      </c>
      <c r="J744" t="s">
        <v>1143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616</v>
      </c>
      <c r="B745" t="s">
        <v>1140</v>
      </c>
      <c r="C745" t="s">
        <v>609</v>
      </c>
      <c r="D745" t="s">
        <v>523</v>
      </c>
      <c r="E745" t="s">
        <v>1159</v>
      </c>
      <c r="F745" t="s">
        <v>1142</v>
      </c>
      <c r="G745" t="s">
        <v>616</v>
      </c>
      <c r="H745" t="s">
        <v>458</v>
      </c>
      <c r="I745" t="s">
        <v>374</v>
      </c>
      <c r="J745" t="s">
        <v>1143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616</v>
      </c>
      <c r="B746" t="s">
        <v>1140</v>
      </c>
      <c r="C746" t="s">
        <v>609</v>
      </c>
      <c r="D746" t="s">
        <v>523</v>
      </c>
      <c r="E746" t="s">
        <v>1160</v>
      </c>
      <c r="F746" t="s">
        <v>1142</v>
      </c>
      <c r="G746" t="s">
        <v>616</v>
      </c>
      <c r="H746" t="s">
        <v>458</v>
      </c>
      <c r="I746" t="s">
        <v>374</v>
      </c>
      <c r="J746" t="s">
        <v>1143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616</v>
      </c>
      <c r="B747" t="s">
        <v>1140</v>
      </c>
      <c r="C747" t="s">
        <v>609</v>
      </c>
      <c r="D747" t="s">
        <v>523</v>
      </c>
      <c r="E747" t="s">
        <v>1161</v>
      </c>
      <c r="F747" t="s">
        <v>1142</v>
      </c>
      <c r="G747" t="s">
        <v>616</v>
      </c>
      <c r="H747" t="s">
        <v>458</v>
      </c>
      <c r="I747" t="s">
        <v>374</v>
      </c>
      <c r="J747" t="s">
        <v>1143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616</v>
      </c>
      <c r="B748" t="s">
        <v>1140</v>
      </c>
      <c r="C748" t="s">
        <v>609</v>
      </c>
      <c r="D748" t="s">
        <v>523</v>
      </c>
      <c r="E748" t="s">
        <v>1162</v>
      </c>
      <c r="F748" t="s">
        <v>1142</v>
      </c>
      <c r="G748" t="s">
        <v>616</v>
      </c>
      <c r="H748" t="s">
        <v>458</v>
      </c>
      <c r="I748" t="s">
        <v>374</v>
      </c>
      <c r="J748" t="s">
        <v>1143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616</v>
      </c>
      <c r="B749" t="s">
        <v>1140</v>
      </c>
      <c r="C749" t="s">
        <v>368</v>
      </c>
      <c r="D749" t="s">
        <v>523</v>
      </c>
      <c r="E749" t="s">
        <v>1163</v>
      </c>
      <c r="F749" t="s">
        <v>1142</v>
      </c>
      <c r="G749" t="s">
        <v>616</v>
      </c>
      <c r="H749" t="s">
        <v>458</v>
      </c>
      <c r="I749" t="s">
        <v>374</v>
      </c>
      <c r="J749" t="s">
        <v>1143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616</v>
      </c>
      <c r="B750" t="s">
        <v>1140</v>
      </c>
      <c r="C750" t="s">
        <v>368</v>
      </c>
      <c r="D750" t="s">
        <v>523</v>
      </c>
      <c r="E750" t="s">
        <v>1164</v>
      </c>
      <c r="F750" t="s">
        <v>1142</v>
      </c>
      <c r="G750" t="s">
        <v>616</v>
      </c>
      <c r="H750" t="s">
        <v>458</v>
      </c>
      <c r="I750" t="s">
        <v>374</v>
      </c>
      <c r="J750" t="s">
        <v>1143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616</v>
      </c>
      <c r="B751" t="s">
        <v>1165</v>
      </c>
      <c r="C751" t="s">
        <v>368</v>
      </c>
      <c r="D751" t="s">
        <v>523</v>
      </c>
      <c r="E751" t="s">
        <v>1166</v>
      </c>
      <c r="F751" t="s">
        <v>1167</v>
      </c>
      <c r="G751" t="s">
        <v>616</v>
      </c>
      <c r="H751" t="s">
        <v>458</v>
      </c>
      <c r="I751" t="s">
        <v>374</v>
      </c>
      <c r="J751" t="s">
        <v>1168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616</v>
      </c>
      <c r="B752" t="s">
        <v>1165</v>
      </c>
      <c r="C752" t="s">
        <v>368</v>
      </c>
      <c r="D752" t="s">
        <v>523</v>
      </c>
      <c r="E752" t="s">
        <v>1169</v>
      </c>
      <c r="F752" t="s">
        <v>1167</v>
      </c>
      <c r="G752" t="s">
        <v>616</v>
      </c>
      <c r="H752" t="s">
        <v>458</v>
      </c>
      <c r="I752" t="s">
        <v>374</v>
      </c>
      <c r="J752" t="s">
        <v>1168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616</v>
      </c>
      <c r="B753" t="s">
        <v>1165</v>
      </c>
      <c r="C753" t="s">
        <v>368</v>
      </c>
      <c r="D753" t="s">
        <v>523</v>
      </c>
      <c r="E753" t="s">
        <v>1170</v>
      </c>
      <c r="F753" t="s">
        <v>1167</v>
      </c>
      <c r="G753" t="s">
        <v>616</v>
      </c>
      <c r="H753" t="s">
        <v>458</v>
      </c>
      <c r="I753" t="s">
        <v>374</v>
      </c>
      <c r="J753" t="s">
        <v>1168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616</v>
      </c>
      <c r="B754" t="s">
        <v>1165</v>
      </c>
      <c r="C754" t="s">
        <v>368</v>
      </c>
      <c r="D754" t="s">
        <v>523</v>
      </c>
      <c r="E754" t="s">
        <v>1171</v>
      </c>
      <c r="F754" t="s">
        <v>1167</v>
      </c>
      <c r="G754" t="s">
        <v>616</v>
      </c>
      <c r="H754" t="s">
        <v>458</v>
      </c>
      <c r="I754" t="s">
        <v>374</v>
      </c>
      <c r="J754" t="s">
        <v>1168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616</v>
      </c>
      <c r="B755" t="s">
        <v>1165</v>
      </c>
      <c r="C755" t="s">
        <v>368</v>
      </c>
      <c r="D755" t="s">
        <v>523</v>
      </c>
      <c r="E755" t="s">
        <v>1172</v>
      </c>
      <c r="F755" t="s">
        <v>1167</v>
      </c>
      <c r="G755" t="s">
        <v>616</v>
      </c>
      <c r="H755" t="s">
        <v>458</v>
      </c>
      <c r="I755" t="s">
        <v>374</v>
      </c>
      <c r="J755" t="s">
        <v>1168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616</v>
      </c>
      <c r="B756" t="s">
        <v>1165</v>
      </c>
      <c r="C756" t="s">
        <v>368</v>
      </c>
      <c r="D756" t="s">
        <v>523</v>
      </c>
      <c r="E756" t="s">
        <v>1173</v>
      </c>
      <c r="F756" t="s">
        <v>1167</v>
      </c>
      <c r="G756" t="s">
        <v>616</v>
      </c>
      <c r="H756" t="s">
        <v>458</v>
      </c>
      <c r="I756" t="s">
        <v>374</v>
      </c>
      <c r="J756" t="s">
        <v>1168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616</v>
      </c>
      <c r="B757" t="s">
        <v>1165</v>
      </c>
      <c r="C757" t="s">
        <v>368</v>
      </c>
      <c r="D757" t="s">
        <v>523</v>
      </c>
      <c r="E757" t="s">
        <v>1174</v>
      </c>
      <c r="F757" t="s">
        <v>1167</v>
      </c>
      <c r="G757" t="s">
        <v>616</v>
      </c>
      <c r="H757" t="s">
        <v>458</v>
      </c>
      <c r="I757" t="s">
        <v>374</v>
      </c>
      <c r="J757" t="s">
        <v>1168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616</v>
      </c>
      <c r="B758" t="s">
        <v>1165</v>
      </c>
      <c r="C758" t="s">
        <v>368</v>
      </c>
      <c r="D758" t="s">
        <v>523</v>
      </c>
      <c r="E758" t="s">
        <v>1175</v>
      </c>
      <c r="F758" t="s">
        <v>1167</v>
      </c>
      <c r="G758" t="s">
        <v>616</v>
      </c>
      <c r="H758" t="s">
        <v>458</v>
      </c>
      <c r="I758" t="s">
        <v>374</v>
      </c>
      <c r="J758" t="s">
        <v>1168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616</v>
      </c>
      <c r="B759" t="s">
        <v>1165</v>
      </c>
      <c r="C759" t="s">
        <v>368</v>
      </c>
      <c r="D759" t="s">
        <v>523</v>
      </c>
      <c r="E759" t="s">
        <v>1176</v>
      </c>
      <c r="F759" t="s">
        <v>1167</v>
      </c>
      <c r="G759" t="s">
        <v>616</v>
      </c>
      <c r="H759" t="s">
        <v>458</v>
      </c>
      <c r="I759" t="s">
        <v>374</v>
      </c>
      <c r="J759" t="s">
        <v>1168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616</v>
      </c>
      <c r="B760" t="s">
        <v>1165</v>
      </c>
      <c r="C760" t="s">
        <v>368</v>
      </c>
      <c r="D760" t="s">
        <v>523</v>
      </c>
      <c r="E760" t="s">
        <v>1177</v>
      </c>
      <c r="F760" t="s">
        <v>1167</v>
      </c>
      <c r="G760" t="s">
        <v>616</v>
      </c>
      <c r="H760" t="s">
        <v>458</v>
      </c>
      <c r="I760" t="s">
        <v>374</v>
      </c>
      <c r="J760" t="s">
        <v>1168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616</v>
      </c>
      <c r="B761" t="s">
        <v>1165</v>
      </c>
      <c r="C761" t="s">
        <v>368</v>
      </c>
      <c r="D761" t="s">
        <v>523</v>
      </c>
      <c r="E761" t="s">
        <v>1178</v>
      </c>
      <c r="F761" t="s">
        <v>1167</v>
      </c>
      <c r="G761" t="s">
        <v>616</v>
      </c>
      <c r="H761" t="s">
        <v>458</v>
      </c>
      <c r="I761" t="s">
        <v>374</v>
      </c>
      <c r="J761" t="s">
        <v>1168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616</v>
      </c>
      <c r="B762" t="s">
        <v>1165</v>
      </c>
      <c r="C762" t="s">
        <v>368</v>
      </c>
      <c r="D762" t="s">
        <v>523</v>
      </c>
      <c r="E762" t="s">
        <v>1179</v>
      </c>
      <c r="F762" t="s">
        <v>1167</v>
      </c>
      <c r="G762" t="s">
        <v>616</v>
      </c>
      <c r="H762" t="s">
        <v>458</v>
      </c>
      <c r="I762" t="s">
        <v>374</v>
      </c>
      <c r="J762" t="s">
        <v>1168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616</v>
      </c>
      <c r="B763" t="s">
        <v>1165</v>
      </c>
      <c r="C763" t="s">
        <v>368</v>
      </c>
      <c r="D763" t="s">
        <v>523</v>
      </c>
      <c r="E763" t="s">
        <v>1180</v>
      </c>
      <c r="F763" t="s">
        <v>1167</v>
      </c>
      <c r="G763" t="s">
        <v>616</v>
      </c>
      <c r="H763" t="s">
        <v>458</v>
      </c>
      <c r="I763" t="s">
        <v>374</v>
      </c>
      <c r="J763" t="s">
        <v>1168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616</v>
      </c>
      <c r="B764" t="s">
        <v>1165</v>
      </c>
      <c r="C764" t="s">
        <v>368</v>
      </c>
      <c r="D764" t="s">
        <v>523</v>
      </c>
      <c r="E764" t="s">
        <v>1181</v>
      </c>
      <c r="F764" t="s">
        <v>1167</v>
      </c>
      <c r="G764" t="s">
        <v>616</v>
      </c>
      <c r="H764" t="s">
        <v>458</v>
      </c>
      <c r="I764" t="s">
        <v>374</v>
      </c>
      <c r="J764" t="s">
        <v>1168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616</v>
      </c>
      <c r="B765" t="s">
        <v>1165</v>
      </c>
      <c r="C765" t="s">
        <v>368</v>
      </c>
      <c r="D765" t="s">
        <v>523</v>
      </c>
      <c r="E765" t="s">
        <v>1182</v>
      </c>
      <c r="F765" t="s">
        <v>1167</v>
      </c>
      <c r="G765" t="s">
        <v>616</v>
      </c>
      <c r="H765" t="s">
        <v>458</v>
      </c>
      <c r="I765" t="s">
        <v>374</v>
      </c>
      <c r="J765" t="s">
        <v>1168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616</v>
      </c>
      <c r="B766" t="s">
        <v>1165</v>
      </c>
      <c r="C766" t="s">
        <v>609</v>
      </c>
      <c r="D766" t="s">
        <v>523</v>
      </c>
      <c r="E766" t="s">
        <v>1183</v>
      </c>
      <c r="F766" t="s">
        <v>1167</v>
      </c>
      <c r="G766" t="s">
        <v>616</v>
      </c>
      <c r="H766" t="s">
        <v>458</v>
      </c>
      <c r="I766" t="s">
        <v>374</v>
      </c>
      <c r="J766" t="s">
        <v>1168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616</v>
      </c>
      <c r="B767" t="s">
        <v>1165</v>
      </c>
      <c r="C767" t="s">
        <v>609</v>
      </c>
      <c r="D767" t="s">
        <v>523</v>
      </c>
      <c r="E767" t="s">
        <v>1184</v>
      </c>
      <c r="F767" t="s">
        <v>1167</v>
      </c>
      <c r="G767" t="s">
        <v>616</v>
      </c>
      <c r="H767" t="s">
        <v>458</v>
      </c>
      <c r="I767" t="s">
        <v>374</v>
      </c>
      <c r="J767" t="s">
        <v>1168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616</v>
      </c>
      <c r="B768" t="s">
        <v>1165</v>
      </c>
      <c r="C768" t="s">
        <v>609</v>
      </c>
      <c r="D768" t="s">
        <v>523</v>
      </c>
      <c r="E768" t="s">
        <v>1185</v>
      </c>
      <c r="F768" t="s">
        <v>1167</v>
      </c>
      <c r="G768" t="s">
        <v>616</v>
      </c>
      <c r="H768" t="s">
        <v>458</v>
      </c>
      <c r="I768" t="s">
        <v>374</v>
      </c>
      <c r="J768" t="s">
        <v>1168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616</v>
      </c>
      <c r="B769" t="s">
        <v>1165</v>
      </c>
      <c r="C769" t="s">
        <v>609</v>
      </c>
      <c r="D769" t="s">
        <v>523</v>
      </c>
      <c r="E769" t="s">
        <v>1186</v>
      </c>
      <c r="F769" t="s">
        <v>1167</v>
      </c>
      <c r="G769" t="s">
        <v>616</v>
      </c>
      <c r="H769" t="s">
        <v>458</v>
      </c>
      <c r="I769" t="s">
        <v>374</v>
      </c>
      <c r="J769" t="s">
        <v>1168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616</v>
      </c>
      <c r="B770" t="s">
        <v>1165</v>
      </c>
      <c r="C770" t="s">
        <v>609</v>
      </c>
      <c r="D770" t="s">
        <v>523</v>
      </c>
      <c r="E770" t="s">
        <v>1187</v>
      </c>
      <c r="F770" t="s">
        <v>1167</v>
      </c>
      <c r="G770" t="s">
        <v>616</v>
      </c>
      <c r="H770" t="s">
        <v>458</v>
      </c>
      <c r="I770" t="s">
        <v>374</v>
      </c>
      <c r="J770" t="s">
        <v>1168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616</v>
      </c>
      <c r="B771" t="s">
        <v>1165</v>
      </c>
      <c r="C771" t="s">
        <v>368</v>
      </c>
      <c r="D771" t="s">
        <v>523</v>
      </c>
      <c r="E771" t="s">
        <v>1188</v>
      </c>
      <c r="F771" t="s">
        <v>1167</v>
      </c>
      <c r="G771" t="s">
        <v>616</v>
      </c>
      <c r="H771" t="s">
        <v>458</v>
      </c>
      <c r="I771" t="s">
        <v>374</v>
      </c>
      <c r="J771" t="s">
        <v>1168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616</v>
      </c>
      <c r="B772" t="s">
        <v>1165</v>
      </c>
      <c r="C772" t="s">
        <v>368</v>
      </c>
      <c r="D772" t="s">
        <v>523</v>
      </c>
      <c r="E772" t="s">
        <v>1189</v>
      </c>
      <c r="F772" t="s">
        <v>1167</v>
      </c>
      <c r="G772" t="s">
        <v>616</v>
      </c>
      <c r="H772" t="s">
        <v>458</v>
      </c>
      <c r="I772" t="s">
        <v>374</v>
      </c>
      <c r="J772" t="s">
        <v>1168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616</v>
      </c>
      <c r="B773" t="s">
        <v>617</v>
      </c>
      <c r="C773" t="s">
        <v>368</v>
      </c>
      <c r="D773" t="s">
        <v>523</v>
      </c>
      <c r="E773" t="s">
        <v>79</v>
      </c>
      <c r="F773" t="s">
        <v>1190</v>
      </c>
      <c r="G773" t="s">
        <v>616</v>
      </c>
      <c r="H773" t="s">
        <v>458</v>
      </c>
      <c r="I773" t="s">
        <v>374</v>
      </c>
      <c r="J773" t="s">
        <v>386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616</v>
      </c>
      <c r="B774" t="s">
        <v>617</v>
      </c>
      <c r="C774" t="s">
        <v>368</v>
      </c>
      <c r="D774" t="s">
        <v>523</v>
      </c>
      <c r="E774" t="s">
        <v>1191</v>
      </c>
      <c r="F774" t="s">
        <v>1190</v>
      </c>
      <c r="G774" t="s">
        <v>616</v>
      </c>
      <c r="H774" t="s">
        <v>458</v>
      </c>
      <c r="I774" t="s">
        <v>374</v>
      </c>
      <c r="J774" t="s">
        <v>386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616</v>
      </c>
      <c r="B775" t="s">
        <v>617</v>
      </c>
      <c r="C775" t="s">
        <v>368</v>
      </c>
      <c r="D775" t="s">
        <v>523</v>
      </c>
      <c r="E775" t="s">
        <v>80</v>
      </c>
      <c r="F775" t="s">
        <v>1190</v>
      </c>
      <c r="G775" t="s">
        <v>616</v>
      </c>
      <c r="H775" t="s">
        <v>458</v>
      </c>
      <c r="I775" t="s">
        <v>374</v>
      </c>
      <c r="J775" t="s">
        <v>386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616</v>
      </c>
      <c r="B776" t="s">
        <v>617</v>
      </c>
      <c r="C776" t="s">
        <v>368</v>
      </c>
      <c r="D776" t="s">
        <v>523</v>
      </c>
      <c r="E776" t="s">
        <v>1192</v>
      </c>
      <c r="F776" t="s">
        <v>1190</v>
      </c>
      <c r="G776" t="s">
        <v>616</v>
      </c>
      <c r="H776" t="s">
        <v>458</v>
      </c>
      <c r="I776" t="s">
        <v>374</v>
      </c>
      <c r="J776" t="s">
        <v>386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616</v>
      </c>
      <c r="B777" t="s">
        <v>617</v>
      </c>
      <c r="C777" t="s">
        <v>368</v>
      </c>
      <c r="D777" t="s">
        <v>523</v>
      </c>
      <c r="E777" t="s">
        <v>81</v>
      </c>
      <c r="F777" t="s">
        <v>1190</v>
      </c>
      <c r="G777" t="s">
        <v>616</v>
      </c>
      <c r="H777" t="s">
        <v>458</v>
      </c>
      <c r="I777" t="s">
        <v>374</v>
      </c>
      <c r="J777" t="s">
        <v>386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616</v>
      </c>
      <c r="B778" t="s">
        <v>617</v>
      </c>
      <c r="C778" t="s">
        <v>368</v>
      </c>
      <c r="D778" t="s">
        <v>523</v>
      </c>
      <c r="E778" t="s">
        <v>1193</v>
      </c>
      <c r="F778" t="s">
        <v>1190</v>
      </c>
      <c r="G778" t="s">
        <v>616</v>
      </c>
      <c r="H778" t="s">
        <v>458</v>
      </c>
      <c r="I778" t="s">
        <v>374</v>
      </c>
      <c r="J778" t="s">
        <v>386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616</v>
      </c>
      <c r="B779" t="s">
        <v>617</v>
      </c>
      <c r="C779" t="s">
        <v>368</v>
      </c>
      <c r="D779" t="s">
        <v>523</v>
      </c>
      <c r="E779" t="s">
        <v>1194</v>
      </c>
      <c r="F779" t="s">
        <v>1190</v>
      </c>
      <c r="G779" t="s">
        <v>616</v>
      </c>
      <c r="H779" t="s">
        <v>458</v>
      </c>
      <c r="I779" t="s">
        <v>374</v>
      </c>
      <c r="J779" t="s">
        <v>386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616</v>
      </c>
      <c r="B780" t="s">
        <v>617</v>
      </c>
      <c r="C780" t="s">
        <v>368</v>
      </c>
      <c r="D780" t="s">
        <v>523</v>
      </c>
      <c r="E780" t="s">
        <v>1195</v>
      </c>
      <c r="F780" t="s">
        <v>1190</v>
      </c>
      <c r="G780" t="s">
        <v>616</v>
      </c>
      <c r="H780" t="s">
        <v>458</v>
      </c>
      <c r="I780" t="s">
        <v>374</v>
      </c>
      <c r="J780" t="s">
        <v>386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616</v>
      </c>
      <c r="B781" t="s">
        <v>617</v>
      </c>
      <c r="C781" t="s">
        <v>368</v>
      </c>
      <c r="D781" t="s">
        <v>523</v>
      </c>
      <c r="E781" t="s">
        <v>82</v>
      </c>
      <c r="F781" t="s">
        <v>1190</v>
      </c>
      <c r="G781" t="s">
        <v>616</v>
      </c>
      <c r="H781" t="s">
        <v>458</v>
      </c>
      <c r="I781" t="s">
        <v>374</v>
      </c>
      <c r="J781" t="s">
        <v>386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616</v>
      </c>
      <c r="B782" t="s">
        <v>617</v>
      </c>
      <c r="C782" t="s">
        <v>368</v>
      </c>
      <c r="D782" t="s">
        <v>523</v>
      </c>
      <c r="E782" t="s">
        <v>1196</v>
      </c>
      <c r="F782" t="s">
        <v>1190</v>
      </c>
      <c r="G782" t="s">
        <v>616</v>
      </c>
      <c r="H782" t="s">
        <v>458</v>
      </c>
      <c r="I782" t="s">
        <v>374</v>
      </c>
      <c r="J782" t="s">
        <v>386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616</v>
      </c>
      <c r="B783" t="s">
        <v>617</v>
      </c>
      <c r="C783" t="s">
        <v>368</v>
      </c>
      <c r="D783" t="s">
        <v>523</v>
      </c>
      <c r="E783" t="s">
        <v>1197</v>
      </c>
      <c r="F783" t="s">
        <v>1190</v>
      </c>
      <c r="G783" t="s">
        <v>616</v>
      </c>
      <c r="H783" t="s">
        <v>458</v>
      </c>
      <c r="I783" t="s">
        <v>374</v>
      </c>
      <c r="J783" t="s">
        <v>386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616</v>
      </c>
      <c r="B784" t="s">
        <v>617</v>
      </c>
      <c r="C784" t="s">
        <v>368</v>
      </c>
      <c r="D784" t="s">
        <v>523</v>
      </c>
      <c r="E784" t="s">
        <v>1198</v>
      </c>
      <c r="F784" t="s">
        <v>1190</v>
      </c>
      <c r="G784" t="s">
        <v>616</v>
      </c>
      <c r="H784" t="s">
        <v>458</v>
      </c>
      <c r="I784" t="s">
        <v>374</v>
      </c>
      <c r="J784" t="s">
        <v>386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616</v>
      </c>
      <c r="B785" t="s">
        <v>617</v>
      </c>
      <c r="C785" t="s">
        <v>368</v>
      </c>
      <c r="D785" t="s">
        <v>523</v>
      </c>
      <c r="E785" t="s">
        <v>1199</v>
      </c>
      <c r="F785" t="s">
        <v>1190</v>
      </c>
      <c r="G785" t="s">
        <v>616</v>
      </c>
      <c r="H785" t="s">
        <v>458</v>
      </c>
      <c r="I785" t="s">
        <v>374</v>
      </c>
      <c r="J785" t="s">
        <v>386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616</v>
      </c>
      <c r="B786" t="s">
        <v>617</v>
      </c>
      <c r="C786" t="s">
        <v>368</v>
      </c>
      <c r="D786" t="s">
        <v>523</v>
      </c>
      <c r="E786" t="s">
        <v>1200</v>
      </c>
      <c r="F786" t="s">
        <v>1190</v>
      </c>
      <c r="G786" t="s">
        <v>616</v>
      </c>
      <c r="H786" t="s">
        <v>458</v>
      </c>
      <c r="I786" t="s">
        <v>374</v>
      </c>
      <c r="J786" t="s">
        <v>386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616</v>
      </c>
      <c r="B787" t="s">
        <v>617</v>
      </c>
      <c r="C787" t="s">
        <v>368</v>
      </c>
      <c r="D787" t="s">
        <v>523</v>
      </c>
      <c r="E787" t="s">
        <v>1201</v>
      </c>
      <c r="F787" t="s">
        <v>1190</v>
      </c>
      <c r="G787" t="s">
        <v>616</v>
      </c>
      <c r="H787" t="s">
        <v>458</v>
      </c>
      <c r="I787" t="s">
        <v>374</v>
      </c>
      <c r="J787" t="s">
        <v>386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616</v>
      </c>
      <c r="B788" t="s">
        <v>617</v>
      </c>
      <c r="C788" t="s">
        <v>609</v>
      </c>
      <c r="D788" t="s">
        <v>523</v>
      </c>
      <c r="E788" t="s">
        <v>1202</v>
      </c>
      <c r="F788" t="s">
        <v>1190</v>
      </c>
      <c r="G788" t="s">
        <v>616</v>
      </c>
      <c r="H788" t="s">
        <v>458</v>
      </c>
      <c r="I788" t="s">
        <v>374</v>
      </c>
      <c r="J788" t="s">
        <v>386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616</v>
      </c>
      <c r="B789" t="s">
        <v>617</v>
      </c>
      <c r="C789" t="s">
        <v>609</v>
      </c>
      <c r="D789" t="s">
        <v>523</v>
      </c>
      <c r="E789" t="s">
        <v>1203</v>
      </c>
      <c r="F789" t="s">
        <v>1190</v>
      </c>
      <c r="G789" t="s">
        <v>616</v>
      </c>
      <c r="H789" t="s">
        <v>458</v>
      </c>
      <c r="I789" t="s">
        <v>374</v>
      </c>
      <c r="J789" t="s">
        <v>386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616</v>
      </c>
      <c r="B790" t="s">
        <v>617</v>
      </c>
      <c r="C790" t="s">
        <v>609</v>
      </c>
      <c r="D790" t="s">
        <v>523</v>
      </c>
      <c r="E790" t="s">
        <v>1204</v>
      </c>
      <c r="F790" t="s">
        <v>1190</v>
      </c>
      <c r="G790" t="s">
        <v>616</v>
      </c>
      <c r="H790" t="s">
        <v>458</v>
      </c>
      <c r="I790" t="s">
        <v>374</v>
      </c>
      <c r="J790" t="s">
        <v>386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616</v>
      </c>
      <c r="B791" t="s">
        <v>617</v>
      </c>
      <c r="C791" t="s">
        <v>609</v>
      </c>
      <c r="D791" t="s">
        <v>523</v>
      </c>
      <c r="E791" t="s">
        <v>1205</v>
      </c>
      <c r="F791" t="s">
        <v>1190</v>
      </c>
      <c r="G791" t="s">
        <v>616</v>
      </c>
      <c r="H791" t="s">
        <v>458</v>
      </c>
      <c r="I791" t="s">
        <v>374</v>
      </c>
      <c r="J791" t="s">
        <v>386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616</v>
      </c>
      <c r="B792" t="s">
        <v>617</v>
      </c>
      <c r="C792" t="s">
        <v>609</v>
      </c>
      <c r="D792" t="s">
        <v>523</v>
      </c>
      <c r="E792" t="s">
        <v>1206</v>
      </c>
      <c r="F792" t="s">
        <v>1190</v>
      </c>
      <c r="G792" t="s">
        <v>616</v>
      </c>
      <c r="H792" t="s">
        <v>458</v>
      </c>
      <c r="I792" t="s">
        <v>374</v>
      </c>
      <c r="J792" t="s">
        <v>386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616</v>
      </c>
      <c r="B793" t="s">
        <v>617</v>
      </c>
      <c r="C793" t="s">
        <v>368</v>
      </c>
      <c r="D793" t="s">
        <v>523</v>
      </c>
      <c r="E793" t="s">
        <v>78</v>
      </c>
      <c r="F793" t="s">
        <v>1190</v>
      </c>
      <c r="G793" t="s">
        <v>616</v>
      </c>
      <c r="H793" t="s">
        <v>458</v>
      </c>
      <c r="I793" t="s">
        <v>374</v>
      </c>
      <c r="J793" t="s">
        <v>386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616</v>
      </c>
      <c r="B794" t="s">
        <v>617</v>
      </c>
      <c r="C794" t="s">
        <v>368</v>
      </c>
      <c r="D794" t="s">
        <v>523</v>
      </c>
      <c r="E794" t="s">
        <v>1207</v>
      </c>
      <c r="F794" t="s">
        <v>1190</v>
      </c>
      <c r="G794" t="s">
        <v>616</v>
      </c>
      <c r="H794" t="s">
        <v>458</v>
      </c>
      <c r="I794" t="s">
        <v>374</v>
      </c>
      <c r="J794" t="s">
        <v>386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616</v>
      </c>
      <c r="B795" t="s">
        <v>1208</v>
      </c>
      <c r="C795" t="s">
        <v>368</v>
      </c>
      <c r="D795" t="s">
        <v>523</v>
      </c>
      <c r="E795" t="s">
        <v>1209</v>
      </c>
      <c r="F795" t="s">
        <v>1210</v>
      </c>
      <c r="G795" t="s">
        <v>616</v>
      </c>
      <c r="H795" t="s">
        <v>458</v>
      </c>
      <c r="I795" t="s">
        <v>374</v>
      </c>
      <c r="J795" t="s">
        <v>1211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616</v>
      </c>
      <c r="B796" t="s">
        <v>1208</v>
      </c>
      <c r="C796" t="s">
        <v>368</v>
      </c>
      <c r="D796" t="s">
        <v>523</v>
      </c>
      <c r="E796" t="s">
        <v>1212</v>
      </c>
      <c r="F796" t="s">
        <v>1210</v>
      </c>
      <c r="G796" t="s">
        <v>616</v>
      </c>
      <c r="H796" t="s">
        <v>458</v>
      </c>
      <c r="I796" t="s">
        <v>374</v>
      </c>
      <c r="J796" t="s">
        <v>1211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616</v>
      </c>
      <c r="B797" t="s">
        <v>1208</v>
      </c>
      <c r="C797" t="s">
        <v>368</v>
      </c>
      <c r="D797" t="s">
        <v>523</v>
      </c>
      <c r="E797" t="s">
        <v>1213</v>
      </c>
      <c r="F797" t="s">
        <v>1210</v>
      </c>
      <c r="G797" t="s">
        <v>616</v>
      </c>
      <c r="H797" t="s">
        <v>458</v>
      </c>
      <c r="I797" t="s">
        <v>374</v>
      </c>
      <c r="J797" t="s">
        <v>1211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616</v>
      </c>
      <c r="B798" t="s">
        <v>1208</v>
      </c>
      <c r="C798" t="s">
        <v>368</v>
      </c>
      <c r="D798" t="s">
        <v>523</v>
      </c>
      <c r="E798" t="s">
        <v>1214</v>
      </c>
      <c r="F798" t="s">
        <v>1210</v>
      </c>
      <c r="G798" t="s">
        <v>616</v>
      </c>
      <c r="H798" t="s">
        <v>458</v>
      </c>
      <c r="I798" t="s">
        <v>374</v>
      </c>
      <c r="J798" t="s">
        <v>1211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616</v>
      </c>
      <c r="B799" t="s">
        <v>1208</v>
      </c>
      <c r="C799" t="s">
        <v>368</v>
      </c>
      <c r="D799" t="s">
        <v>523</v>
      </c>
      <c r="E799" t="s">
        <v>1215</v>
      </c>
      <c r="F799" t="s">
        <v>1210</v>
      </c>
      <c r="G799" t="s">
        <v>616</v>
      </c>
      <c r="H799" t="s">
        <v>458</v>
      </c>
      <c r="I799" t="s">
        <v>374</v>
      </c>
      <c r="J799" t="s">
        <v>1211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616</v>
      </c>
      <c r="B800" t="s">
        <v>1208</v>
      </c>
      <c r="C800" t="s">
        <v>368</v>
      </c>
      <c r="D800" t="s">
        <v>523</v>
      </c>
      <c r="E800" t="s">
        <v>1216</v>
      </c>
      <c r="F800" t="s">
        <v>1210</v>
      </c>
      <c r="G800" t="s">
        <v>616</v>
      </c>
      <c r="H800" t="s">
        <v>458</v>
      </c>
      <c r="I800" t="s">
        <v>374</v>
      </c>
      <c r="J800" t="s">
        <v>1211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616</v>
      </c>
      <c r="B801" t="s">
        <v>1208</v>
      </c>
      <c r="C801" t="s">
        <v>368</v>
      </c>
      <c r="D801" t="s">
        <v>523</v>
      </c>
      <c r="E801" t="s">
        <v>1217</v>
      </c>
      <c r="F801" t="s">
        <v>1210</v>
      </c>
      <c r="G801" t="s">
        <v>616</v>
      </c>
      <c r="H801" t="s">
        <v>458</v>
      </c>
      <c r="I801" t="s">
        <v>374</v>
      </c>
      <c r="J801" t="s">
        <v>1211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616</v>
      </c>
      <c r="B802" t="s">
        <v>1208</v>
      </c>
      <c r="C802" t="s">
        <v>368</v>
      </c>
      <c r="D802" t="s">
        <v>523</v>
      </c>
      <c r="E802" t="s">
        <v>1218</v>
      </c>
      <c r="F802" t="s">
        <v>1210</v>
      </c>
      <c r="G802" t="s">
        <v>616</v>
      </c>
      <c r="H802" t="s">
        <v>458</v>
      </c>
      <c r="I802" t="s">
        <v>374</v>
      </c>
      <c r="J802" t="s">
        <v>1211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616</v>
      </c>
      <c r="B803" t="s">
        <v>1208</v>
      </c>
      <c r="C803" t="s">
        <v>368</v>
      </c>
      <c r="D803" t="s">
        <v>523</v>
      </c>
      <c r="E803" t="s">
        <v>1219</v>
      </c>
      <c r="F803" t="s">
        <v>1210</v>
      </c>
      <c r="G803" t="s">
        <v>616</v>
      </c>
      <c r="H803" t="s">
        <v>458</v>
      </c>
      <c r="I803" t="s">
        <v>374</v>
      </c>
      <c r="J803" t="s">
        <v>1211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616</v>
      </c>
      <c r="B804" t="s">
        <v>1208</v>
      </c>
      <c r="C804" t="s">
        <v>368</v>
      </c>
      <c r="D804" t="s">
        <v>523</v>
      </c>
      <c r="E804" t="s">
        <v>1220</v>
      </c>
      <c r="F804" t="s">
        <v>1210</v>
      </c>
      <c r="G804" t="s">
        <v>616</v>
      </c>
      <c r="H804" t="s">
        <v>458</v>
      </c>
      <c r="I804" t="s">
        <v>374</v>
      </c>
      <c r="J804" t="s">
        <v>1211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616</v>
      </c>
      <c r="B805" t="s">
        <v>1208</v>
      </c>
      <c r="C805" t="s">
        <v>368</v>
      </c>
      <c r="D805" t="s">
        <v>523</v>
      </c>
      <c r="E805" t="s">
        <v>1221</v>
      </c>
      <c r="F805" t="s">
        <v>1210</v>
      </c>
      <c r="G805" t="s">
        <v>616</v>
      </c>
      <c r="H805" t="s">
        <v>458</v>
      </c>
      <c r="I805" t="s">
        <v>374</v>
      </c>
      <c r="J805" t="s">
        <v>1211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616</v>
      </c>
      <c r="B806" t="s">
        <v>1208</v>
      </c>
      <c r="C806" t="s">
        <v>368</v>
      </c>
      <c r="D806" t="s">
        <v>523</v>
      </c>
      <c r="E806" t="s">
        <v>1222</v>
      </c>
      <c r="F806" t="s">
        <v>1210</v>
      </c>
      <c r="G806" t="s">
        <v>616</v>
      </c>
      <c r="H806" t="s">
        <v>458</v>
      </c>
      <c r="I806" t="s">
        <v>374</v>
      </c>
      <c r="J806" t="s">
        <v>1211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616</v>
      </c>
      <c r="B807" t="s">
        <v>1208</v>
      </c>
      <c r="C807" t="s">
        <v>368</v>
      </c>
      <c r="D807" t="s">
        <v>523</v>
      </c>
      <c r="E807" t="s">
        <v>1223</v>
      </c>
      <c r="F807" t="s">
        <v>1210</v>
      </c>
      <c r="G807" t="s">
        <v>616</v>
      </c>
      <c r="H807" t="s">
        <v>458</v>
      </c>
      <c r="I807" t="s">
        <v>374</v>
      </c>
      <c r="J807" t="s">
        <v>1211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616</v>
      </c>
      <c r="B808" t="s">
        <v>1208</v>
      </c>
      <c r="C808" t="s">
        <v>368</v>
      </c>
      <c r="D808" t="s">
        <v>523</v>
      </c>
      <c r="E808" t="s">
        <v>1224</v>
      </c>
      <c r="F808" t="s">
        <v>1210</v>
      </c>
      <c r="G808" t="s">
        <v>616</v>
      </c>
      <c r="H808" t="s">
        <v>458</v>
      </c>
      <c r="I808" t="s">
        <v>374</v>
      </c>
      <c r="J808" t="s">
        <v>1211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616</v>
      </c>
      <c r="B809" t="s">
        <v>1208</v>
      </c>
      <c r="C809" t="s">
        <v>368</v>
      </c>
      <c r="D809" t="s">
        <v>523</v>
      </c>
      <c r="E809" t="s">
        <v>1225</v>
      </c>
      <c r="F809" t="s">
        <v>1210</v>
      </c>
      <c r="G809" t="s">
        <v>616</v>
      </c>
      <c r="H809" t="s">
        <v>458</v>
      </c>
      <c r="I809" t="s">
        <v>374</v>
      </c>
      <c r="J809" t="s">
        <v>1211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616</v>
      </c>
      <c r="B810" t="s">
        <v>1208</v>
      </c>
      <c r="C810" t="s">
        <v>609</v>
      </c>
      <c r="D810" t="s">
        <v>523</v>
      </c>
      <c r="E810" t="s">
        <v>1226</v>
      </c>
      <c r="F810" t="s">
        <v>1210</v>
      </c>
      <c r="G810" t="s">
        <v>616</v>
      </c>
      <c r="H810" t="s">
        <v>458</v>
      </c>
      <c r="I810" t="s">
        <v>374</v>
      </c>
      <c r="J810" t="s">
        <v>1211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616</v>
      </c>
      <c r="B811" t="s">
        <v>1208</v>
      </c>
      <c r="C811" t="s">
        <v>609</v>
      </c>
      <c r="D811" t="s">
        <v>523</v>
      </c>
      <c r="E811" t="s">
        <v>1227</v>
      </c>
      <c r="F811" t="s">
        <v>1210</v>
      </c>
      <c r="G811" t="s">
        <v>616</v>
      </c>
      <c r="H811" t="s">
        <v>458</v>
      </c>
      <c r="I811" t="s">
        <v>374</v>
      </c>
      <c r="J811" t="s">
        <v>1211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616</v>
      </c>
      <c r="B812" t="s">
        <v>1208</v>
      </c>
      <c r="C812" t="s">
        <v>609</v>
      </c>
      <c r="D812" t="s">
        <v>523</v>
      </c>
      <c r="E812" t="s">
        <v>1228</v>
      </c>
      <c r="F812" t="s">
        <v>1210</v>
      </c>
      <c r="G812" t="s">
        <v>616</v>
      </c>
      <c r="H812" t="s">
        <v>458</v>
      </c>
      <c r="I812" t="s">
        <v>374</v>
      </c>
      <c r="J812" t="s">
        <v>1211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616</v>
      </c>
      <c r="B813" t="s">
        <v>1208</v>
      </c>
      <c r="C813" t="s">
        <v>609</v>
      </c>
      <c r="D813" t="s">
        <v>523</v>
      </c>
      <c r="E813" t="s">
        <v>1229</v>
      </c>
      <c r="F813" t="s">
        <v>1210</v>
      </c>
      <c r="G813" t="s">
        <v>616</v>
      </c>
      <c r="H813" t="s">
        <v>458</v>
      </c>
      <c r="I813" t="s">
        <v>374</v>
      </c>
      <c r="J813" t="s">
        <v>1211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616</v>
      </c>
      <c r="B814" t="s">
        <v>1208</v>
      </c>
      <c r="C814" t="s">
        <v>609</v>
      </c>
      <c r="D814" t="s">
        <v>523</v>
      </c>
      <c r="E814" t="s">
        <v>1230</v>
      </c>
      <c r="F814" t="s">
        <v>1210</v>
      </c>
      <c r="G814" t="s">
        <v>616</v>
      </c>
      <c r="H814" t="s">
        <v>458</v>
      </c>
      <c r="I814" t="s">
        <v>374</v>
      </c>
      <c r="J814" t="s">
        <v>1211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616</v>
      </c>
      <c r="B815" t="s">
        <v>1208</v>
      </c>
      <c r="C815" t="s">
        <v>368</v>
      </c>
      <c r="D815" t="s">
        <v>523</v>
      </c>
      <c r="E815" t="s">
        <v>1231</v>
      </c>
      <c r="F815" t="s">
        <v>1210</v>
      </c>
      <c r="G815" t="s">
        <v>616</v>
      </c>
      <c r="H815" t="s">
        <v>458</v>
      </c>
      <c r="I815" t="s">
        <v>374</v>
      </c>
      <c r="J815" t="s">
        <v>1211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616</v>
      </c>
      <c r="B816" t="s">
        <v>1208</v>
      </c>
      <c r="C816" t="s">
        <v>368</v>
      </c>
      <c r="D816" t="s">
        <v>523</v>
      </c>
      <c r="E816" t="s">
        <v>1232</v>
      </c>
      <c r="F816" t="s">
        <v>1210</v>
      </c>
      <c r="G816" t="s">
        <v>616</v>
      </c>
      <c r="H816" t="s">
        <v>458</v>
      </c>
      <c r="I816" t="s">
        <v>374</v>
      </c>
      <c r="J816" t="s">
        <v>1211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616</v>
      </c>
      <c r="B817" t="s">
        <v>1233</v>
      </c>
      <c r="C817" t="s">
        <v>368</v>
      </c>
      <c r="D817" t="s">
        <v>523</v>
      </c>
      <c r="E817" t="s">
        <v>1234</v>
      </c>
      <c r="F817" t="s">
        <v>1235</v>
      </c>
      <c r="G817" t="s">
        <v>616</v>
      </c>
      <c r="H817" t="s">
        <v>458</v>
      </c>
      <c r="I817" t="s">
        <v>374</v>
      </c>
      <c r="J817" t="s">
        <v>1236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616</v>
      </c>
      <c r="B818" t="s">
        <v>1237</v>
      </c>
      <c r="C818" t="s">
        <v>368</v>
      </c>
      <c r="D818" t="s">
        <v>523</v>
      </c>
      <c r="E818" t="s">
        <v>1238</v>
      </c>
      <c r="F818" t="s">
        <v>1239</v>
      </c>
      <c r="G818" t="s">
        <v>616</v>
      </c>
      <c r="H818" t="s">
        <v>458</v>
      </c>
      <c r="I818" t="s">
        <v>374</v>
      </c>
      <c r="J818" t="s">
        <v>1240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616</v>
      </c>
      <c r="B819" t="s">
        <v>1237</v>
      </c>
      <c r="C819" t="s">
        <v>368</v>
      </c>
      <c r="D819" t="s">
        <v>523</v>
      </c>
      <c r="E819" t="s">
        <v>1241</v>
      </c>
      <c r="F819" t="s">
        <v>1239</v>
      </c>
      <c r="G819" t="s">
        <v>616</v>
      </c>
      <c r="H819" t="s">
        <v>458</v>
      </c>
      <c r="I819" t="s">
        <v>374</v>
      </c>
      <c r="J819" t="s">
        <v>1240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616</v>
      </c>
      <c r="B820" t="s">
        <v>1237</v>
      </c>
      <c r="C820" t="s">
        <v>368</v>
      </c>
      <c r="D820" t="s">
        <v>523</v>
      </c>
      <c r="E820" t="s">
        <v>1242</v>
      </c>
      <c r="F820" t="s">
        <v>1239</v>
      </c>
      <c r="G820" t="s">
        <v>616</v>
      </c>
      <c r="H820" t="s">
        <v>458</v>
      </c>
      <c r="I820" t="s">
        <v>374</v>
      </c>
      <c r="J820" t="s">
        <v>1240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616</v>
      </c>
      <c r="B821" t="s">
        <v>1237</v>
      </c>
      <c r="C821" t="s">
        <v>368</v>
      </c>
      <c r="D821" t="s">
        <v>523</v>
      </c>
      <c r="E821" t="s">
        <v>1243</v>
      </c>
      <c r="F821" t="s">
        <v>1239</v>
      </c>
      <c r="G821" t="s">
        <v>616</v>
      </c>
      <c r="H821" t="s">
        <v>458</v>
      </c>
      <c r="I821" t="s">
        <v>374</v>
      </c>
      <c r="J821" t="s">
        <v>1240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616</v>
      </c>
      <c r="B822" t="s">
        <v>1237</v>
      </c>
      <c r="C822" t="s">
        <v>368</v>
      </c>
      <c r="D822" t="s">
        <v>523</v>
      </c>
      <c r="E822" t="s">
        <v>1244</v>
      </c>
      <c r="F822" t="s">
        <v>1239</v>
      </c>
      <c r="G822" t="s">
        <v>616</v>
      </c>
      <c r="H822" t="s">
        <v>458</v>
      </c>
      <c r="I822" t="s">
        <v>374</v>
      </c>
      <c r="J822" t="s">
        <v>1240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616</v>
      </c>
      <c r="B823" t="s">
        <v>1237</v>
      </c>
      <c r="C823" t="s">
        <v>368</v>
      </c>
      <c r="D823" t="s">
        <v>523</v>
      </c>
      <c r="E823" t="s">
        <v>1245</v>
      </c>
      <c r="F823" t="s">
        <v>1239</v>
      </c>
      <c r="G823" t="s">
        <v>616</v>
      </c>
      <c r="H823" t="s">
        <v>458</v>
      </c>
      <c r="I823" t="s">
        <v>374</v>
      </c>
      <c r="J823" t="s">
        <v>1240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616</v>
      </c>
      <c r="B824" t="s">
        <v>1237</v>
      </c>
      <c r="C824" t="s">
        <v>368</v>
      </c>
      <c r="D824" t="s">
        <v>523</v>
      </c>
      <c r="E824" t="s">
        <v>1246</v>
      </c>
      <c r="F824" t="s">
        <v>1239</v>
      </c>
      <c r="G824" t="s">
        <v>616</v>
      </c>
      <c r="H824" t="s">
        <v>458</v>
      </c>
      <c r="I824" t="s">
        <v>374</v>
      </c>
      <c r="J824" t="s">
        <v>1240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616</v>
      </c>
      <c r="B825" t="s">
        <v>1237</v>
      </c>
      <c r="C825" t="s">
        <v>368</v>
      </c>
      <c r="D825" t="s">
        <v>523</v>
      </c>
      <c r="E825" t="s">
        <v>1247</v>
      </c>
      <c r="F825" t="s">
        <v>1239</v>
      </c>
      <c r="G825" t="s">
        <v>616</v>
      </c>
      <c r="H825" t="s">
        <v>458</v>
      </c>
      <c r="I825" t="s">
        <v>374</v>
      </c>
      <c r="J825" t="s">
        <v>1240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616</v>
      </c>
      <c r="B826" t="s">
        <v>1237</v>
      </c>
      <c r="C826" t="s">
        <v>368</v>
      </c>
      <c r="D826" t="s">
        <v>523</v>
      </c>
      <c r="E826" t="s">
        <v>1248</v>
      </c>
      <c r="F826" t="s">
        <v>1239</v>
      </c>
      <c r="G826" t="s">
        <v>616</v>
      </c>
      <c r="H826" t="s">
        <v>458</v>
      </c>
      <c r="I826" t="s">
        <v>374</v>
      </c>
      <c r="J826" t="s">
        <v>1240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616</v>
      </c>
      <c r="B827" t="s">
        <v>1237</v>
      </c>
      <c r="C827" t="s">
        <v>368</v>
      </c>
      <c r="D827" t="s">
        <v>523</v>
      </c>
      <c r="E827" t="s">
        <v>1249</v>
      </c>
      <c r="F827" t="s">
        <v>1239</v>
      </c>
      <c r="G827" t="s">
        <v>616</v>
      </c>
      <c r="H827" t="s">
        <v>458</v>
      </c>
      <c r="I827" t="s">
        <v>374</v>
      </c>
      <c r="J827" t="s">
        <v>1240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616</v>
      </c>
      <c r="B828" t="s">
        <v>1237</v>
      </c>
      <c r="C828" t="s">
        <v>368</v>
      </c>
      <c r="D828" t="s">
        <v>523</v>
      </c>
      <c r="E828" t="s">
        <v>1250</v>
      </c>
      <c r="F828" t="s">
        <v>1239</v>
      </c>
      <c r="G828" t="s">
        <v>616</v>
      </c>
      <c r="H828" t="s">
        <v>458</v>
      </c>
      <c r="I828" t="s">
        <v>374</v>
      </c>
      <c r="J828" t="s">
        <v>1240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616</v>
      </c>
      <c r="B829" t="s">
        <v>1237</v>
      </c>
      <c r="C829" t="s">
        <v>368</v>
      </c>
      <c r="D829" t="s">
        <v>523</v>
      </c>
      <c r="E829" t="s">
        <v>1251</v>
      </c>
      <c r="F829" t="s">
        <v>1239</v>
      </c>
      <c r="G829" t="s">
        <v>616</v>
      </c>
      <c r="H829" t="s">
        <v>458</v>
      </c>
      <c r="I829" t="s">
        <v>374</v>
      </c>
      <c r="J829" t="s">
        <v>1240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616</v>
      </c>
      <c r="B830" t="s">
        <v>1237</v>
      </c>
      <c r="C830" t="s">
        <v>368</v>
      </c>
      <c r="D830" t="s">
        <v>523</v>
      </c>
      <c r="E830" t="s">
        <v>1252</v>
      </c>
      <c r="F830" t="s">
        <v>1239</v>
      </c>
      <c r="G830" t="s">
        <v>616</v>
      </c>
      <c r="H830" t="s">
        <v>458</v>
      </c>
      <c r="I830" t="s">
        <v>374</v>
      </c>
      <c r="J830" t="s">
        <v>1240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616</v>
      </c>
      <c r="B831" t="s">
        <v>1237</v>
      </c>
      <c r="C831" t="s">
        <v>368</v>
      </c>
      <c r="D831" t="s">
        <v>523</v>
      </c>
      <c r="E831" t="s">
        <v>1253</v>
      </c>
      <c r="F831" t="s">
        <v>1239</v>
      </c>
      <c r="G831" t="s">
        <v>616</v>
      </c>
      <c r="H831" t="s">
        <v>458</v>
      </c>
      <c r="I831" t="s">
        <v>374</v>
      </c>
      <c r="J831" t="s">
        <v>1240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616</v>
      </c>
      <c r="B832" t="s">
        <v>1237</v>
      </c>
      <c r="C832" t="s">
        <v>368</v>
      </c>
      <c r="D832" t="s">
        <v>523</v>
      </c>
      <c r="E832" t="s">
        <v>1254</v>
      </c>
      <c r="F832" t="s">
        <v>1239</v>
      </c>
      <c r="G832" t="s">
        <v>616</v>
      </c>
      <c r="H832" t="s">
        <v>458</v>
      </c>
      <c r="I832" t="s">
        <v>374</v>
      </c>
      <c r="J832" t="s">
        <v>1240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616</v>
      </c>
      <c r="B833" t="s">
        <v>1237</v>
      </c>
      <c r="C833" t="s">
        <v>609</v>
      </c>
      <c r="D833" t="s">
        <v>523</v>
      </c>
      <c r="E833" t="s">
        <v>1255</v>
      </c>
      <c r="F833" t="s">
        <v>1239</v>
      </c>
      <c r="G833" t="s">
        <v>616</v>
      </c>
      <c r="H833" t="s">
        <v>458</v>
      </c>
      <c r="I833" t="s">
        <v>374</v>
      </c>
      <c r="J833" t="s">
        <v>1240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616</v>
      </c>
      <c r="B834" t="s">
        <v>1237</v>
      </c>
      <c r="C834" t="s">
        <v>609</v>
      </c>
      <c r="D834" t="s">
        <v>523</v>
      </c>
      <c r="E834" t="s">
        <v>1256</v>
      </c>
      <c r="F834" t="s">
        <v>1239</v>
      </c>
      <c r="G834" t="s">
        <v>616</v>
      </c>
      <c r="H834" t="s">
        <v>458</v>
      </c>
      <c r="I834" t="s">
        <v>374</v>
      </c>
      <c r="J834" t="s">
        <v>1240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616</v>
      </c>
      <c r="B835" t="s">
        <v>1237</v>
      </c>
      <c r="C835" t="s">
        <v>609</v>
      </c>
      <c r="D835" t="s">
        <v>523</v>
      </c>
      <c r="E835" t="s">
        <v>1257</v>
      </c>
      <c r="F835" t="s">
        <v>1239</v>
      </c>
      <c r="G835" t="s">
        <v>616</v>
      </c>
      <c r="H835" t="s">
        <v>458</v>
      </c>
      <c r="I835" t="s">
        <v>374</v>
      </c>
      <c r="J835" t="s">
        <v>1240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616</v>
      </c>
      <c r="B836" t="s">
        <v>1237</v>
      </c>
      <c r="C836" t="s">
        <v>609</v>
      </c>
      <c r="D836" t="s">
        <v>523</v>
      </c>
      <c r="E836" t="s">
        <v>1258</v>
      </c>
      <c r="F836" t="s">
        <v>1239</v>
      </c>
      <c r="G836" t="s">
        <v>616</v>
      </c>
      <c r="H836" t="s">
        <v>458</v>
      </c>
      <c r="I836" t="s">
        <v>374</v>
      </c>
      <c r="J836" t="s">
        <v>1240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616</v>
      </c>
      <c r="B837" t="s">
        <v>1237</v>
      </c>
      <c r="C837" t="s">
        <v>609</v>
      </c>
      <c r="D837" t="s">
        <v>523</v>
      </c>
      <c r="E837" t="s">
        <v>1259</v>
      </c>
      <c r="F837" t="s">
        <v>1239</v>
      </c>
      <c r="G837" t="s">
        <v>616</v>
      </c>
      <c r="H837" t="s">
        <v>458</v>
      </c>
      <c r="I837" t="s">
        <v>374</v>
      </c>
      <c r="J837" t="s">
        <v>1240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616</v>
      </c>
      <c r="B838" t="s">
        <v>1237</v>
      </c>
      <c r="C838" t="s">
        <v>368</v>
      </c>
      <c r="D838" t="s">
        <v>523</v>
      </c>
      <c r="E838" t="s">
        <v>1260</v>
      </c>
      <c r="F838" t="s">
        <v>1239</v>
      </c>
      <c r="G838" t="s">
        <v>616</v>
      </c>
      <c r="H838" t="s">
        <v>458</v>
      </c>
      <c r="I838" t="s">
        <v>374</v>
      </c>
      <c r="J838" t="s">
        <v>1240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616</v>
      </c>
      <c r="B839" t="s">
        <v>1237</v>
      </c>
      <c r="C839" t="s">
        <v>368</v>
      </c>
      <c r="D839" t="s">
        <v>523</v>
      </c>
      <c r="E839" t="s">
        <v>1261</v>
      </c>
      <c r="F839" t="s">
        <v>1239</v>
      </c>
      <c r="G839" t="s">
        <v>616</v>
      </c>
      <c r="H839" t="s">
        <v>458</v>
      </c>
      <c r="I839" t="s">
        <v>374</v>
      </c>
      <c r="J839" t="s">
        <v>1240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616</v>
      </c>
      <c r="B840" t="s">
        <v>1262</v>
      </c>
      <c r="C840" t="s">
        <v>368</v>
      </c>
      <c r="D840" t="s">
        <v>523</v>
      </c>
      <c r="E840" t="s">
        <v>1263</v>
      </c>
      <c r="F840" t="s">
        <v>1264</v>
      </c>
      <c r="G840" t="s">
        <v>616</v>
      </c>
      <c r="H840" t="s">
        <v>458</v>
      </c>
      <c r="I840" t="s">
        <v>374</v>
      </c>
      <c r="J840" t="s">
        <v>1265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616</v>
      </c>
      <c r="B841" t="s">
        <v>1262</v>
      </c>
      <c r="C841" t="s">
        <v>368</v>
      </c>
      <c r="D841" t="s">
        <v>523</v>
      </c>
      <c r="E841" t="s">
        <v>1266</v>
      </c>
      <c r="F841" t="s">
        <v>1264</v>
      </c>
      <c r="G841" t="s">
        <v>616</v>
      </c>
      <c r="H841" t="s">
        <v>458</v>
      </c>
      <c r="I841" t="s">
        <v>374</v>
      </c>
      <c r="J841" t="s">
        <v>1265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616</v>
      </c>
      <c r="B842" t="s">
        <v>1262</v>
      </c>
      <c r="C842" t="s">
        <v>368</v>
      </c>
      <c r="D842" t="s">
        <v>523</v>
      </c>
      <c r="E842" t="s">
        <v>1267</v>
      </c>
      <c r="F842" t="s">
        <v>1264</v>
      </c>
      <c r="G842" t="s">
        <v>616</v>
      </c>
      <c r="H842" t="s">
        <v>458</v>
      </c>
      <c r="I842" t="s">
        <v>374</v>
      </c>
      <c r="J842" t="s">
        <v>1265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616</v>
      </c>
      <c r="B843" t="s">
        <v>1262</v>
      </c>
      <c r="C843" t="s">
        <v>368</v>
      </c>
      <c r="D843" t="s">
        <v>523</v>
      </c>
      <c r="E843" t="s">
        <v>1268</v>
      </c>
      <c r="F843" t="s">
        <v>1264</v>
      </c>
      <c r="G843" t="s">
        <v>616</v>
      </c>
      <c r="H843" t="s">
        <v>458</v>
      </c>
      <c r="I843" t="s">
        <v>374</v>
      </c>
      <c r="J843" t="s">
        <v>1265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616</v>
      </c>
      <c r="B844" t="s">
        <v>1262</v>
      </c>
      <c r="C844" t="s">
        <v>368</v>
      </c>
      <c r="D844" t="s">
        <v>523</v>
      </c>
      <c r="E844" t="s">
        <v>1269</v>
      </c>
      <c r="F844" t="s">
        <v>1264</v>
      </c>
      <c r="G844" t="s">
        <v>616</v>
      </c>
      <c r="H844" t="s">
        <v>458</v>
      </c>
      <c r="I844" t="s">
        <v>374</v>
      </c>
      <c r="J844" t="s">
        <v>1265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616</v>
      </c>
      <c r="B845" t="s">
        <v>1262</v>
      </c>
      <c r="C845" t="s">
        <v>368</v>
      </c>
      <c r="D845" t="s">
        <v>523</v>
      </c>
      <c r="E845" t="s">
        <v>1270</v>
      </c>
      <c r="F845" t="s">
        <v>1264</v>
      </c>
      <c r="G845" t="s">
        <v>616</v>
      </c>
      <c r="H845" t="s">
        <v>458</v>
      </c>
      <c r="I845" t="s">
        <v>374</v>
      </c>
      <c r="J845" t="s">
        <v>1265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616</v>
      </c>
      <c r="B846" t="s">
        <v>1262</v>
      </c>
      <c r="C846" t="s">
        <v>368</v>
      </c>
      <c r="D846" t="s">
        <v>523</v>
      </c>
      <c r="E846" t="s">
        <v>1271</v>
      </c>
      <c r="F846" t="s">
        <v>1264</v>
      </c>
      <c r="G846" t="s">
        <v>616</v>
      </c>
      <c r="H846" t="s">
        <v>458</v>
      </c>
      <c r="I846" t="s">
        <v>374</v>
      </c>
      <c r="J846" t="s">
        <v>1265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616</v>
      </c>
      <c r="B847" t="s">
        <v>1262</v>
      </c>
      <c r="C847" t="s">
        <v>368</v>
      </c>
      <c r="D847" t="s">
        <v>523</v>
      </c>
      <c r="E847" t="s">
        <v>1272</v>
      </c>
      <c r="F847" t="s">
        <v>1264</v>
      </c>
      <c r="G847" t="s">
        <v>616</v>
      </c>
      <c r="H847" t="s">
        <v>458</v>
      </c>
      <c r="I847" t="s">
        <v>374</v>
      </c>
      <c r="J847" t="s">
        <v>1265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616</v>
      </c>
      <c r="B848" t="s">
        <v>1262</v>
      </c>
      <c r="C848" t="s">
        <v>368</v>
      </c>
      <c r="D848" t="s">
        <v>523</v>
      </c>
      <c r="E848" t="s">
        <v>1273</v>
      </c>
      <c r="F848" t="s">
        <v>1264</v>
      </c>
      <c r="G848" t="s">
        <v>616</v>
      </c>
      <c r="H848" t="s">
        <v>458</v>
      </c>
      <c r="I848" t="s">
        <v>374</v>
      </c>
      <c r="J848" t="s">
        <v>1265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616</v>
      </c>
      <c r="B849" t="s">
        <v>1262</v>
      </c>
      <c r="C849" t="s">
        <v>368</v>
      </c>
      <c r="D849" t="s">
        <v>523</v>
      </c>
      <c r="E849" t="s">
        <v>1274</v>
      </c>
      <c r="F849" t="s">
        <v>1264</v>
      </c>
      <c r="G849" t="s">
        <v>616</v>
      </c>
      <c r="H849" t="s">
        <v>458</v>
      </c>
      <c r="I849" t="s">
        <v>374</v>
      </c>
      <c r="J849" t="s">
        <v>1265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616</v>
      </c>
      <c r="B850" t="s">
        <v>1262</v>
      </c>
      <c r="C850" t="s">
        <v>368</v>
      </c>
      <c r="D850" t="s">
        <v>523</v>
      </c>
      <c r="E850" t="s">
        <v>1275</v>
      </c>
      <c r="F850" t="s">
        <v>1264</v>
      </c>
      <c r="G850" t="s">
        <v>616</v>
      </c>
      <c r="H850" t="s">
        <v>458</v>
      </c>
      <c r="I850" t="s">
        <v>374</v>
      </c>
      <c r="J850" t="s">
        <v>1265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616</v>
      </c>
      <c r="B851" t="s">
        <v>1262</v>
      </c>
      <c r="C851" t="s">
        <v>368</v>
      </c>
      <c r="D851" t="s">
        <v>523</v>
      </c>
      <c r="E851" t="s">
        <v>1276</v>
      </c>
      <c r="F851" t="s">
        <v>1264</v>
      </c>
      <c r="G851" t="s">
        <v>616</v>
      </c>
      <c r="H851" t="s">
        <v>458</v>
      </c>
      <c r="I851" t="s">
        <v>374</v>
      </c>
      <c r="J851" t="s">
        <v>1265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616</v>
      </c>
      <c r="B852" t="s">
        <v>1262</v>
      </c>
      <c r="C852" t="s">
        <v>368</v>
      </c>
      <c r="D852" t="s">
        <v>523</v>
      </c>
      <c r="E852" t="s">
        <v>1277</v>
      </c>
      <c r="F852" t="s">
        <v>1264</v>
      </c>
      <c r="G852" t="s">
        <v>616</v>
      </c>
      <c r="H852" t="s">
        <v>458</v>
      </c>
      <c r="I852" t="s">
        <v>374</v>
      </c>
      <c r="J852" t="s">
        <v>1265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616</v>
      </c>
      <c r="B853" t="s">
        <v>1262</v>
      </c>
      <c r="C853" t="s">
        <v>609</v>
      </c>
      <c r="D853" t="s">
        <v>523</v>
      </c>
      <c r="E853" t="s">
        <v>1278</v>
      </c>
      <c r="F853" t="s">
        <v>1264</v>
      </c>
      <c r="G853" t="s">
        <v>616</v>
      </c>
      <c r="H853" t="s">
        <v>458</v>
      </c>
      <c r="I853" t="s">
        <v>374</v>
      </c>
      <c r="J853" t="s">
        <v>1265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616</v>
      </c>
      <c r="B854" t="s">
        <v>1262</v>
      </c>
      <c r="C854" t="s">
        <v>609</v>
      </c>
      <c r="D854" t="s">
        <v>523</v>
      </c>
      <c r="E854" t="s">
        <v>1279</v>
      </c>
      <c r="F854" t="s">
        <v>1264</v>
      </c>
      <c r="G854" t="s">
        <v>616</v>
      </c>
      <c r="H854" t="s">
        <v>458</v>
      </c>
      <c r="I854" t="s">
        <v>374</v>
      </c>
      <c r="J854" t="s">
        <v>1265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616</v>
      </c>
      <c r="B855" t="s">
        <v>1262</v>
      </c>
      <c r="C855" t="s">
        <v>609</v>
      </c>
      <c r="D855" t="s">
        <v>523</v>
      </c>
      <c r="E855" t="s">
        <v>1280</v>
      </c>
      <c r="F855" t="s">
        <v>1264</v>
      </c>
      <c r="G855" t="s">
        <v>616</v>
      </c>
      <c r="H855" t="s">
        <v>458</v>
      </c>
      <c r="I855" t="s">
        <v>374</v>
      </c>
      <c r="J855" t="s">
        <v>1265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616</v>
      </c>
      <c r="B856" t="s">
        <v>1262</v>
      </c>
      <c r="C856" t="s">
        <v>609</v>
      </c>
      <c r="D856" t="s">
        <v>523</v>
      </c>
      <c r="E856" t="s">
        <v>1281</v>
      </c>
      <c r="F856" t="s">
        <v>1264</v>
      </c>
      <c r="G856" t="s">
        <v>616</v>
      </c>
      <c r="H856" t="s">
        <v>458</v>
      </c>
      <c r="I856" t="s">
        <v>374</v>
      </c>
      <c r="J856" t="s">
        <v>1265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616</v>
      </c>
      <c r="B857" t="s">
        <v>1262</v>
      </c>
      <c r="C857" t="s">
        <v>609</v>
      </c>
      <c r="D857" t="s">
        <v>523</v>
      </c>
      <c r="E857" t="s">
        <v>1282</v>
      </c>
      <c r="F857" t="s">
        <v>1264</v>
      </c>
      <c r="G857" t="s">
        <v>616</v>
      </c>
      <c r="H857" t="s">
        <v>458</v>
      </c>
      <c r="I857" t="s">
        <v>374</v>
      </c>
      <c r="J857" t="s">
        <v>1265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616</v>
      </c>
      <c r="B858" t="s">
        <v>1262</v>
      </c>
      <c r="C858" t="s">
        <v>368</v>
      </c>
      <c r="D858" t="s">
        <v>523</v>
      </c>
      <c r="E858" t="s">
        <v>1283</v>
      </c>
      <c r="F858" t="s">
        <v>1264</v>
      </c>
      <c r="G858" t="s">
        <v>616</v>
      </c>
      <c r="H858" t="s">
        <v>458</v>
      </c>
      <c r="I858" t="s">
        <v>374</v>
      </c>
      <c r="J858" t="s">
        <v>1265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616</v>
      </c>
      <c r="B859" t="s">
        <v>1262</v>
      </c>
      <c r="C859" t="s">
        <v>368</v>
      </c>
      <c r="D859" t="s">
        <v>523</v>
      </c>
      <c r="E859" t="s">
        <v>1284</v>
      </c>
      <c r="F859" t="s">
        <v>1264</v>
      </c>
      <c r="G859" t="s">
        <v>616</v>
      </c>
      <c r="H859" t="s">
        <v>458</v>
      </c>
      <c r="I859" t="s">
        <v>374</v>
      </c>
      <c r="J859" t="s">
        <v>1265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616</v>
      </c>
      <c r="B860" t="s">
        <v>1285</v>
      </c>
      <c r="C860" t="s">
        <v>368</v>
      </c>
      <c r="D860" t="s">
        <v>523</v>
      </c>
      <c r="E860" t="s">
        <v>1286</v>
      </c>
      <c r="F860" t="s">
        <v>1287</v>
      </c>
      <c r="G860" t="s">
        <v>616</v>
      </c>
      <c r="H860" t="s">
        <v>458</v>
      </c>
      <c r="I860" t="s">
        <v>374</v>
      </c>
      <c r="J860" t="s">
        <v>1288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616</v>
      </c>
      <c r="B861" t="s">
        <v>1285</v>
      </c>
      <c r="C861" t="s">
        <v>368</v>
      </c>
      <c r="D861" t="s">
        <v>523</v>
      </c>
      <c r="E861" t="s">
        <v>1289</v>
      </c>
      <c r="F861" t="s">
        <v>1287</v>
      </c>
      <c r="G861" t="s">
        <v>616</v>
      </c>
      <c r="H861" t="s">
        <v>458</v>
      </c>
      <c r="I861" t="s">
        <v>374</v>
      </c>
      <c r="J861" t="s">
        <v>1288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616</v>
      </c>
      <c r="B862" t="s">
        <v>1285</v>
      </c>
      <c r="C862" t="s">
        <v>368</v>
      </c>
      <c r="D862" t="s">
        <v>523</v>
      </c>
      <c r="E862" t="s">
        <v>1290</v>
      </c>
      <c r="F862" t="s">
        <v>1287</v>
      </c>
      <c r="G862" t="s">
        <v>616</v>
      </c>
      <c r="H862" t="s">
        <v>458</v>
      </c>
      <c r="I862" t="s">
        <v>374</v>
      </c>
      <c r="J862" t="s">
        <v>1288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616</v>
      </c>
      <c r="B863" t="s">
        <v>1285</v>
      </c>
      <c r="C863" t="s">
        <v>368</v>
      </c>
      <c r="D863" t="s">
        <v>523</v>
      </c>
      <c r="E863" t="s">
        <v>1291</v>
      </c>
      <c r="F863" t="s">
        <v>1287</v>
      </c>
      <c r="G863" t="s">
        <v>616</v>
      </c>
      <c r="H863" t="s">
        <v>458</v>
      </c>
      <c r="I863" t="s">
        <v>374</v>
      </c>
      <c r="J863" t="s">
        <v>1288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616</v>
      </c>
      <c r="B864" t="s">
        <v>1285</v>
      </c>
      <c r="C864" t="s">
        <v>368</v>
      </c>
      <c r="D864" t="s">
        <v>523</v>
      </c>
      <c r="E864" t="s">
        <v>1292</v>
      </c>
      <c r="F864" t="s">
        <v>1287</v>
      </c>
      <c r="G864" t="s">
        <v>616</v>
      </c>
      <c r="H864" t="s">
        <v>458</v>
      </c>
      <c r="I864" t="s">
        <v>374</v>
      </c>
      <c r="J864" t="s">
        <v>1288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616</v>
      </c>
      <c r="B865" t="s">
        <v>1285</v>
      </c>
      <c r="C865" t="s">
        <v>368</v>
      </c>
      <c r="D865" t="s">
        <v>523</v>
      </c>
      <c r="E865" t="s">
        <v>1293</v>
      </c>
      <c r="F865" t="s">
        <v>1287</v>
      </c>
      <c r="G865" t="s">
        <v>616</v>
      </c>
      <c r="H865" t="s">
        <v>458</v>
      </c>
      <c r="I865" t="s">
        <v>374</v>
      </c>
      <c r="J865" t="s">
        <v>1288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616</v>
      </c>
      <c r="B866" t="s">
        <v>1285</v>
      </c>
      <c r="C866" t="s">
        <v>368</v>
      </c>
      <c r="D866" t="s">
        <v>523</v>
      </c>
      <c r="E866" t="s">
        <v>1294</v>
      </c>
      <c r="F866" t="s">
        <v>1287</v>
      </c>
      <c r="G866" t="s">
        <v>616</v>
      </c>
      <c r="H866" t="s">
        <v>458</v>
      </c>
      <c r="I866" t="s">
        <v>374</v>
      </c>
      <c r="J866" t="s">
        <v>1288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616</v>
      </c>
      <c r="B867" t="s">
        <v>1285</v>
      </c>
      <c r="C867" t="s">
        <v>368</v>
      </c>
      <c r="D867" t="s">
        <v>523</v>
      </c>
      <c r="E867" t="s">
        <v>1295</v>
      </c>
      <c r="F867" t="s">
        <v>1287</v>
      </c>
      <c r="G867" t="s">
        <v>616</v>
      </c>
      <c r="H867" t="s">
        <v>458</v>
      </c>
      <c r="I867" t="s">
        <v>374</v>
      </c>
      <c r="J867" t="s">
        <v>1288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616</v>
      </c>
      <c r="B868" t="s">
        <v>1285</v>
      </c>
      <c r="C868" t="s">
        <v>368</v>
      </c>
      <c r="D868" t="s">
        <v>523</v>
      </c>
      <c r="E868" t="s">
        <v>1296</v>
      </c>
      <c r="F868" t="s">
        <v>1287</v>
      </c>
      <c r="G868" t="s">
        <v>616</v>
      </c>
      <c r="H868" t="s">
        <v>458</v>
      </c>
      <c r="I868" t="s">
        <v>374</v>
      </c>
      <c r="J868" t="s">
        <v>1288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616</v>
      </c>
      <c r="B869" t="s">
        <v>1285</v>
      </c>
      <c r="C869" t="s">
        <v>368</v>
      </c>
      <c r="D869" t="s">
        <v>523</v>
      </c>
      <c r="E869" t="s">
        <v>1297</v>
      </c>
      <c r="F869" t="s">
        <v>1287</v>
      </c>
      <c r="G869" t="s">
        <v>616</v>
      </c>
      <c r="H869" t="s">
        <v>458</v>
      </c>
      <c r="I869" t="s">
        <v>374</v>
      </c>
      <c r="J869" t="s">
        <v>1288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616</v>
      </c>
      <c r="B870" t="s">
        <v>1285</v>
      </c>
      <c r="C870" t="s">
        <v>368</v>
      </c>
      <c r="D870" t="s">
        <v>523</v>
      </c>
      <c r="E870" t="s">
        <v>1298</v>
      </c>
      <c r="F870" t="s">
        <v>1287</v>
      </c>
      <c r="G870" t="s">
        <v>616</v>
      </c>
      <c r="H870" t="s">
        <v>458</v>
      </c>
      <c r="I870" t="s">
        <v>374</v>
      </c>
      <c r="J870" t="s">
        <v>1288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616</v>
      </c>
      <c r="B871" t="s">
        <v>1285</v>
      </c>
      <c r="C871" t="s">
        <v>368</v>
      </c>
      <c r="D871" t="s">
        <v>523</v>
      </c>
      <c r="E871" t="s">
        <v>1299</v>
      </c>
      <c r="F871" t="s">
        <v>1287</v>
      </c>
      <c r="G871" t="s">
        <v>616</v>
      </c>
      <c r="H871" t="s">
        <v>458</v>
      </c>
      <c r="I871" t="s">
        <v>374</v>
      </c>
      <c r="J871" t="s">
        <v>1288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616</v>
      </c>
      <c r="B872" t="s">
        <v>1285</v>
      </c>
      <c r="C872" t="s">
        <v>368</v>
      </c>
      <c r="D872" t="s">
        <v>523</v>
      </c>
      <c r="E872" t="s">
        <v>1300</v>
      </c>
      <c r="F872" t="s">
        <v>1287</v>
      </c>
      <c r="G872" t="s">
        <v>616</v>
      </c>
      <c r="H872" t="s">
        <v>458</v>
      </c>
      <c r="I872" t="s">
        <v>374</v>
      </c>
      <c r="J872" t="s">
        <v>1288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616</v>
      </c>
      <c r="B873" t="s">
        <v>1285</v>
      </c>
      <c r="C873" t="s">
        <v>368</v>
      </c>
      <c r="D873" t="s">
        <v>523</v>
      </c>
      <c r="E873" t="s">
        <v>1301</v>
      </c>
      <c r="F873" t="s">
        <v>1287</v>
      </c>
      <c r="G873" t="s">
        <v>616</v>
      </c>
      <c r="H873" t="s">
        <v>458</v>
      </c>
      <c r="I873" t="s">
        <v>374</v>
      </c>
      <c r="J873" t="s">
        <v>1288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616</v>
      </c>
      <c r="B874" t="s">
        <v>1285</v>
      </c>
      <c r="C874" t="s">
        <v>368</v>
      </c>
      <c r="D874" t="s">
        <v>523</v>
      </c>
      <c r="E874" t="s">
        <v>1302</v>
      </c>
      <c r="F874" t="s">
        <v>1287</v>
      </c>
      <c r="G874" t="s">
        <v>616</v>
      </c>
      <c r="H874" t="s">
        <v>458</v>
      </c>
      <c r="I874" t="s">
        <v>374</v>
      </c>
      <c r="J874" t="s">
        <v>1288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616</v>
      </c>
      <c r="B875" t="s">
        <v>1285</v>
      </c>
      <c r="C875" t="s">
        <v>609</v>
      </c>
      <c r="D875" t="s">
        <v>523</v>
      </c>
      <c r="E875" t="s">
        <v>1303</v>
      </c>
      <c r="F875" t="s">
        <v>1287</v>
      </c>
      <c r="G875" t="s">
        <v>616</v>
      </c>
      <c r="H875" t="s">
        <v>458</v>
      </c>
      <c r="I875" t="s">
        <v>374</v>
      </c>
      <c r="J875" t="s">
        <v>1288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616</v>
      </c>
      <c r="B876" t="s">
        <v>1285</v>
      </c>
      <c r="C876" t="s">
        <v>609</v>
      </c>
      <c r="D876" t="s">
        <v>523</v>
      </c>
      <c r="E876" t="s">
        <v>1304</v>
      </c>
      <c r="F876" t="s">
        <v>1287</v>
      </c>
      <c r="G876" t="s">
        <v>616</v>
      </c>
      <c r="H876" t="s">
        <v>458</v>
      </c>
      <c r="I876" t="s">
        <v>374</v>
      </c>
      <c r="J876" t="s">
        <v>1288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616</v>
      </c>
      <c r="B877" t="s">
        <v>1285</v>
      </c>
      <c r="C877" t="s">
        <v>609</v>
      </c>
      <c r="D877" t="s">
        <v>523</v>
      </c>
      <c r="E877" t="s">
        <v>1305</v>
      </c>
      <c r="F877" t="s">
        <v>1287</v>
      </c>
      <c r="G877" t="s">
        <v>616</v>
      </c>
      <c r="H877" t="s">
        <v>458</v>
      </c>
      <c r="I877" t="s">
        <v>374</v>
      </c>
      <c r="J877" t="s">
        <v>1288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616</v>
      </c>
      <c r="B878" t="s">
        <v>1285</v>
      </c>
      <c r="C878" t="s">
        <v>609</v>
      </c>
      <c r="D878" t="s">
        <v>523</v>
      </c>
      <c r="E878" t="s">
        <v>1306</v>
      </c>
      <c r="F878" t="s">
        <v>1287</v>
      </c>
      <c r="G878" t="s">
        <v>616</v>
      </c>
      <c r="H878" t="s">
        <v>458</v>
      </c>
      <c r="I878" t="s">
        <v>374</v>
      </c>
      <c r="J878" t="s">
        <v>1288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616</v>
      </c>
      <c r="B879" t="s">
        <v>1285</v>
      </c>
      <c r="C879" t="s">
        <v>609</v>
      </c>
      <c r="D879" t="s">
        <v>523</v>
      </c>
      <c r="E879" t="s">
        <v>1307</v>
      </c>
      <c r="F879" t="s">
        <v>1287</v>
      </c>
      <c r="G879" t="s">
        <v>616</v>
      </c>
      <c r="H879" t="s">
        <v>458</v>
      </c>
      <c r="I879" t="s">
        <v>374</v>
      </c>
      <c r="J879" t="s">
        <v>1288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616</v>
      </c>
      <c r="B880" t="s">
        <v>1285</v>
      </c>
      <c r="C880" t="s">
        <v>368</v>
      </c>
      <c r="D880" t="s">
        <v>523</v>
      </c>
      <c r="E880" t="s">
        <v>1308</v>
      </c>
      <c r="F880" t="s">
        <v>1287</v>
      </c>
      <c r="G880" t="s">
        <v>616</v>
      </c>
      <c r="H880" t="s">
        <v>458</v>
      </c>
      <c r="I880" t="s">
        <v>374</v>
      </c>
      <c r="J880" t="s">
        <v>1288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616</v>
      </c>
      <c r="B881" t="s">
        <v>1285</v>
      </c>
      <c r="C881" t="s">
        <v>368</v>
      </c>
      <c r="D881" t="s">
        <v>523</v>
      </c>
      <c r="E881" t="s">
        <v>1309</v>
      </c>
      <c r="F881" t="s">
        <v>1287</v>
      </c>
      <c r="G881" t="s">
        <v>616</v>
      </c>
      <c r="H881" t="s">
        <v>458</v>
      </c>
      <c r="I881" t="s">
        <v>374</v>
      </c>
      <c r="J881" t="s">
        <v>1288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616</v>
      </c>
      <c r="B882" t="s">
        <v>1310</v>
      </c>
      <c r="C882" t="s">
        <v>368</v>
      </c>
      <c r="D882" t="s">
        <v>523</v>
      </c>
      <c r="E882" t="s">
        <v>1311</v>
      </c>
      <c r="F882" t="s">
        <v>1312</v>
      </c>
      <c r="G882" t="s">
        <v>616</v>
      </c>
      <c r="H882" t="s">
        <v>458</v>
      </c>
      <c r="I882" t="s">
        <v>374</v>
      </c>
      <c r="J882" t="s">
        <v>1313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616</v>
      </c>
      <c r="B883" t="s">
        <v>1310</v>
      </c>
      <c r="C883" t="s">
        <v>368</v>
      </c>
      <c r="D883" t="s">
        <v>523</v>
      </c>
      <c r="E883" t="s">
        <v>1314</v>
      </c>
      <c r="F883" t="s">
        <v>1312</v>
      </c>
      <c r="G883" t="s">
        <v>616</v>
      </c>
      <c r="H883" t="s">
        <v>458</v>
      </c>
      <c r="I883" t="s">
        <v>374</v>
      </c>
      <c r="J883" t="s">
        <v>1313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616</v>
      </c>
      <c r="B884" t="s">
        <v>1310</v>
      </c>
      <c r="C884" t="s">
        <v>368</v>
      </c>
      <c r="D884" t="s">
        <v>523</v>
      </c>
      <c r="E884" t="s">
        <v>1315</v>
      </c>
      <c r="F884" t="s">
        <v>1312</v>
      </c>
      <c r="G884" t="s">
        <v>616</v>
      </c>
      <c r="H884" t="s">
        <v>458</v>
      </c>
      <c r="I884" t="s">
        <v>374</v>
      </c>
      <c r="J884" t="s">
        <v>1313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616</v>
      </c>
      <c r="B885" t="s">
        <v>1310</v>
      </c>
      <c r="C885" t="s">
        <v>368</v>
      </c>
      <c r="D885" t="s">
        <v>523</v>
      </c>
      <c r="E885" t="s">
        <v>1316</v>
      </c>
      <c r="F885" t="s">
        <v>1312</v>
      </c>
      <c r="G885" t="s">
        <v>616</v>
      </c>
      <c r="H885" t="s">
        <v>458</v>
      </c>
      <c r="I885" t="s">
        <v>374</v>
      </c>
      <c r="J885" t="s">
        <v>1313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616</v>
      </c>
      <c r="B886" t="s">
        <v>1310</v>
      </c>
      <c r="C886" t="s">
        <v>368</v>
      </c>
      <c r="D886" t="s">
        <v>523</v>
      </c>
      <c r="E886" t="s">
        <v>1317</v>
      </c>
      <c r="F886" t="s">
        <v>1312</v>
      </c>
      <c r="G886" t="s">
        <v>616</v>
      </c>
      <c r="H886" t="s">
        <v>458</v>
      </c>
      <c r="I886" t="s">
        <v>374</v>
      </c>
      <c r="J886" t="s">
        <v>1313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616</v>
      </c>
      <c r="B887" t="s">
        <v>1310</v>
      </c>
      <c r="C887" t="s">
        <v>368</v>
      </c>
      <c r="D887" t="s">
        <v>523</v>
      </c>
      <c r="E887" t="s">
        <v>1318</v>
      </c>
      <c r="F887" t="s">
        <v>1312</v>
      </c>
      <c r="G887" t="s">
        <v>616</v>
      </c>
      <c r="H887" t="s">
        <v>458</v>
      </c>
      <c r="I887" t="s">
        <v>374</v>
      </c>
      <c r="J887" t="s">
        <v>1313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616</v>
      </c>
      <c r="B888" t="s">
        <v>1310</v>
      </c>
      <c r="C888" t="s">
        <v>368</v>
      </c>
      <c r="D888" t="s">
        <v>523</v>
      </c>
      <c r="E888" t="s">
        <v>1319</v>
      </c>
      <c r="F888" t="s">
        <v>1312</v>
      </c>
      <c r="G888" t="s">
        <v>616</v>
      </c>
      <c r="H888" t="s">
        <v>458</v>
      </c>
      <c r="I888" t="s">
        <v>374</v>
      </c>
      <c r="J888" t="s">
        <v>1313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616</v>
      </c>
      <c r="B889" t="s">
        <v>1310</v>
      </c>
      <c r="C889" t="s">
        <v>368</v>
      </c>
      <c r="D889" t="s">
        <v>523</v>
      </c>
      <c r="E889" t="s">
        <v>1320</v>
      </c>
      <c r="F889" t="s">
        <v>1312</v>
      </c>
      <c r="G889" t="s">
        <v>616</v>
      </c>
      <c r="H889" t="s">
        <v>458</v>
      </c>
      <c r="I889" t="s">
        <v>374</v>
      </c>
      <c r="J889" t="s">
        <v>1313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616</v>
      </c>
      <c r="B890" t="s">
        <v>1310</v>
      </c>
      <c r="C890" t="s">
        <v>368</v>
      </c>
      <c r="D890" t="s">
        <v>523</v>
      </c>
      <c r="E890" t="s">
        <v>1321</v>
      </c>
      <c r="F890" t="s">
        <v>1312</v>
      </c>
      <c r="G890" t="s">
        <v>616</v>
      </c>
      <c r="H890" t="s">
        <v>458</v>
      </c>
      <c r="I890" t="s">
        <v>374</v>
      </c>
      <c r="J890" t="s">
        <v>1313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616</v>
      </c>
      <c r="B891" t="s">
        <v>1310</v>
      </c>
      <c r="C891" t="s">
        <v>368</v>
      </c>
      <c r="D891" t="s">
        <v>523</v>
      </c>
      <c r="E891" t="s">
        <v>1322</v>
      </c>
      <c r="F891" t="s">
        <v>1312</v>
      </c>
      <c r="G891" t="s">
        <v>616</v>
      </c>
      <c r="H891" t="s">
        <v>458</v>
      </c>
      <c r="I891" t="s">
        <v>374</v>
      </c>
      <c r="J891" t="s">
        <v>1313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616</v>
      </c>
      <c r="B892" t="s">
        <v>1310</v>
      </c>
      <c r="C892" t="s">
        <v>368</v>
      </c>
      <c r="D892" t="s">
        <v>523</v>
      </c>
      <c r="E892" t="s">
        <v>1323</v>
      </c>
      <c r="F892" t="s">
        <v>1312</v>
      </c>
      <c r="G892" t="s">
        <v>616</v>
      </c>
      <c r="H892" t="s">
        <v>458</v>
      </c>
      <c r="I892" t="s">
        <v>374</v>
      </c>
      <c r="J892" t="s">
        <v>1313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616</v>
      </c>
      <c r="B893" t="s">
        <v>1310</v>
      </c>
      <c r="C893" t="s">
        <v>368</v>
      </c>
      <c r="D893" t="s">
        <v>523</v>
      </c>
      <c r="E893" t="s">
        <v>1324</v>
      </c>
      <c r="F893" t="s">
        <v>1312</v>
      </c>
      <c r="G893" t="s">
        <v>616</v>
      </c>
      <c r="H893" t="s">
        <v>458</v>
      </c>
      <c r="I893" t="s">
        <v>374</v>
      </c>
      <c r="J893" t="s">
        <v>1313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616</v>
      </c>
      <c r="B894" t="s">
        <v>1310</v>
      </c>
      <c r="C894" t="s">
        <v>368</v>
      </c>
      <c r="D894" t="s">
        <v>523</v>
      </c>
      <c r="E894" t="s">
        <v>1325</v>
      </c>
      <c r="F894" t="s">
        <v>1312</v>
      </c>
      <c r="G894" t="s">
        <v>616</v>
      </c>
      <c r="H894" t="s">
        <v>458</v>
      </c>
      <c r="I894" t="s">
        <v>374</v>
      </c>
      <c r="J894" t="s">
        <v>1313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616</v>
      </c>
      <c r="B895" t="s">
        <v>1310</v>
      </c>
      <c r="C895" t="s">
        <v>609</v>
      </c>
      <c r="D895" t="s">
        <v>523</v>
      </c>
      <c r="E895" t="s">
        <v>1326</v>
      </c>
      <c r="F895" t="s">
        <v>1312</v>
      </c>
      <c r="G895" t="s">
        <v>616</v>
      </c>
      <c r="H895" t="s">
        <v>458</v>
      </c>
      <c r="I895" t="s">
        <v>374</v>
      </c>
      <c r="J895" t="s">
        <v>1313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616</v>
      </c>
      <c r="B896" t="s">
        <v>1310</v>
      </c>
      <c r="C896" t="s">
        <v>609</v>
      </c>
      <c r="D896" t="s">
        <v>523</v>
      </c>
      <c r="E896" t="s">
        <v>1327</v>
      </c>
      <c r="F896" t="s">
        <v>1312</v>
      </c>
      <c r="G896" t="s">
        <v>616</v>
      </c>
      <c r="H896" t="s">
        <v>458</v>
      </c>
      <c r="I896" t="s">
        <v>374</v>
      </c>
      <c r="J896" t="s">
        <v>1313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616</v>
      </c>
      <c r="B897" t="s">
        <v>1310</v>
      </c>
      <c r="C897" t="s">
        <v>609</v>
      </c>
      <c r="D897" t="s">
        <v>523</v>
      </c>
      <c r="E897" t="s">
        <v>1328</v>
      </c>
      <c r="F897" t="s">
        <v>1312</v>
      </c>
      <c r="G897" t="s">
        <v>616</v>
      </c>
      <c r="H897" t="s">
        <v>458</v>
      </c>
      <c r="I897" t="s">
        <v>374</v>
      </c>
      <c r="J897" t="s">
        <v>1313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616</v>
      </c>
      <c r="B898" t="s">
        <v>1310</v>
      </c>
      <c r="C898" t="s">
        <v>609</v>
      </c>
      <c r="D898" t="s">
        <v>523</v>
      </c>
      <c r="E898" t="s">
        <v>1329</v>
      </c>
      <c r="F898" t="s">
        <v>1312</v>
      </c>
      <c r="G898" t="s">
        <v>616</v>
      </c>
      <c r="H898" t="s">
        <v>458</v>
      </c>
      <c r="I898" t="s">
        <v>374</v>
      </c>
      <c r="J898" t="s">
        <v>1313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616</v>
      </c>
      <c r="B899" t="s">
        <v>1310</v>
      </c>
      <c r="C899" t="s">
        <v>609</v>
      </c>
      <c r="D899" t="s">
        <v>523</v>
      </c>
      <c r="E899" t="s">
        <v>1330</v>
      </c>
      <c r="F899" t="s">
        <v>1312</v>
      </c>
      <c r="G899" t="s">
        <v>616</v>
      </c>
      <c r="H899" t="s">
        <v>458</v>
      </c>
      <c r="I899" t="s">
        <v>374</v>
      </c>
      <c r="J899" t="s">
        <v>1313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616</v>
      </c>
      <c r="B900" t="s">
        <v>1310</v>
      </c>
      <c r="C900" t="s">
        <v>368</v>
      </c>
      <c r="D900" t="s">
        <v>523</v>
      </c>
      <c r="E900" t="s">
        <v>1331</v>
      </c>
      <c r="F900" t="s">
        <v>1312</v>
      </c>
      <c r="G900" t="s">
        <v>616</v>
      </c>
      <c r="H900" t="s">
        <v>458</v>
      </c>
      <c r="I900" t="s">
        <v>374</v>
      </c>
      <c r="J900" t="s">
        <v>1313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616</v>
      </c>
      <c r="B901" t="s">
        <v>1310</v>
      </c>
      <c r="C901" t="s">
        <v>368</v>
      </c>
      <c r="D901" t="s">
        <v>523</v>
      </c>
      <c r="E901" t="s">
        <v>1332</v>
      </c>
      <c r="F901" t="s">
        <v>1312</v>
      </c>
      <c r="G901" t="s">
        <v>616</v>
      </c>
      <c r="H901" t="s">
        <v>458</v>
      </c>
      <c r="I901" t="s">
        <v>374</v>
      </c>
      <c r="J901" t="s">
        <v>1313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616</v>
      </c>
      <c r="B902" t="s">
        <v>733</v>
      </c>
      <c r="C902" t="s">
        <v>368</v>
      </c>
      <c r="D902" t="s">
        <v>523</v>
      </c>
      <c r="E902" t="s">
        <v>1333</v>
      </c>
      <c r="F902" t="s">
        <v>1334</v>
      </c>
      <c r="G902" t="s">
        <v>616</v>
      </c>
      <c r="H902" t="s">
        <v>1335</v>
      </c>
      <c r="I902" t="s">
        <v>374</v>
      </c>
      <c r="J902" t="s">
        <v>429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616</v>
      </c>
      <c r="B903" t="s">
        <v>733</v>
      </c>
      <c r="C903" t="s">
        <v>368</v>
      </c>
      <c r="D903" t="s">
        <v>523</v>
      </c>
      <c r="E903" t="s">
        <v>1336</v>
      </c>
      <c r="F903" t="s">
        <v>1334</v>
      </c>
      <c r="G903" t="s">
        <v>616</v>
      </c>
      <c r="H903" t="s">
        <v>1335</v>
      </c>
      <c r="I903" t="s">
        <v>374</v>
      </c>
      <c r="J903" t="s">
        <v>429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616</v>
      </c>
      <c r="B904" t="s">
        <v>733</v>
      </c>
      <c r="C904" t="s">
        <v>368</v>
      </c>
      <c r="D904" t="s">
        <v>523</v>
      </c>
      <c r="E904" t="s">
        <v>1337</v>
      </c>
      <c r="F904" t="s">
        <v>1334</v>
      </c>
      <c r="G904" t="s">
        <v>616</v>
      </c>
      <c r="H904" t="s">
        <v>1335</v>
      </c>
      <c r="I904" t="s">
        <v>374</v>
      </c>
      <c r="J904" t="s">
        <v>429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616</v>
      </c>
      <c r="B905" t="s">
        <v>733</v>
      </c>
      <c r="C905" t="s">
        <v>609</v>
      </c>
      <c r="D905" t="s">
        <v>523</v>
      </c>
      <c r="E905" t="s">
        <v>1338</v>
      </c>
      <c r="F905" t="s">
        <v>1334</v>
      </c>
      <c r="G905" t="s">
        <v>616</v>
      </c>
      <c r="H905" t="s">
        <v>1335</v>
      </c>
      <c r="I905" t="s">
        <v>374</v>
      </c>
      <c r="J905" t="s">
        <v>429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616</v>
      </c>
      <c r="B906" t="s">
        <v>733</v>
      </c>
      <c r="C906" t="s">
        <v>368</v>
      </c>
      <c r="D906" t="s">
        <v>523</v>
      </c>
      <c r="E906" t="s">
        <v>1339</v>
      </c>
      <c r="F906" t="s">
        <v>1334</v>
      </c>
      <c r="G906" t="s">
        <v>616</v>
      </c>
      <c r="H906" t="s">
        <v>1335</v>
      </c>
      <c r="I906" t="s">
        <v>374</v>
      </c>
      <c r="J906" t="s">
        <v>429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616</v>
      </c>
      <c r="B907" t="s">
        <v>1340</v>
      </c>
      <c r="C907" t="s">
        <v>1341</v>
      </c>
      <c r="D907" t="s">
        <v>523</v>
      </c>
      <c r="E907" t="s">
        <v>165</v>
      </c>
      <c r="F907" t="s">
        <v>1342</v>
      </c>
      <c r="G907" t="s">
        <v>616</v>
      </c>
      <c r="H907" t="s">
        <v>1341</v>
      </c>
      <c r="I907" t="s">
        <v>374</v>
      </c>
      <c r="J907" t="s">
        <v>1343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616</v>
      </c>
      <c r="B908" t="s">
        <v>1344</v>
      </c>
      <c r="C908" t="s">
        <v>1341</v>
      </c>
      <c r="D908" t="s">
        <v>523</v>
      </c>
      <c r="E908" t="s">
        <v>1345</v>
      </c>
      <c r="F908" t="s">
        <v>1346</v>
      </c>
      <c r="G908" t="s">
        <v>616</v>
      </c>
      <c r="H908" t="s">
        <v>1341</v>
      </c>
      <c r="I908" t="s">
        <v>374</v>
      </c>
      <c r="J908" t="s">
        <v>1347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1348</v>
      </c>
      <c r="B909" t="s">
        <v>1349</v>
      </c>
      <c r="C909" t="s">
        <v>368</v>
      </c>
      <c r="D909" t="s">
        <v>523</v>
      </c>
      <c r="E909" t="s">
        <v>1350</v>
      </c>
      <c r="F909" t="s">
        <v>1351</v>
      </c>
      <c r="G909" t="s">
        <v>1348</v>
      </c>
      <c r="H909" t="s">
        <v>458</v>
      </c>
      <c r="I909" t="s">
        <v>374</v>
      </c>
      <c r="J909" t="s">
        <v>722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1348</v>
      </c>
      <c r="B910" t="s">
        <v>1349</v>
      </c>
      <c r="C910" t="s">
        <v>368</v>
      </c>
      <c r="D910" t="s">
        <v>523</v>
      </c>
      <c r="E910" t="s">
        <v>1352</v>
      </c>
      <c r="F910" t="s">
        <v>1351</v>
      </c>
      <c r="G910" t="s">
        <v>1348</v>
      </c>
      <c r="H910" t="s">
        <v>458</v>
      </c>
      <c r="I910" t="s">
        <v>374</v>
      </c>
      <c r="J910" t="s">
        <v>722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1348</v>
      </c>
      <c r="B911" t="s">
        <v>1349</v>
      </c>
      <c r="C911" t="s">
        <v>368</v>
      </c>
      <c r="D911" t="s">
        <v>523</v>
      </c>
      <c r="E911" t="s">
        <v>1353</v>
      </c>
      <c r="F911" t="s">
        <v>1351</v>
      </c>
      <c r="G911" t="s">
        <v>1348</v>
      </c>
      <c r="H911" t="s">
        <v>458</v>
      </c>
      <c r="I911" t="s">
        <v>374</v>
      </c>
      <c r="J911" t="s">
        <v>722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1348</v>
      </c>
      <c r="B912" t="s">
        <v>1349</v>
      </c>
      <c r="C912" t="s">
        <v>368</v>
      </c>
      <c r="D912" t="s">
        <v>523</v>
      </c>
      <c r="E912" t="s">
        <v>1354</v>
      </c>
      <c r="F912" t="s">
        <v>1351</v>
      </c>
      <c r="G912" t="s">
        <v>1348</v>
      </c>
      <c r="H912" t="s">
        <v>458</v>
      </c>
      <c r="I912" t="s">
        <v>374</v>
      </c>
      <c r="J912" t="s">
        <v>722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1348</v>
      </c>
      <c r="B913" t="s">
        <v>1349</v>
      </c>
      <c r="C913" t="s">
        <v>368</v>
      </c>
      <c r="D913" t="s">
        <v>523</v>
      </c>
      <c r="E913" t="s">
        <v>1355</v>
      </c>
      <c r="F913" t="s">
        <v>1351</v>
      </c>
      <c r="G913" t="s">
        <v>1348</v>
      </c>
      <c r="H913" t="s">
        <v>458</v>
      </c>
      <c r="I913" t="s">
        <v>374</v>
      </c>
      <c r="J913" t="s">
        <v>722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1348</v>
      </c>
      <c r="B914" t="s">
        <v>1349</v>
      </c>
      <c r="C914" t="s">
        <v>368</v>
      </c>
      <c r="D914" t="s">
        <v>523</v>
      </c>
      <c r="E914" t="s">
        <v>1356</v>
      </c>
      <c r="F914" t="s">
        <v>1351</v>
      </c>
      <c r="G914" t="s">
        <v>1348</v>
      </c>
      <c r="H914" t="s">
        <v>458</v>
      </c>
      <c r="I914" t="s">
        <v>374</v>
      </c>
      <c r="J914" t="s">
        <v>722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1348</v>
      </c>
      <c r="B915" t="s">
        <v>1349</v>
      </c>
      <c r="C915" t="s">
        <v>368</v>
      </c>
      <c r="D915" t="s">
        <v>523</v>
      </c>
      <c r="E915" t="s">
        <v>1357</v>
      </c>
      <c r="F915" t="s">
        <v>1351</v>
      </c>
      <c r="G915" t="s">
        <v>1348</v>
      </c>
      <c r="H915" t="s">
        <v>458</v>
      </c>
      <c r="I915" t="s">
        <v>374</v>
      </c>
      <c r="J915" t="s">
        <v>722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1348</v>
      </c>
      <c r="B916" t="s">
        <v>1349</v>
      </c>
      <c r="C916" t="s">
        <v>368</v>
      </c>
      <c r="D916" t="s">
        <v>523</v>
      </c>
      <c r="E916" t="s">
        <v>1358</v>
      </c>
      <c r="F916" t="s">
        <v>1351</v>
      </c>
      <c r="G916" t="s">
        <v>1348</v>
      </c>
      <c r="H916" t="s">
        <v>458</v>
      </c>
      <c r="I916" t="s">
        <v>374</v>
      </c>
      <c r="J916" t="s">
        <v>722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1348</v>
      </c>
      <c r="B917" t="s">
        <v>1349</v>
      </c>
      <c r="C917" t="s">
        <v>368</v>
      </c>
      <c r="D917" t="s">
        <v>523</v>
      </c>
      <c r="E917" t="s">
        <v>1359</v>
      </c>
      <c r="F917" t="s">
        <v>1351</v>
      </c>
      <c r="G917" t="s">
        <v>1348</v>
      </c>
      <c r="H917" t="s">
        <v>458</v>
      </c>
      <c r="I917" t="s">
        <v>374</v>
      </c>
      <c r="J917" t="s">
        <v>722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1348</v>
      </c>
      <c r="B918" t="s">
        <v>1349</v>
      </c>
      <c r="C918" t="s">
        <v>368</v>
      </c>
      <c r="D918" t="s">
        <v>523</v>
      </c>
      <c r="E918" t="s">
        <v>1360</v>
      </c>
      <c r="F918" t="s">
        <v>1351</v>
      </c>
      <c r="G918" t="s">
        <v>1348</v>
      </c>
      <c r="H918" t="s">
        <v>458</v>
      </c>
      <c r="I918" t="s">
        <v>374</v>
      </c>
      <c r="J918" t="s">
        <v>722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1348</v>
      </c>
      <c r="B919" t="s">
        <v>1349</v>
      </c>
      <c r="C919" t="s">
        <v>368</v>
      </c>
      <c r="D919" t="s">
        <v>523</v>
      </c>
      <c r="E919" t="s">
        <v>1361</v>
      </c>
      <c r="F919" t="s">
        <v>1351</v>
      </c>
      <c r="G919" t="s">
        <v>1348</v>
      </c>
      <c r="H919" t="s">
        <v>458</v>
      </c>
      <c r="I919" t="s">
        <v>374</v>
      </c>
      <c r="J919" t="s">
        <v>722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1348</v>
      </c>
      <c r="B920" t="s">
        <v>1349</v>
      </c>
      <c r="C920" t="s">
        <v>368</v>
      </c>
      <c r="D920" t="s">
        <v>523</v>
      </c>
      <c r="E920" t="s">
        <v>1362</v>
      </c>
      <c r="F920" t="s">
        <v>1351</v>
      </c>
      <c r="G920" t="s">
        <v>1348</v>
      </c>
      <c r="H920" t="s">
        <v>458</v>
      </c>
      <c r="I920" t="s">
        <v>374</v>
      </c>
      <c r="J920" t="s">
        <v>722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1348</v>
      </c>
      <c r="B921" t="s">
        <v>1349</v>
      </c>
      <c r="C921" t="s">
        <v>368</v>
      </c>
      <c r="D921" t="s">
        <v>523</v>
      </c>
      <c r="E921" t="s">
        <v>1363</v>
      </c>
      <c r="F921" t="s">
        <v>1351</v>
      </c>
      <c r="G921" t="s">
        <v>1348</v>
      </c>
      <c r="H921" t="s">
        <v>458</v>
      </c>
      <c r="I921" t="s">
        <v>374</v>
      </c>
      <c r="J921" t="s">
        <v>722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1348</v>
      </c>
      <c r="B922" t="s">
        <v>1349</v>
      </c>
      <c r="C922" t="s">
        <v>609</v>
      </c>
      <c r="D922" t="s">
        <v>523</v>
      </c>
      <c r="E922" t="s">
        <v>1364</v>
      </c>
      <c r="F922" t="s">
        <v>1351</v>
      </c>
      <c r="G922" t="s">
        <v>1348</v>
      </c>
      <c r="H922" t="s">
        <v>458</v>
      </c>
      <c r="I922" t="s">
        <v>374</v>
      </c>
      <c r="J922" t="s">
        <v>722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1348</v>
      </c>
      <c r="B923" t="s">
        <v>1349</v>
      </c>
      <c r="C923" t="s">
        <v>609</v>
      </c>
      <c r="D923" t="s">
        <v>523</v>
      </c>
      <c r="E923" t="s">
        <v>1365</v>
      </c>
      <c r="F923" t="s">
        <v>1351</v>
      </c>
      <c r="G923" t="s">
        <v>1348</v>
      </c>
      <c r="H923" t="s">
        <v>458</v>
      </c>
      <c r="I923" t="s">
        <v>374</v>
      </c>
      <c r="J923" t="s">
        <v>722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1348</v>
      </c>
      <c r="B924" t="s">
        <v>1349</v>
      </c>
      <c r="C924" t="s">
        <v>609</v>
      </c>
      <c r="D924" t="s">
        <v>523</v>
      </c>
      <c r="E924" t="s">
        <v>1366</v>
      </c>
      <c r="F924" t="s">
        <v>1351</v>
      </c>
      <c r="G924" t="s">
        <v>1348</v>
      </c>
      <c r="H924" t="s">
        <v>458</v>
      </c>
      <c r="I924" t="s">
        <v>374</v>
      </c>
      <c r="J924" t="s">
        <v>722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1348</v>
      </c>
      <c r="B925" t="s">
        <v>1349</v>
      </c>
      <c r="C925" t="s">
        <v>609</v>
      </c>
      <c r="D925" t="s">
        <v>523</v>
      </c>
      <c r="E925" t="s">
        <v>1367</v>
      </c>
      <c r="F925" t="s">
        <v>1351</v>
      </c>
      <c r="G925" t="s">
        <v>1348</v>
      </c>
      <c r="H925" t="s">
        <v>458</v>
      </c>
      <c r="I925" t="s">
        <v>374</v>
      </c>
      <c r="J925" t="s">
        <v>722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1348</v>
      </c>
      <c r="B926" t="s">
        <v>1349</v>
      </c>
      <c r="C926" t="s">
        <v>609</v>
      </c>
      <c r="D926" t="s">
        <v>523</v>
      </c>
      <c r="E926" t="s">
        <v>1368</v>
      </c>
      <c r="F926" t="s">
        <v>1351</v>
      </c>
      <c r="G926" t="s">
        <v>1348</v>
      </c>
      <c r="H926" t="s">
        <v>458</v>
      </c>
      <c r="I926" t="s">
        <v>374</v>
      </c>
      <c r="J926" t="s">
        <v>722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1348</v>
      </c>
      <c r="B927" t="s">
        <v>1349</v>
      </c>
      <c r="C927" t="s">
        <v>368</v>
      </c>
      <c r="D927" t="s">
        <v>523</v>
      </c>
      <c r="E927" t="s">
        <v>1369</v>
      </c>
      <c r="F927" t="s">
        <v>1351</v>
      </c>
      <c r="G927" t="s">
        <v>1348</v>
      </c>
      <c r="H927" t="s">
        <v>458</v>
      </c>
      <c r="I927" t="s">
        <v>374</v>
      </c>
      <c r="J927" t="s">
        <v>722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1348</v>
      </c>
      <c r="B928" t="s">
        <v>1349</v>
      </c>
      <c r="C928" t="s">
        <v>368</v>
      </c>
      <c r="D928" t="s">
        <v>523</v>
      </c>
      <c r="E928" t="s">
        <v>1370</v>
      </c>
      <c r="F928" t="s">
        <v>1351</v>
      </c>
      <c r="G928" t="s">
        <v>1348</v>
      </c>
      <c r="H928" t="s">
        <v>458</v>
      </c>
      <c r="I928" t="s">
        <v>374</v>
      </c>
      <c r="J928" t="s">
        <v>722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1348</v>
      </c>
      <c r="B929" t="s">
        <v>1371</v>
      </c>
      <c r="C929" t="s">
        <v>368</v>
      </c>
      <c r="D929" t="s">
        <v>523</v>
      </c>
      <c r="E929" t="s">
        <v>305</v>
      </c>
      <c r="F929" t="s">
        <v>1372</v>
      </c>
      <c r="G929" t="s">
        <v>1348</v>
      </c>
      <c r="H929" t="s">
        <v>458</v>
      </c>
      <c r="I929" t="s">
        <v>374</v>
      </c>
      <c r="J929" t="s">
        <v>429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1348</v>
      </c>
      <c r="B930" t="s">
        <v>1371</v>
      </c>
      <c r="C930" t="s">
        <v>368</v>
      </c>
      <c r="D930" t="s">
        <v>523</v>
      </c>
      <c r="E930" t="s">
        <v>306</v>
      </c>
      <c r="F930" t="s">
        <v>1372</v>
      </c>
      <c r="G930" t="s">
        <v>1348</v>
      </c>
      <c r="H930" t="s">
        <v>458</v>
      </c>
      <c r="I930" t="s">
        <v>374</v>
      </c>
      <c r="J930" t="s">
        <v>429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1348</v>
      </c>
      <c r="B931" t="s">
        <v>1371</v>
      </c>
      <c r="C931" t="s">
        <v>368</v>
      </c>
      <c r="D931" t="s">
        <v>523</v>
      </c>
      <c r="E931" t="s">
        <v>1373</v>
      </c>
      <c r="F931" t="s">
        <v>1372</v>
      </c>
      <c r="G931" t="s">
        <v>1348</v>
      </c>
      <c r="H931" t="s">
        <v>458</v>
      </c>
      <c r="I931" t="s">
        <v>374</v>
      </c>
      <c r="J931" t="s">
        <v>429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1348</v>
      </c>
      <c r="B932" t="s">
        <v>1371</v>
      </c>
      <c r="C932" t="s">
        <v>368</v>
      </c>
      <c r="D932" t="s">
        <v>523</v>
      </c>
      <c r="E932" t="s">
        <v>307</v>
      </c>
      <c r="F932" t="s">
        <v>1372</v>
      </c>
      <c r="G932" t="s">
        <v>1348</v>
      </c>
      <c r="H932" t="s">
        <v>458</v>
      </c>
      <c r="I932" t="s">
        <v>374</v>
      </c>
      <c r="J932" t="s">
        <v>429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1348</v>
      </c>
      <c r="B933" t="s">
        <v>1371</v>
      </c>
      <c r="C933" t="s">
        <v>368</v>
      </c>
      <c r="D933" t="s">
        <v>523</v>
      </c>
      <c r="E933" t="s">
        <v>1374</v>
      </c>
      <c r="F933" t="s">
        <v>1372</v>
      </c>
      <c r="G933" t="s">
        <v>1348</v>
      </c>
      <c r="H933" t="s">
        <v>458</v>
      </c>
      <c r="I933" t="s">
        <v>374</v>
      </c>
      <c r="J933" t="s">
        <v>429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1348</v>
      </c>
      <c r="B934" t="s">
        <v>1371</v>
      </c>
      <c r="C934" t="s">
        <v>368</v>
      </c>
      <c r="D934" t="s">
        <v>523</v>
      </c>
      <c r="E934" t="s">
        <v>308</v>
      </c>
      <c r="F934" t="s">
        <v>1372</v>
      </c>
      <c r="G934" t="s">
        <v>1348</v>
      </c>
      <c r="H934" t="s">
        <v>458</v>
      </c>
      <c r="I934" t="s">
        <v>374</v>
      </c>
      <c r="J934" t="s">
        <v>429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1348</v>
      </c>
      <c r="B935" t="s">
        <v>1371</v>
      </c>
      <c r="C935" t="s">
        <v>368</v>
      </c>
      <c r="D935" t="s">
        <v>523</v>
      </c>
      <c r="E935" t="s">
        <v>1375</v>
      </c>
      <c r="F935" t="s">
        <v>1372</v>
      </c>
      <c r="G935" t="s">
        <v>1348</v>
      </c>
      <c r="H935" t="s">
        <v>458</v>
      </c>
      <c r="I935" t="s">
        <v>374</v>
      </c>
      <c r="J935" t="s">
        <v>429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1348</v>
      </c>
      <c r="B936" t="s">
        <v>1371</v>
      </c>
      <c r="C936" t="s">
        <v>368</v>
      </c>
      <c r="D936" t="s">
        <v>523</v>
      </c>
      <c r="E936" t="s">
        <v>1376</v>
      </c>
      <c r="F936" t="s">
        <v>1372</v>
      </c>
      <c r="G936" t="s">
        <v>1348</v>
      </c>
      <c r="H936" t="s">
        <v>458</v>
      </c>
      <c r="I936" t="s">
        <v>374</v>
      </c>
      <c r="J936" t="s">
        <v>429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1348</v>
      </c>
      <c r="B937" t="s">
        <v>1371</v>
      </c>
      <c r="C937" t="s">
        <v>368</v>
      </c>
      <c r="D937" t="s">
        <v>523</v>
      </c>
      <c r="E937" t="s">
        <v>1377</v>
      </c>
      <c r="F937" t="s">
        <v>1372</v>
      </c>
      <c r="G937" t="s">
        <v>1348</v>
      </c>
      <c r="H937" t="s">
        <v>458</v>
      </c>
      <c r="I937" t="s">
        <v>374</v>
      </c>
      <c r="J937" t="s">
        <v>429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1348</v>
      </c>
      <c r="B938" t="s">
        <v>1371</v>
      </c>
      <c r="C938" t="s">
        <v>368</v>
      </c>
      <c r="D938" t="s">
        <v>523</v>
      </c>
      <c r="E938" t="s">
        <v>1378</v>
      </c>
      <c r="F938" t="s">
        <v>1372</v>
      </c>
      <c r="G938" t="s">
        <v>1348</v>
      </c>
      <c r="H938" t="s">
        <v>458</v>
      </c>
      <c r="I938" t="s">
        <v>374</v>
      </c>
      <c r="J938" t="s">
        <v>429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1348</v>
      </c>
      <c r="B939" t="s">
        <v>1371</v>
      </c>
      <c r="C939" t="s">
        <v>368</v>
      </c>
      <c r="D939" t="s">
        <v>523</v>
      </c>
      <c r="E939" t="s">
        <v>1379</v>
      </c>
      <c r="F939" t="s">
        <v>1372</v>
      </c>
      <c r="G939" t="s">
        <v>1348</v>
      </c>
      <c r="H939" t="s">
        <v>458</v>
      </c>
      <c r="I939" t="s">
        <v>374</v>
      </c>
      <c r="J939" t="s">
        <v>429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1348</v>
      </c>
      <c r="B940" t="s">
        <v>1371</v>
      </c>
      <c r="C940" t="s">
        <v>609</v>
      </c>
      <c r="D940" t="s">
        <v>523</v>
      </c>
      <c r="E940" t="s">
        <v>1380</v>
      </c>
      <c r="F940" t="s">
        <v>1372</v>
      </c>
      <c r="G940" t="s">
        <v>1348</v>
      </c>
      <c r="H940" t="s">
        <v>458</v>
      </c>
      <c r="I940" t="s">
        <v>374</v>
      </c>
      <c r="J940" t="s">
        <v>429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1348</v>
      </c>
      <c r="B941" t="s">
        <v>1371</v>
      </c>
      <c r="C941" t="s">
        <v>609</v>
      </c>
      <c r="D941" t="s">
        <v>523</v>
      </c>
      <c r="E941" t="s">
        <v>1381</v>
      </c>
      <c r="F941" t="s">
        <v>1372</v>
      </c>
      <c r="G941" t="s">
        <v>1348</v>
      </c>
      <c r="H941" t="s">
        <v>458</v>
      </c>
      <c r="I941" t="s">
        <v>374</v>
      </c>
      <c r="J941" t="s">
        <v>429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1348</v>
      </c>
      <c r="B942" t="s">
        <v>1371</v>
      </c>
      <c r="C942" t="s">
        <v>609</v>
      </c>
      <c r="D942" t="s">
        <v>523</v>
      </c>
      <c r="E942" t="s">
        <v>1382</v>
      </c>
      <c r="F942" t="s">
        <v>1372</v>
      </c>
      <c r="G942" t="s">
        <v>1348</v>
      </c>
      <c r="H942" t="s">
        <v>458</v>
      </c>
      <c r="I942" t="s">
        <v>374</v>
      </c>
      <c r="J942" t="s">
        <v>429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1348</v>
      </c>
      <c r="B943" t="s">
        <v>1371</v>
      </c>
      <c r="C943" t="s">
        <v>609</v>
      </c>
      <c r="D943" t="s">
        <v>523</v>
      </c>
      <c r="E943" t="s">
        <v>1383</v>
      </c>
      <c r="F943" t="s">
        <v>1372</v>
      </c>
      <c r="G943" t="s">
        <v>1348</v>
      </c>
      <c r="H943" t="s">
        <v>458</v>
      </c>
      <c r="I943" t="s">
        <v>374</v>
      </c>
      <c r="J943" t="s">
        <v>429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1348</v>
      </c>
      <c r="B944" t="s">
        <v>1371</v>
      </c>
      <c r="C944" t="s">
        <v>609</v>
      </c>
      <c r="D944" t="s">
        <v>523</v>
      </c>
      <c r="E944" t="s">
        <v>1384</v>
      </c>
      <c r="F944" t="s">
        <v>1372</v>
      </c>
      <c r="G944" t="s">
        <v>1348</v>
      </c>
      <c r="H944" t="s">
        <v>458</v>
      </c>
      <c r="I944" t="s">
        <v>374</v>
      </c>
      <c r="J944" t="s">
        <v>429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1348</v>
      </c>
      <c r="B945" t="s">
        <v>1371</v>
      </c>
      <c r="C945" t="s">
        <v>368</v>
      </c>
      <c r="D945" t="s">
        <v>523</v>
      </c>
      <c r="E945" t="s">
        <v>309</v>
      </c>
      <c r="F945" t="s">
        <v>1372</v>
      </c>
      <c r="G945" t="s">
        <v>1348</v>
      </c>
      <c r="H945" t="s">
        <v>458</v>
      </c>
      <c r="I945" t="s">
        <v>374</v>
      </c>
      <c r="J945" t="s">
        <v>429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1348</v>
      </c>
      <c r="B946" t="s">
        <v>1371</v>
      </c>
      <c r="C946" t="s">
        <v>368</v>
      </c>
      <c r="D946" t="s">
        <v>523</v>
      </c>
      <c r="E946" t="s">
        <v>1385</v>
      </c>
      <c r="F946" t="s">
        <v>1372</v>
      </c>
      <c r="G946" t="s">
        <v>1348</v>
      </c>
      <c r="H946" t="s">
        <v>458</v>
      </c>
      <c r="I946" t="s">
        <v>374</v>
      </c>
      <c r="J946" t="s">
        <v>429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1348</v>
      </c>
      <c r="B947" t="s">
        <v>1386</v>
      </c>
      <c r="C947" t="s">
        <v>368</v>
      </c>
      <c r="D947" t="s">
        <v>523</v>
      </c>
      <c r="E947" t="s">
        <v>1387</v>
      </c>
      <c r="F947" t="s">
        <v>1388</v>
      </c>
      <c r="G947" t="s">
        <v>1348</v>
      </c>
      <c r="H947" t="s">
        <v>458</v>
      </c>
      <c r="I947" t="s">
        <v>374</v>
      </c>
      <c r="J947" t="s">
        <v>386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1348</v>
      </c>
      <c r="B948" t="s">
        <v>1386</v>
      </c>
      <c r="C948" t="s">
        <v>368</v>
      </c>
      <c r="D948" t="s">
        <v>523</v>
      </c>
      <c r="E948" t="s">
        <v>1389</v>
      </c>
      <c r="F948" t="s">
        <v>1388</v>
      </c>
      <c r="G948" t="s">
        <v>1348</v>
      </c>
      <c r="H948" t="s">
        <v>458</v>
      </c>
      <c r="I948" t="s">
        <v>374</v>
      </c>
      <c r="J948" t="s">
        <v>386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1348</v>
      </c>
      <c r="B949" t="s">
        <v>1386</v>
      </c>
      <c r="C949" t="s">
        <v>368</v>
      </c>
      <c r="D949" t="s">
        <v>523</v>
      </c>
      <c r="E949" t="s">
        <v>1390</v>
      </c>
      <c r="F949" t="s">
        <v>1388</v>
      </c>
      <c r="G949" t="s">
        <v>1348</v>
      </c>
      <c r="H949" t="s">
        <v>458</v>
      </c>
      <c r="I949" t="s">
        <v>374</v>
      </c>
      <c r="J949" t="s">
        <v>386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1348</v>
      </c>
      <c r="B950" t="s">
        <v>1386</v>
      </c>
      <c r="C950" t="s">
        <v>368</v>
      </c>
      <c r="D950" t="s">
        <v>523</v>
      </c>
      <c r="E950" t="s">
        <v>1391</v>
      </c>
      <c r="F950" t="s">
        <v>1388</v>
      </c>
      <c r="G950" t="s">
        <v>1348</v>
      </c>
      <c r="H950" t="s">
        <v>458</v>
      </c>
      <c r="I950" t="s">
        <v>374</v>
      </c>
      <c r="J950" t="s">
        <v>386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1348</v>
      </c>
      <c r="B951" t="s">
        <v>1386</v>
      </c>
      <c r="C951" t="s">
        <v>368</v>
      </c>
      <c r="D951" t="s">
        <v>523</v>
      </c>
      <c r="E951" t="s">
        <v>1392</v>
      </c>
      <c r="F951" t="s">
        <v>1388</v>
      </c>
      <c r="G951" t="s">
        <v>1348</v>
      </c>
      <c r="H951" t="s">
        <v>458</v>
      </c>
      <c r="I951" t="s">
        <v>374</v>
      </c>
      <c r="J951" t="s">
        <v>386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1348</v>
      </c>
      <c r="B952" t="s">
        <v>1386</v>
      </c>
      <c r="C952" t="s">
        <v>368</v>
      </c>
      <c r="D952" t="s">
        <v>523</v>
      </c>
      <c r="E952" t="s">
        <v>1393</v>
      </c>
      <c r="F952" t="s">
        <v>1388</v>
      </c>
      <c r="G952" t="s">
        <v>1348</v>
      </c>
      <c r="H952" t="s">
        <v>458</v>
      </c>
      <c r="I952" t="s">
        <v>374</v>
      </c>
      <c r="J952" t="s">
        <v>386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1348</v>
      </c>
      <c r="B953" t="s">
        <v>1386</v>
      </c>
      <c r="C953" t="s">
        <v>368</v>
      </c>
      <c r="D953" t="s">
        <v>523</v>
      </c>
      <c r="E953" t="s">
        <v>49</v>
      </c>
      <c r="F953" t="s">
        <v>1388</v>
      </c>
      <c r="G953" t="s">
        <v>1348</v>
      </c>
      <c r="H953" t="s">
        <v>458</v>
      </c>
      <c r="I953" t="s">
        <v>374</v>
      </c>
      <c r="J953" t="s">
        <v>386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1348</v>
      </c>
      <c r="B954" t="s">
        <v>1386</v>
      </c>
      <c r="C954" t="s">
        <v>368</v>
      </c>
      <c r="D954" t="s">
        <v>523</v>
      </c>
      <c r="E954" t="s">
        <v>1394</v>
      </c>
      <c r="F954" t="s">
        <v>1388</v>
      </c>
      <c r="G954" t="s">
        <v>1348</v>
      </c>
      <c r="H954" t="s">
        <v>458</v>
      </c>
      <c r="I954" t="s">
        <v>374</v>
      </c>
      <c r="J954" t="s">
        <v>386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1348</v>
      </c>
      <c r="B955" t="s">
        <v>1386</v>
      </c>
      <c r="C955" t="s">
        <v>368</v>
      </c>
      <c r="D955" t="s">
        <v>523</v>
      </c>
      <c r="E955" t="s">
        <v>50</v>
      </c>
      <c r="F955" t="s">
        <v>1388</v>
      </c>
      <c r="G955" t="s">
        <v>1348</v>
      </c>
      <c r="H955" t="s">
        <v>458</v>
      </c>
      <c r="I955" t="s">
        <v>374</v>
      </c>
      <c r="J955" t="s">
        <v>386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1348</v>
      </c>
      <c r="B956" t="s">
        <v>1386</v>
      </c>
      <c r="C956" t="s">
        <v>368</v>
      </c>
      <c r="D956" t="s">
        <v>523</v>
      </c>
      <c r="E956" t="s">
        <v>1395</v>
      </c>
      <c r="F956" t="s">
        <v>1388</v>
      </c>
      <c r="G956" t="s">
        <v>1348</v>
      </c>
      <c r="H956" t="s">
        <v>458</v>
      </c>
      <c r="I956" t="s">
        <v>374</v>
      </c>
      <c r="J956" t="s">
        <v>386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1348</v>
      </c>
      <c r="B957" t="s">
        <v>1386</v>
      </c>
      <c r="C957" t="s">
        <v>368</v>
      </c>
      <c r="D957" t="s">
        <v>523</v>
      </c>
      <c r="E957" t="s">
        <v>1396</v>
      </c>
      <c r="F957" t="s">
        <v>1388</v>
      </c>
      <c r="G957" t="s">
        <v>1348</v>
      </c>
      <c r="H957" t="s">
        <v>458</v>
      </c>
      <c r="I957" t="s">
        <v>374</v>
      </c>
      <c r="J957" t="s">
        <v>386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1348</v>
      </c>
      <c r="B958" t="s">
        <v>1386</v>
      </c>
      <c r="C958" t="s">
        <v>368</v>
      </c>
      <c r="D958" t="s">
        <v>523</v>
      </c>
      <c r="E958" t="s">
        <v>1397</v>
      </c>
      <c r="F958" t="s">
        <v>1388</v>
      </c>
      <c r="G958" t="s">
        <v>1348</v>
      </c>
      <c r="H958" t="s">
        <v>458</v>
      </c>
      <c r="I958" t="s">
        <v>374</v>
      </c>
      <c r="J958" t="s">
        <v>386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1348</v>
      </c>
      <c r="B959" t="s">
        <v>1386</v>
      </c>
      <c r="C959" t="s">
        <v>368</v>
      </c>
      <c r="D959" t="s">
        <v>523</v>
      </c>
      <c r="E959" t="s">
        <v>1398</v>
      </c>
      <c r="F959" t="s">
        <v>1388</v>
      </c>
      <c r="G959" t="s">
        <v>1348</v>
      </c>
      <c r="H959" t="s">
        <v>458</v>
      </c>
      <c r="I959" t="s">
        <v>374</v>
      </c>
      <c r="J959" t="s">
        <v>386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1348</v>
      </c>
      <c r="B960" t="s">
        <v>1386</v>
      </c>
      <c r="C960" t="s">
        <v>609</v>
      </c>
      <c r="D960" t="s">
        <v>523</v>
      </c>
      <c r="E960" t="s">
        <v>1399</v>
      </c>
      <c r="F960" t="s">
        <v>1388</v>
      </c>
      <c r="G960" t="s">
        <v>1348</v>
      </c>
      <c r="H960" t="s">
        <v>458</v>
      </c>
      <c r="I960" t="s">
        <v>374</v>
      </c>
      <c r="J960" t="s">
        <v>386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1348</v>
      </c>
      <c r="B961" t="s">
        <v>1386</v>
      </c>
      <c r="C961" t="s">
        <v>609</v>
      </c>
      <c r="D961" t="s">
        <v>523</v>
      </c>
      <c r="E961" t="s">
        <v>1400</v>
      </c>
      <c r="F961" t="s">
        <v>1388</v>
      </c>
      <c r="G961" t="s">
        <v>1348</v>
      </c>
      <c r="H961" t="s">
        <v>458</v>
      </c>
      <c r="I961" t="s">
        <v>374</v>
      </c>
      <c r="J961" t="s">
        <v>386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1348</v>
      </c>
      <c r="B962" t="s">
        <v>1386</v>
      </c>
      <c r="C962" t="s">
        <v>609</v>
      </c>
      <c r="D962" t="s">
        <v>523</v>
      </c>
      <c r="E962" t="s">
        <v>1401</v>
      </c>
      <c r="F962" t="s">
        <v>1388</v>
      </c>
      <c r="G962" t="s">
        <v>1348</v>
      </c>
      <c r="H962" t="s">
        <v>458</v>
      </c>
      <c r="I962" t="s">
        <v>374</v>
      </c>
      <c r="J962" t="s">
        <v>386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1348</v>
      </c>
      <c r="B963" t="s">
        <v>1386</v>
      </c>
      <c r="C963" t="s">
        <v>609</v>
      </c>
      <c r="D963" t="s">
        <v>523</v>
      </c>
      <c r="E963" t="s">
        <v>1402</v>
      </c>
      <c r="F963" t="s">
        <v>1388</v>
      </c>
      <c r="G963" t="s">
        <v>1348</v>
      </c>
      <c r="H963" t="s">
        <v>458</v>
      </c>
      <c r="I963" t="s">
        <v>374</v>
      </c>
      <c r="J963" t="s">
        <v>386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1348</v>
      </c>
      <c r="B964" t="s">
        <v>1386</v>
      </c>
      <c r="C964" t="s">
        <v>609</v>
      </c>
      <c r="D964" t="s">
        <v>523</v>
      </c>
      <c r="E964" t="s">
        <v>1403</v>
      </c>
      <c r="F964" t="s">
        <v>1388</v>
      </c>
      <c r="G964" t="s">
        <v>1348</v>
      </c>
      <c r="H964" t="s">
        <v>458</v>
      </c>
      <c r="I964" t="s">
        <v>374</v>
      </c>
      <c r="J964" t="s">
        <v>386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1348</v>
      </c>
      <c r="B965" t="s">
        <v>1386</v>
      </c>
      <c r="C965" t="s">
        <v>368</v>
      </c>
      <c r="D965" t="s">
        <v>523</v>
      </c>
      <c r="E965" t="s">
        <v>1404</v>
      </c>
      <c r="F965" t="s">
        <v>1388</v>
      </c>
      <c r="G965" t="s">
        <v>1348</v>
      </c>
      <c r="H965" t="s">
        <v>458</v>
      </c>
      <c r="I965" t="s">
        <v>374</v>
      </c>
      <c r="J965" t="s">
        <v>386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1348</v>
      </c>
      <c r="B966" t="s">
        <v>1386</v>
      </c>
      <c r="C966" t="s">
        <v>368</v>
      </c>
      <c r="D966" t="s">
        <v>523</v>
      </c>
      <c r="E966" t="s">
        <v>1405</v>
      </c>
      <c r="F966" t="s">
        <v>1388</v>
      </c>
      <c r="G966" t="s">
        <v>1348</v>
      </c>
      <c r="H966" t="s">
        <v>458</v>
      </c>
      <c r="I966" t="s">
        <v>374</v>
      </c>
      <c r="J966" t="s">
        <v>386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1348</v>
      </c>
      <c r="B967" t="s">
        <v>1371</v>
      </c>
      <c r="C967" t="s">
        <v>368</v>
      </c>
      <c r="D967" t="s">
        <v>523</v>
      </c>
      <c r="E967" t="s">
        <v>1406</v>
      </c>
      <c r="F967" t="s">
        <v>1407</v>
      </c>
      <c r="G967" t="s">
        <v>1348</v>
      </c>
      <c r="H967" t="s">
        <v>458</v>
      </c>
      <c r="I967" t="s">
        <v>410</v>
      </c>
      <c r="J967" t="s">
        <v>429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1348</v>
      </c>
      <c r="B968" t="s">
        <v>1371</v>
      </c>
      <c r="C968" t="s">
        <v>368</v>
      </c>
      <c r="D968" t="s">
        <v>523</v>
      </c>
      <c r="E968" t="s">
        <v>1408</v>
      </c>
      <c r="F968" t="s">
        <v>1407</v>
      </c>
      <c r="G968" t="s">
        <v>1348</v>
      </c>
      <c r="H968" t="s">
        <v>458</v>
      </c>
      <c r="I968" t="s">
        <v>410</v>
      </c>
      <c r="J968" t="s">
        <v>429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1348</v>
      </c>
      <c r="B969" t="s">
        <v>1371</v>
      </c>
      <c r="C969" t="s">
        <v>368</v>
      </c>
      <c r="D969" t="s">
        <v>523</v>
      </c>
      <c r="E969" t="s">
        <v>1409</v>
      </c>
      <c r="F969" t="s">
        <v>1407</v>
      </c>
      <c r="G969" t="s">
        <v>1348</v>
      </c>
      <c r="H969" t="s">
        <v>458</v>
      </c>
      <c r="I969" t="s">
        <v>410</v>
      </c>
      <c r="J969" t="s">
        <v>429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1348</v>
      </c>
      <c r="B970" t="s">
        <v>1371</v>
      </c>
      <c r="C970" t="s">
        <v>368</v>
      </c>
      <c r="D970" t="s">
        <v>523</v>
      </c>
      <c r="E970" t="s">
        <v>1410</v>
      </c>
      <c r="F970" t="s">
        <v>1407</v>
      </c>
      <c r="G970" t="s">
        <v>1348</v>
      </c>
      <c r="H970" t="s">
        <v>458</v>
      </c>
      <c r="I970" t="s">
        <v>410</v>
      </c>
      <c r="J970" t="s">
        <v>429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1348</v>
      </c>
      <c r="B971" t="s">
        <v>1371</v>
      </c>
      <c r="C971" t="s">
        <v>368</v>
      </c>
      <c r="D971" t="s">
        <v>523</v>
      </c>
      <c r="E971" t="s">
        <v>1411</v>
      </c>
      <c r="F971" t="s">
        <v>1407</v>
      </c>
      <c r="G971" t="s">
        <v>1348</v>
      </c>
      <c r="H971" t="s">
        <v>458</v>
      </c>
      <c r="I971" t="s">
        <v>410</v>
      </c>
      <c r="J971" t="s">
        <v>429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1348</v>
      </c>
      <c r="B972" t="s">
        <v>1371</v>
      </c>
      <c r="C972" t="s">
        <v>368</v>
      </c>
      <c r="D972" t="s">
        <v>523</v>
      </c>
      <c r="E972" t="s">
        <v>1412</v>
      </c>
      <c r="F972" t="s">
        <v>1407</v>
      </c>
      <c r="G972" t="s">
        <v>1348</v>
      </c>
      <c r="H972" t="s">
        <v>458</v>
      </c>
      <c r="I972" t="s">
        <v>410</v>
      </c>
      <c r="J972" t="s">
        <v>429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1348</v>
      </c>
      <c r="B973" t="s">
        <v>1371</v>
      </c>
      <c r="C973" t="s">
        <v>368</v>
      </c>
      <c r="D973" t="s">
        <v>523</v>
      </c>
      <c r="E973" t="s">
        <v>1413</v>
      </c>
      <c r="F973" t="s">
        <v>1407</v>
      </c>
      <c r="G973" t="s">
        <v>1348</v>
      </c>
      <c r="H973" t="s">
        <v>458</v>
      </c>
      <c r="I973" t="s">
        <v>410</v>
      </c>
      <c r="J973" t="s">
        <v>429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1348</v>
      </c>
      <c r="B974" t="s">
        <v>1371</v>
      </c>
      <c r="C974" t="s">
        <v>368</v>
      </c>
      <c r="D974" t="s">
        <v>523</v>
      </c>
      <c r="E974" t="s">
        <v>1414</v>
      </c>
      <c r="F974" t="s">
        <v>1407</v>
      </c>
      <c r="G974" t="s">
        <v>1348</v>
      </c>
      <c r="H974" t="s">
        <v>458</v>
      </c>
      <c r="I974" t="s">
        <v>410</v>
      </c>
      <c r="J974" t="s">
        <v>429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1348</v>
      </c>
      <c r="B975" t="s">
        <v>1371</v>
      </c>
      <c r="C975" t="s">
        <v>368</v>
      </c>
      <c r="D975" t="s">
        <v>523</v>
      </c>
      <c r="E975" t="s">
        <v>1415</v>
      </c>
      <c r="F975" t="s">
        <v>1407</v>
      </c>
      <c r="G975" t="s">
        <v>1348</v>
      </c>
      <c r="H975" t="s">
        <v>458</v>
      </c>
      <c r="I975" t="s">
        <v>410</v>
      </c>
      <c r="J975" t="s">
        <v>429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1348</v>
      </c>
      <c r="B976" t="s">
        <v>1371</v>
      </c>
      <c r="C976" t="s">
        <v>368</v>
      </c>
      <c r="D976" t="s">
        <v>523</v>
      </c>
      <c r="E976" t="s">
        <v>1416</v>
      </c>
      <c r="F976" t="s">
        <v>1407</v>
      </c>
      <c r="G976" t="s">
        <v>1348</v>
      </c>
      <c r="H976" t="s">
        <v>458</v>
      </c>
      <c r="I976" t="s">
        <v>410</v>
      </c>
      <c r="J976" t="s">
        <v>429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1348</v>
      </c>
      <c r="B977" t="s">
        <v>1371</v>
      </c>
      <c r="C977" t="s">
        <v>368</v>
      </c>
      <c r="D977" t="s">
        <v>523</v>
      </c>
      <c r="E977" t="s">
        <v>1417</v>
      </c>
      <c r="F977" t="s">
        <v>1407</v>
      </c>
      <c r="G977" t="s">
        <v>1348</v>
      </c>
      <c r="H977" t="s">
        <v>458</v>
      </c>
      <c r="I977" t="s">
        <v>410</v>
      </c>
      <c r="J977" t="s">
        <v>429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1348</v>
      </c>
      <c r="B978" t="s">
        <v>1371</v>
      </c>
      <c r="C978" t="s">
        <v>609</v>
      </c>
      <c r="D978" t="s">
        <v>523</v>
      </c>
      <c r="E978" t="s">
        <v>1418</v>
      </c>
      <c r="F978" t="s">
        <v>1407</v>
      </c>
      <c r="G978" t="s">
        <v>1348</v>
      </c>
      <c r="H978" t="s">
        <v>458</v>
      </c>
      <c r="I978" t="s">
        <v>410</v>
      </c>
      <c r="J978" t="s">
        <v>429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1348</v>
      </c>
      <c r="B979" t="s">
        <v>1371</v>
      </c>
      <c r="C979" t="s">
        <v>609</v>
      </c>
      <c r="D979" t="s">
        <v>523</v>
      </c>
      <c r="E979" t="s">
        <v>1419</v>
      </c>
      <c r="F979" t="s">
        <v>1407</v>
      </c>
      <c r="G979" t="s">
        <v>1348</v>
      </c>
      <c r="H979" t="s">
        <v>458</v>
      </c>
      <c r="I979" t="s">
        <v>410</v>
      </c>
      <c r="J979" t="s">
        <v>429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1348</v>
      </c>
      <c r="B980" t="s">
        <v>1371</v>
      </c>
      <c r="C980" t="s">
        <v>609</v>
      </c>
      <c r="D980" t="s">
        <v>523</v>
      </c>
      <c r="E980" t="s">
        <v>1420</v>
      </c>
      <c r="F980" t="s">
        <v>1407</v>
      </c>
      <c r="G980" t="s">
        <v>1348</v>
      </c>
      <c r="H980" t="s">
        <v>458</v>
      </c>
      <c r="I980" t="s">
        <v>410</v>
      </c>
      <c r="J980" t="s">
        <v>429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1348</v>
      </c>
      <c r="B981" t="s">
        <v>1371</v>
      </c>
      <c r="C981" t="s">
        <v>609</v>
      </c>
      <c r="D981" t="s">
        <v>523</v>
      </c>
      <c r="E981" t="s">
        <v>1421</v>
      </c>
      <c r="F981" t="s">
        <v>1407</v>
      </c>
      <c r="G981" t="s">
        <v>1348</v>
      </c>
      <c r="H981" t="s">
        <v>458</v>
      </c>
      <c r="I981" t="s">
        <v>410</v>
      </c>
      <c r="J981" t="s">
        <v>429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1348</v>
      </c>
      <c r="B982" t="s">
        <v>1371</v>
      </c>
      <c r="C982" t="s">
        <v>609</v>
      </c>
      <c r="D982" t="s">
        <v>523</v>
      </c>
      <c r="E982" t="s">
        <v>1422</v>
      </c>
      <c r="F982" t="s">
        <v>1407</v>
      </c>
      <c r="G982" t="s">
        <v>1348</v>
      </c>
      <c r="H982" t="s">
        <v>458</v>
      </c>
      <c r="I982" t="s">
        <v>410</v>
      </c>
      <c r="J982" t="s">
        <v>429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1348</v>
      </c>
      <c r="B983" t="s">
        <v>1371</v>
      </c>
      <c r="C983" t="s">
        <v>368</v>
      </c>
      <c r="D983" t="s">
        <v>523</v>
      </c>
      <c r="E983" t="s">
        <v>1423</v>
      </c>
      <c r="F983" t="s">
        <v>1407</v>
      </c>
      <c r="G983" t="s">
        <v>1348</v>
      </c>
      <c r="H983" t="s">
        <v>458</v>
      </c>
      <c r="I983" t="s">
        <v>410</v>
      </c>
      <c r="J983" t="s">
        <v>429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1348</v>
      </c>
      <c r="B984" t="s">
        <v>1371</v>
      </c>
      <c r="C984" t="s">
        <v>368</v>
      </c>
      <c r="D984" t="s">
        <v>523</v>
      </c>
      <c r="E984" t="s">
        <v>1424</v>
      </c>
      <c r="F984" t="s">
        <v>1407</v>
      </c>
      <c r="G984" t="s">
        <v>1348</v>
      </c>
      <c r="H984" t="s">
        <v>458</v>
      </c>
      <c r="I984" t="s">
        <v>410</v>
      </c>
      <c r="J984" t="s">
        <v>429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1348</v>
      </c>
      <c r="B985" t="s">
        <v>1425</v>
      </c>
      <c r="C985" t="s">
        <v>1341</v>
      </c>
      <c r="D985" t="s">
        <v>523</v>
      </c>
      <c r="E985" t="s">
        <v>1426</v>
      </c>
      <c r="F985" t="s">
        <v>1427</v>
      </c>
      <c r="G985" t="s">
        <v>1348</v>
      </c>
      <c r="H985" t="s">
        <v>1341</v>
      </c>
      <c r="I985" t="s">
        <v>374</v>
      </c>
      <c r="J985" t="s">
        <v>1343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1348</v>
      </c>
      <c r="B986" t="s">
        <v>1428</v>
      </c>
      <c r="C986" t="s">
        <v>1429</v>
      </c>
      <c r="D986" t="s">
        <v>523</v>
      </c>
      <c r="E986" t="s">
        <v>1430</v>
      </c>
      <c r="F986" t="s">
        <v>1431</v>
      </c>
      <c r="G986" t="s">
        <v>1348</v>
      </c>
      <c r="H986" t="s">
        <v>1428</v>
      </c>
      <c r="I986" t="s">
        <v>374</v>
      </c>
      <c r="J986" t="s">
        <v>374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1348</v>
      </c>
      <c r="B987" t="s">
        <v>1428</v>
      </c>
      <c r="C987" t="s">
        <v>1432</v>
      </c>
      <c r="D987" t="s">
        <v>523</v>
      </c>
      <c r="E987" t="s">
        <v>1433</v>
      </c>
      <c r="F987" t="s">
        <v>1431</v>
      </c>
      <c r="G987" t="s">
        <v>1348</v>
      </c>
      <c r="H987" t="s">
        <v>1428</v>
      </c>
      <c r="I987" t="s">
        <v>374</v>
      </c>
      <c r="J987" t="s">
        <v>374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1348</v>
      </c>
      <c r="B988" t="s">
        <v>1428</v>
      </c>
      <c r="C988" t="s">
        <v>1434</v>
      </c>
      <c r="D988" t="s">
        <v>523</v>
      </c>
      <c r="E988" t="s">
        <v>1435</v>
      </c>
      <c r="F988" t="s">
        <v>1431</v>
      </c>
      <c r="G988" t="s">
        <v>1348</v>
      </c>
      <c r="H988" t="s">
        <v>1428</v>
      </c>
      <c r="I988" t="s">
        <v>374</v>
      </c>
      <c r="J988" t="s">
        <v>374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1436</v>
      </c>
      <c r="B989" t="s">
        <v>1437</v>
      </c>
      <c r="C989" t="s">
        <v>1438</v>
      </c>
      <c r="D989" t="s">
        <v>523</v>
      </c>
      <c r="E989" t="s">
        <v>1439</v>
      </c>
      <c r="F989" t="s">
        <v>1440</v>
      </c>
      <c r="G989" t="s">
        <v>1436</v>
      </c>
      <c r="H989" t="s">
        <v>409</v>
      </c>
      <c r="I989" t="s">
        <v>1438</v>
      </c>
      <c r="J989" t="s">
        <v>386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1436</v>
      </c>
      <c r="B990" t="s">
        <v>1441</v>
      </c>
      <c r="C990" t="s">
        <v>368</v>
      </c>
      <c r="D990" t="s">
        <v>523</v>
      </c>
      <c r="E990" t="s">
        <v>1442</v>
      </c>
      <c r="F990" t="s">
        <v>1443</v>
      </c>
      <c r="G990" t="s">
        <v>1436</v>
      </c>
      <c r="H990" t="s">
        <v>458</v>
      </c>
      <c r="I990" t="s">
        <v>374</v>
      </c>
      <c r="J990" t="s">
        <v>1444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1436</v>
      </c>
      <c r="B991" t="s">
        <v>1441</v>
      </c>
      <c r="C991" t="s">
        <v>368</v>
      </c>
      <c r="D991" t="s">
        <v>523</v>
      </c>
      <c r="E991" t="s">
        <v>1445</v>
      </c>
      <c r="F991" t="s">
        <v>1443</v>
      </c>
      <c r="G991" t="s">
        <v>1436</v>
      </c>
      <c r="H991" t="s">
        <v>458</v>
      </c>
      <c r="I991" t="s">
        <v>374</v>
      </c>
      <c r="J991" t="s">
        <v>1444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1436</v>
      </c>
      <c r="B992" t="s">
        <v>1441</v>
      </c>
      <c r="C992" t="s">
        <v>368</v>
      </c>
      <c r="D992" t="s">
        <v>523</v>
      </c>
      <c r="E992" t="s">
        <v>1446</v>
      </c>
      <c r="F992" t="s">
        <v>1443</v>
      </c>
      <c r="G992" t="s">
        <v>1436</v>
      </c>
      <c r="H992" t="s">
        <v>458</v>
      </c>
      <c r="I992" t="s">
        <v>374</v>
      </c>
      <c r="J992" t="s">
        <v>1444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1436</v>
      </c>
      <c r="B993" t="s">
        <v>1441</v>
      </c>
      <c r="C993" t="s">
        <v>368</v>
      </c>
      <c r="D993" t="s">
        <v>523</v>
      </c>
      <c r="E993" t="s">
        <v>1447</v>
      </c>
      <c r="F993" t="s">
        <v>1443</v>
      </c>
      <c r="G993" t="s">
        <v>1436</v>
      </c>
      <c r="H993" t="s">
        <v>458</v>
      </c>
      <c r="I993" t="s">
        <v>374</v>
      </c>
      <c r="J993" t="s">
        <v>1444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1436</v>
      </c>
      <c r="B994" t="s">
        <v>1441</v>
      </c>
      <c r="C994" t="s">
        <v>368</v>
      </c>
      <c r="D994" t="s">
        <v>523</v>
      </c>
      <c r="E994" t="s">
        <v>1448</v>
      </c>
      <c r="F994" t="s">
        <v>1443</v>
      </c>
      <c r="G994" t="s">
        <v>1436</v>
      </c>
      <c r="H994" t="s">
        <v>458</v>
      </c>
      <c r="I994" t="s">
        <v>374</v>
      </c>
      <c r="J994" t="s">
        <v>1444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1436</v>
      </c>
      <c r="B995" t="s">
        <v>1441</v>
      </c>
      <c r="C995" t="s">
        <v>368</v>
      </c>
      <c r="D995" t="s">
        <v>523</v>
      </c>
      <c r="E995" t="s">
        <v>1449</v>
      </c>
      <c r="F995" t="s">
        <v>1443</v>
      </c>
      <c r="G995" t="s">
        <v>1436</v>
      </c>
      <c r="H995" t="s">
        <v>458</v>
      </c>
      <c r="I995" t="s">
        <v>374</v>
      </c>
      <c r="J995" t="s">
        <v>1444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1436</v>
      </c>
      <c r="B996" t="s">
        <v>1441</v>
      </c>
      <c r="C996" t="s">
        <v>368</v>
      </c>
      <c r="D996" t="s">
        <v>523</v>
      </c>
      <c r="E996" t="s">
        <v>1450</v>
      </c>
      <c r="F996" t="s">
        <v>1443</v>
      </c>
      <c r="G996" t="s">
        <v>1436</v>
      </c>
      <c r="H996" t="s">
        <v>458</v>
      </c>
      <c r="I996" t="s">
        <v>374</v>
      </c>
      <c r="J996" t="s">
        <v>1444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1436</v>
      </c>
      <c r="B997" t="s">
        <v>1441</v>
      </c>
      <c r="C997" t="s">
        <v>368</v>
      </c>
      <c r="D997" t="s">
        <v>523</v>
      </c>
      <c r="E997" t="s">
        <v>1451</v>
      </c>
      <c r="F997" t="s">
        <v>1443</v>
      </c>
      <c r="G997" t="s">
        <v>1436</v>
      </c>
      <c r="H997" t="s">
        <v>458</v>
      </c>
      <c r="I997" t="s">
        <v>374</v>
      </c>
      <c r="J997" t="s">
        <v>1444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1436</v>
      </c>
      <c r="B998" t="s">
        <v>1441</v>
      </c>
      <c r="C998" t="s">
        <v>368</v>
      </c>
      <c r="D998" t="s">
        <v>523</v>
      </c>
      <c r="E998" t="s">
        <v>1452</v>
      </c>
      <c r="F998" t="s">
        <v>1443</v>
      </c>
      <c r="G998" t="s">
        <v>1436</v>
      </c>
      <c r="H998" t="s">
        <v>458</v>
      </c>
      <c r="I998" t="s">
        <v>374</v>
      </c>
      <c r="J998" t="s">
        <v>1444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1436</v>
      </c>
      <c r="B999" t="s">
        <v>1441</v>
      </c>
      <c r="C999" t="s">
        <v>368</v>
      </c>
      <c r="D999" t="s">
        <v>523</v>
      </c>
      <c r="E999" t="s">
        <v>1453</v>
      </c>
      <c r="F999" t="s">
        <v>1443</v>
      </c>
      <c r="G999" t="s">
        <v>1436</v>
      </c>
      <c r="H999" t="s">
        <v>458</v>
      </c>
      <c r="I999" t="s">
        <v>374</v>
      </c>
      <c r="J999" t="s">
        <v>1444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1436</v>
      </c>
      <c r="B1000" t="s">
        <v>1441</v>
      </c>
      <c r="C1000" t="s">
        <v>368</v>
      </c>
      <c r="D1000" t="s">
        <v>523</v>
      </c>
      <c r="E1000" t="s">
        <v>1454</v>
      </c>
      <c r="F1000" t="s">
        <v>1443</v>
      </c>
      <c r="G1000" t="s">
        <v>1436</v>
      </c>
      <c r="H1000" t="s">
        <v>458</v>
      </c>
      <c r="I1000" t="s">
        <v>374</v>
      </c>
      <c r="J1000" t="s">
        <v>1444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1436</v>
      </c>
      <c r="B1001" t="s">
        <v>1441</v>
      </c>
      <c r="C1001" t="s">
        <v>368</v>
      </c>
      <c r="D1001" t="s">
        <v>523</v>
      </c>
      <c r="E1001" t="s">
        <v>1455</v>
      </c>
      <c r="F1001" t="s">
        <v>1443</v>
      </c>
      <c r="G1001" t="s">
        <v>1436</v>
      </c>
      <c r="H1001" t="s">
        <v>458</v>
      </c>
      <c r="I1001" t="s">
        <v>374</v>
      </c>
      <c r="J1001" t="s">
        <v>1444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1436</v>
      </c>
      <c r="B1002" t="s">
        <v>1441</v>
      </c>
      <c r="C1002" t="s">
        <v>368</v>
      </c>
      <c r="D1002" t="s">
        <v>523</v>
      </c>
      <c r="E1002" t="s">
        <v>1456</v>
      </c>
      <c r="F1002" t="s">
        <v>1443</v>
      </c>
      <c r="G1002" t="s">
        <v>1436</v>
      </c>
      <c r="H1002" t="s">
        <v>458</v>
      </c>
      <c r="I1002" t="s">
        <v>374</v>
      </c>
      <c r="J1002" t="s">
        <v>1444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1436</v>
      </c>
      <c r="B1003" t="s">
        <v>1441</v>
      </c>
      <c r="C1003" t="s">
        <v>609</v>
      </c>
      <c r="D1003" t="s">
        <v>523</v>
      </c>
      <c r="E1003" t="s">
        <v>1457</v>
      </c>
      <c r="F1003" t="s">
        <v>1443</v>
      </c>
      <c r="G1003" t="s">
        <v>1436</v>
      </c>
      <c r="H1003" t="s">
        <v>458</v>
      </c>
      <c r="I1003" t="s">
        <v>374</v>
      </c>
      <c r="J1003" t="s">
        <v>1444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1436</v>
      </c>
      <c r="B1004" t="s">
        <v>1441</v>
      </c>
      <c r="C1004" t="s">
        <v>609</v>
      </c>
      <c r="D1004" t="s">
        <v>523</v>
      </c>
      <c r="E1004" t="s">
        <v>1458</v>
      </c>
      <c r="F1004" t="s">
        <v>1443</v>
      </c>
      <c r="G1004" t="s">
        <v>1436</v>
      </c>
      <c r="H1004" t="s">
        <v>458</v>
      </c>
      <c r="I1004" t="s">
        <v>374</v>
      </c>
      <c r="J1004" t="s">
        <v>1444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1436</v>
      </c>
      <c r="B1005" t="s">
        <v>1441</v>
      </c>
      <c r="C1005" t="s">
        <v>609</v>
      </c>
      <c r="D1005" t="s">
        <v>523</v>
      </c>
      <c r="E1005" t="s">
        <v>1459</v>
      </c>
      <c r="F1005" t="s">
        <v>1443</v>
      </c>
      <c r="G1005" t="s">
        <v>1436</v>
      </c>
      <c r="H1005" t="s">
        <v>458</v>
      </c>
      <c r="I1005" t="s">
        <v>374</v>
      </c>
      <c r="J1005" t="s">
        <v>1444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1436</v>
      </c>
      <c r="B1006" t="s">
        <v>1441</v>
      </c>
      <c r="C1006" t="s">
        <v>609</v>
      </c>
      <c r="D1006" t="s">
        <v>523</v>
      </c>
      <c r="E1006" t="s">
        <v>1460</v>
      </c>
      <c r="F1006" t="s">
        <v>1443</v>
      </c>
      <c r="G1006" t="s">
        <v>1436</v>
      </c>
      <c r="H1006" t="s">
        <v>458</v>
      </c>
      <c r="I1006" t="s">
        <v>374</v>
      </c>
      <c r="J1006" t="s">
        <v>1444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1436</v>
      </c>
      <c r="B1007" t="s">
        <v>1441</v>
      </c>
      <c r="C1007" t="s">
        <v>609</v>
      </c>
      <c r="D1007" t="s">
        <v>523</v>
      </c>
      <c r="E1007" t="s">
        <v>1461</v>
      </c>
      <c r="F1007" t="s">
        <v>1443</v>
      </c>
      <c r="G1007" t="s">
        <v>1436</v>
      </c>
      <c r="H1007" t="s">
        <v>458</v>
      </c>
      <c r="I1007" t="s">
        <v>374</v>
      </c>
      <c r="J1007" t="s">
        <v>1444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1436</v>
      </c>
      <c r="B1008" t="s">
        <v>1441</v>
      </c>
      <c r="C1008" t="s">
        <v>368</v>
      </c>
      <c r="D1008" t="s">
        <v>523</v>
      </c>
      <c r="E1008" t="s">
        <v>1462</v>
      </c>
      <c r="F1008" t="s">
        <v>1443</v>
      </c>
      <c r="G1008" t="s">
        <v>1436</v>
      </c>
      <c r="H1008" t="s">
        <v>458</v>
      </c>
      <c r="I1008" t="s">
        <v>374</v>
      </c>
      <c r="J1008" t="s">
        <v>1444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1436</v>
      </c>
      <c r="B1009" t="s">
        <v>1441</v>
      </c>
      <c r="C1009" t="s">
        <v>368</v>
      </c>
      <c r="D1009" t="s">
        <v>523</v>
      </c>
      <c r="E1009" t="s">
        <v>1463</v>
      </c>
      <c r="F1009" t="s">
        <v>1443</v>
      </c>
      <c r="G1009" t="s">
        <v>1436</v>
      </c>
      <c r="H1009" t="s">
        <v>458</v>
      </c>
      <c r="I1009" t="s">
        <v>374</v>
      </c>
      <c r="J1009" t="s">
        <v>1444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1436</v>
      </c>
      <c r="B1010" t="s">
        <v>1464</v>
      </c>
      <c r="C1010" t="s">
        <v>368</v>
      </c>
      <c r="D1010" t="s">
        <v>523</v>
      </c>
      <c r="E1010" t="s">
        <v>1465</v>
      </c>
      <c r="F1010" t="s">
        <v>1466</v>
      </c>
      <c r="G1010" t="s">
        <v>1436</v>
      </c>
      <c r="H1010" t="s">
        <v>458</v>
      </c>
      <c r="I1010" t="s">
        <v>374</v>
      </c>
      <c r="J1010" t="s">
        <v>1467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1436</v>
      </c>
      <c r="B1011" t="s">
        <v>1464</v>
      </c>
      <c r="C1011" t="s">
        <v>368</v>
      </c>
      <c r="D1011" t="s">
        <v>523</v>
      </c>
      <c r="E1011" t="s">
        <v>1468</v>
      </c>
      <c r="F1011" t="s">
        <v>1466</v>
      </c>
      <c r="G1011" t="s">
        <v>1436</v>
      </c>
      <c r="H1011" t="s">
        <v>458</v>
      </c>
      <c r="I1011" t="s">
        <v>374</v>
      </c>
      <c r="J1011" t="s">
        <v>1467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1436</v>
      </c>
      <c r="B1012" t="s">
        <v>1464</v>
      </c>
      <c r="C1012" t="s">
        <v>368</v>
      </c>
      <c r="D1012" t="s">
        <v>523</v>
      </c>
      <c r="E1012" t="s">
        <v>1469</v>
      </c>
      <c r="F1012" t="s">
        <v>1466</v>
      </c>
      <c r="G1012" t="s">
        <v>1436</v>
      </c>
      <c r="H1012" t="s">
        <v>458</v>
      </c>
      <c r="I1012" t="s">
        <v>374</v>
      </c>
      <c r="J1012" t="s">
        <v>1467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1436</v>
      </c>
      <c r="B1013" t="s">
        <v>1464</v>
      </c>
      <c r="C1013" t="s">
        <v>368</v>
      </c>
      <c r="D1013" t="s">
        <v>523</v>
      </c>
      <c r="E1013" t="s">
        <v>1470</v>
      </c>
      <c r="F1013" t="s">
        <v>1466</v>
      </c>
      <c r="G1013" t="s">
        <v>1436</v>
      </c>
      <c r="H1013" t="s">
        <v>458</v>
      </c>
      <c r="I1013" t="s">
        <v>374</v>
      </c>
      <c r="J1013" t="s">
        <v>1467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1436</v>
      </c>
      <c r="B1014" t="s">
        <v>1464</v>
      </c>
      <c r="C1014" t="s">
        <v>368</v>
      </c>
      <c r="D1014" t="s">
        <v>523</v>
      </c>
      <c r="E1014" t="s">
        <v>1471</v>
      </c>
      <c r="F1014" t="s">
        <v>1466</v>
      </c>
      <c r="G1014" t="s">
        <v>1436</v>
      </c>
      <c r="H1014" t="s">
        <v>458</v>
      </c>
      <c r="I1014" t="s">
        <v>374</v>
      </c>
      <c r="J1014" t="s">
        <v>1467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1436</v>
      </c>
      <c r="B1015" t="s">
        <v>1464</v>
      </c>
      <c r="C1015" t="s">
        <v>368</v>
      </c>
      <c r="D1015" t="s">
        <v>523</v>
      </c>
      <c r="E1015" t="s">
        <v>1472</v>
      </c>
      <c r="F1015" t="s">
        <v>1466</v>
      </c>
      <c r="G1015" t="s">
        <v>1436</v>
      </c>
      <c r="H1015" t="s">
        <v>458</v>
      </c>
      <c r="I1015" t="s">
        <v>374</v>
      </c>
      <c r="J1015" t="s">
        <v>1467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1436</v>
      </c>
      <c r="B1016" t="s">
        <v>1464</v>
      </c>
      <c r="C1016" t="s">
        <v>368</v>
      </c>
      <c r="D1016" t="s">
        <v>523</v>
      </c>
      <c r="E1016" t="s">
        <v>1473</v>
      </c>
      <c r="F1016" t="s">
        <v>1466</v>
      </c>
      <c r="G1016" t="s">
        <v>1436</v>
      </c>
      <c r="H1016" t="s">
        <v>458</v>
      </c>
      <c r="I1016" t="s">
        <v>374</v>
      </c>
      <c r="J1016" t="s">
        <v>1467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1436</v>
      </c>
      <c r="B1017" t="s">
        <v>1464</v>
      </c>
      <c r="C1017" t="s">
        <v>368</v>
      </c>
      <c r="D1017" t="s">
        <v>523</v>
      </c>
      <c r="E1017" t="s">
        <v>1474</v>
      </c>
      <c r="F1017" t="s">
        <v>1466</v>
      </c>
      <c r="G1017" t="s">
        <v>1436</v>
      </c>
      <c r="H1017" t="s">
        <v>458</v>
      </c>
      <c r="I1017" t="s">
        <v>374</v>
      </c>
      <c r="J1017" t="s">
        <v>1467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1436</v>
      </c>
      <c r="B1018" t="s">
        <v>1464</v>
      </c>
      <c r="C1018" t="s">
        <v>368</v>
      </c>
      <c r="D1018" t="s">
        <v>523</v>
      </c>
      <c r="E1018" t="s">
        <v>1475</v>
      </c>
      <c r="F1018" t="s">
        <v>1466</v>
      </c>
      <c r="G1018" t="s">
        <v>1436</v>
      </c>
      <c r="H1018" t="s">
        <v>458</v>
      </c>
      <c r="I1018" t="s">
        <v>374</v>
      </c>
      <c r="J1018" t="s">
        <v>1467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1436</v>
      </c>
      <c r="B1019" t="s">
        <v>1464</v>
      </c>
      <c r="C1019" t="s">
        <v>368</v>
      </c>
      <c r="D1019" t="s">
        <v>523</v>
      </c>
      <c r="E1019" t="s">
        <v>1476</v>
      </c>
      <c r="F1019" t="s">
        <v>1466</v>
      </c>
      <c r="G1019" t="s">
        <v>1436</v>
      </c>
      <c r="H1019" t="s">
        <v>458</v>
      </c>
      <c r="I1019" t="s">
        <v>374</v>
      </c>
      <c r="J1019" t="s">
        <v>1467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1436</v>
      </c>
      <c r="B1020" t="s">
        <v>1464</v>
      </c>
      <c r="C1020" t="s">
        <v>368</v>
      </c>
      <c r="D1020" t="s">
        <v>523</v>
      </c>
      <c r="E1020" t="s">
        <v>1477</v>
      </c>
      <c r="F1020" t="s">
        <v>1466</v>
      </c>
      <c r="G1020" t="s">
        <v>1436</v>
      </c>
      <c r="H1020" t="s">
        <v>458</v>
      </c>
      <c r="I1020" t="s">
        <v>374</v>
      </c>
      <c r="J1020" t="s">
        <v>1467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1436</v>
      </c>
      <c r="B1021" t="s">
        <v>1464</v>
      </c>
      <c r="C1021" t="s">
        <v>368</v>
      </c>
      <c r="D1021" t="s">
        <v>523</v>
      </c>
      <c r="E1021" t="s">
        <v>1478</v>
      </c>
      <c r="F1021" t="s">
        <v>1466</v>
      </c>
      <c r="G1021" t="s">
        <v>1436</v>
      </c>
      <c r="H1021" t="s">
        <v>458</v>
      </c>
      <c r="I1021" t="s">
        <v>374</v>
      </c>
      <c r="J1021" t="s">
        <v>1467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1436</v>
      </c>
      <c r="B1022" t="s">
        <v>1464</v>
      </c>
      <c r="C1022" t="s">
        <v>368</v>
      </c>
      <c r="D1022" t="s">
        <v>523</v>
      </c>
      <c r="E1022" t="s">
        <v>1479</v>
      </c>
      <c r="F1022" t="s">
        <v>1466</v>
      </c>
      <c r="G1022" t="s">
        <v>1436</v>
      </c>
      <c r="H1022" t="s">
        <v>458</v>
      </c>
      <c r="I1022" t="s">
        <v>374</v>
      </c>
      <c r="J1022" t="s">
        <v>1467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1436</v>
      </c>
      <c r="B1023" t="s">
        <v>1464</v>
      </c>
      <c r="C1023" t="s">
        <v>609</v>
      </c>
      <c r="D1023" t="s">
        <v>523</v>
      </c>
      <c r="E1023" t="s">
        <v>1480</v>
      </c>
      <c r="F1023" t="s">
        <v>1466</v>
      </c>
      <c r="G1023" t="s">
        <v>1436</v>
      </c>
      <c r="H1023" t="s">
        <v>458</v>
      </c>
      <c r="I1023" t="s">
        <v>374</v>
      </c>
      <c r="J1023" t="s">
        <v>1467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1436</v>
      </c>
      <c r="B1024" t="s">
        <v>1464</v>
      </c>
      <c r="C1024" t="s">
        <v>609</v>
      </c>
      <c r="D1024" t="s">
        <v>523</v>
      </c>
      <c r="E1024" t="s">
        <v>1481</v>
      </c>
      <c r="F1024" t="s">
        <v>1466</v>
      </c>
      <c r="G1024" t="s">
        <v>1436</v>
      </c>
      <c r="H1024" t="s">
        <v>458</v>
      </c>
      <c r="I1024" t="s">
        <v>374</v>
      </c>
      <c r="J1024" t="s">
        <v>1467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1436</v>
      </c>
      <c r="B1025" t="s">
        <v>1464</v>
      </c>
      <c r="C1025" t="s">
        <v>609</v>
      </c>
      <c r="D1025" t="s">
        <v>523</v>
      </c>
      <c r="E1025" t="s">
        <v>1482</v>
      </c>
      <c r="F1025" t="s">
        <v>1466</v>
      </c>
      <c r="G1025" t="s">
        <v>1436</v>
      </c>
      <c r="H1025" t="s">
        <v>458</v>
      </c>
      <c r="I1025" t="s">
        <v>374</v>
      </c>
      <c r="J1025" t="s">
        <v>1467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1436</v>
      </c>
      <c r="B1026" t="s">
        <v>1464</v>
      </c>
      <c r="C1026" t="s">
        <v>609</v>
      </c>
      <c r="D1026" t="s">
        <v>523</v>
      </c>
      <c r="E1026" t="s">
        <v>1483</v>
      </c>
      <c r="F1026" t="s">
        <v>1466</v>
      </c>
      <c r="G1026" t="s">
        <v>1436</v>
      </c>
      <c r="H1026" t="s">
        <v>458</v>
      </c>
      <c r="I1026" t="s">
        <v>374</v>
      </c>
      <c r="J1026" t="s">
        <v>1467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1436</v>
      </c>
      <c r="B1027" t="s">
        <v>1464</v>
      </c>
      <c r="C1027" t="s">
        <v>609</v>
      </c>
      <c r="D1027" t="s">
        <v>523</v>
      </c>
      <c r="E1027" t="s">
        <v>1484</v>
      </c>
      <c r="F1027" t="s">
        <v>1466</v>
      </c>
      <c r="G1027" t="s">
        <v>1436</v>
      </c>
      <c r="H1027" t="s">
        <v>458</v>
      </c>
      <c r="I1027" t="s">
        <v>374</v>
      </c>
      <c r="J1027" t="s">
        <v>1467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1436</v>
      </c>
      <c r="B1028" t="s">
        <v>1464</v>
      </c>
      <c r="C1028" t="s">
        <v>368</v>
      </c>
      <c r="D1028" t="s">
        <v>523</v>
      </c>
      <c r="E1028" t="s">
        <v>1485</v>
      </c>
      <c r="F1028" t="s">
        <v>1466</v>
      </c>
      <c r="G1028" t="s">
        <v>1436</v>
      </c>
      <c r="H1028" t="s">
        <v>458</v>
      </c>
      <c r="I1028" t="s">
        <v>374</v>
      </c>
      <c r="J1028" t="s">
        <v>1467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1436</v>
      </c>
      <c r="B1029" t="s">
        <v>1464</v>
      </c>
      <c r="C1029" t="s">
        <v>368</v>
      </c>
      <c r="D1029" t="s">
        <v>523</v>
      </c>
      <c r="E1029" t="s">
        <v>1486</v>
      </c>
      <c r="F1029" t="s">
        <v>1466</v>
      </c>
      <c r="G1029" t="s">
        <v>1436</v>
      </c>
      <c r="H1029" t="s">
        <v>458</v>
      </c>
      <c r="I1029" t="s">
        <v>374</v>
      </c>
      <c r="J1029" t="s">
        <v>1467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1436</v>
      </c>
      <c r="B1030" t="s">
        <v>1487</v>
      </c>
      <c r="C1030" t="s">
        <v>368</v>
      </c>
      <c r="D1030" t="s">
        <v>523</v>
      </c>
      <c r="E1030" t="s">
        <v>1488</v>
      </c>
      <c r="F1030" t="s">
        <v>1489</v>
      </c>
      <c r="G1030" t="s">
        <v>1436</v>
      </c>
      <c r="H1030" t="s">
        <v>458</v>
      </c>
      <c r="I1030" t="s">
        <v>374</v>
      </c>
      <c r="J1030" t="s">
        <v>1490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1436</v>
      </c>
      <c r="B1031" t="s">
        <v>1487</v>
      </c>
      <c r="C1031" t="s">
        <v>368</v>
      </c>
      <c r="D1031" t="s">
        <v>523</v>
      </c>
      <c r="E1031" t="s">
        <v>1491</v>
      </c>
      <c r="F1031" t="s">
        <v>1489</v>
      </c>
      <c r="G1031" t="s">
        <v>1436</v>
      </c>
      <c r="H1031" t="s">
        <v>458</v>
      </c>
      <c r="I1031" t="s">
        <v>374</v>
      </c>
      <c r="J1031" t="s">
        <v>1490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1436</v>
      </c>
      <c r="B1032" t="s">
        <v>1487</v>
      </c>
      <c r="C1032" t="s">
        <v>368</v>
      </c>
      <c r="D1032" t="s">
        <v>523</v>
      </c>
      <c r="E1032" t="s">
        <v>1492</v>
      </c>
      <c r="F1032" t="s">
        <v>1489</v>
      </c>
      <c r="G1032" t="s">
        <v>1436</v>
      </c>
      <c r="H1032" t="s">
        <v>458</v>
      </c>
      <c r="I1032" t="s">
        <v>374</v>
      </c>
      <c r="J1032" t="s">
        <v>1490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1436</v>
      </c>
      <c r="B1033" t="s">
        <v>1487</v>
      </c>
      <c r="C1033" t="s">
        <v>368</v>
      </c>
      <c r="D1033" t="s">
        <v>523</v>
      </c>
      <c r="E1033" t="s">
        <v>1493</v>
      </c>
      <c r="F1033" t="s">
        <v>1489</v>
      </c>
      <c r="G1033" t="s">
        <v>1436</v>
      </c>
      <c r="H1033" t="s">
        <v>458</v>
      </c>
      <c r="I1033" t="s">
        <v>374</v>
      </c>
      <c r="J1033" t="s">
        <v>1490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1436</v>
      </c>
      <c r="B1034" t="s">
        <v>1487</v>
      </c>
      <c r="C1034" t="s">
        <v>368</v>
      </c>
      <c r="D1034" t="s">
        <v>523</v>
      </c>
      <c r="E1034" t="s">
        <v>1494</v>
      </c>
      <c r="F1034" t="s">
        <v>1489</v>
      </c>
      <c r="G1034" t="s">
        <v>1436</v>
      </c>
      <c r="H1034" t="s">
        <v>458</v>
      </c>
      <c r="I1034" t="s">
        <v>374</v>
      </c>
      <c r="J1034" t="s">
        <v>1490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1436</v>
      </c>
      <c r="B1035" t="s">
        <v>1487</v>
      </c>
      <c r="C1035" t="s">
        <v>368</v>
      </c>
      <c r="D1035" t="s">
        <v>523</v>
      </c>
      <c r="E1035" t="s">
        <v>1495</v>
      </c>
      <c r="F1035" t="s">
        <v>1489</v>
      </c>
      <c r="G1035" t="s">
        <v>1436</v>
      </c>
      <c r="H1035" t="s">
        <v>458</v>
      </c>
      <c r="I1035" t="s">
        <v>374</v>
      </c>
      <c r="J1035" t="s">
        <v>1490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1436</v>
      </c>
      <c r="B1036" t="s">
        <v>1487</v>
      </c>
      <c r="C1036" t="s">
        <v>368</v>
      </c>
      <c r="D1036" t="s">
        <v>523</v>
      </c>
      <c r="E1036" t="s">
        <v>1496</v>
      </c>
      <c r="F1036" t="s">
        <v>1489</v>
      </c>
      <c r="G1036" t="s">
        <v>1436</v>
      </c>
      <c r="H1036" t="s">
        <v>458</v>
      </c>
      <c r="I1036" t="s">
        <v>374</v>
      </c>
      <c r="J1036" t="s">
        <v>1490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1436</v>
      </c>
      <c r="B1037" t="s">
        <v>1487</v>
      </c>
      <c r="C1037" t="s">
        <v>368</v>
      </c>
      <c r="D1037" t="s">
        <v>523</v>
      </c>
      <c r="E1037" t="s">
        <v>1497</v>
      </c>
      <c r="F1037" t="s">
        <v>1489</v>
      </c>
      <c r="G1037" t="s">
        <v>1436</v>
      </c>
      <c r="H1037" t="s">
        <v>458</v>
      </c>
      <c r="I1037" t="s">
        <v>374</v>
      </c>
      <c r="J1037" t="s">
        <v>1490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1436</v>
      </c>
      <c r="B1038" t="s">
        <v>1487</v>
      </c>
      <c r="C1038" t="s">
        <v>368</v>
      </c>
      <c r="D1038" t="s">
        <v>523</v>
      </c>
      <c r="E1038" t="s">
        <v>1498</v>
      </c>
      <c r="F1038" t="s">
        <v>1489</v>
      </c>
      <c r="G1038" t="s">
        <v>1436</v>
      </c>
      <c r="H1038" t="s">
        <v>458</v>
      </c>
      <c r="I1038" t="s">
        <v>374</v>
      </c>
      <c r="J1038" t="s">
        <v>1490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1436</v>
      </c>
      <c r="B1039" t="s">
        <v>1487</v>
      </c>
      <c r="C1039" t="s">
        <v>368</v>
      </c>
      <c r="D1039" t="s">
        <v>523</v>
      </c>
      <c r="E1039" t="s">
        <v>1499</v>
      </c>
      <c r="F1039" t="s">
        <v>1489</v>
      </c>
      <c r="G1039" t="s">
        <v>1436</v>
      </c>
      <c r="H1039" t="s">
        <v>458</v>
      </c>
      <c r="I1039" t="s">
        <v>374</v>
      </c>
      <c r="J1039" t="s">
        <v>1490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1436</v>
      </c>
      <c r="B1040" t="s">
        <v>1487</v>
      </c>
      <c r="C1040" t="s">
        <v>368</v>
      </c>
      <c r="D1040" t="s">
        <v>523</v>
      </c>
      <c r="E1040" t="s">
        <v>1500</v>
      </c>
      <c r="F1040" t="s">
        <v>1489</v>
      </c>
      <c r="G1040" t="s">
        <v>1436</v>
      </c>
      <c r="H1040" t="s">
        <v>458</v>
      </c>
      <c r="I1040" t="s">
        <v>374</v>
      </c>
      <c r="J1040" t="s">
        <v>1490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1436</v>
      </c>
      <c r="B1041" t="s">
        <v>1487</v>
      </c>
      <c r="C1041" t="s">
        <v>368</v>
      </c>
      <c r="D1041" t="s">
        <v>523</v>
      </c>
      <c r="E1041" t="s">
        <v>1501</v>
      </c>
      <c r="F1041" t="s">
        <v>1489</v>
      </c>
      <c r="G1041" t="s">
        <v>1436</v>
      </c>
      <c r="H1041" t="s">
        <v>458</v>
      </c>
      <c r="I1041" t="s">
        <v>374</v>
      </c>
      <c r="J1041" t="s">
        <v>1490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1436</v>
      </c>
      <c r="B1042" t="s">
        <v>1487</v>
      </c>
      <c r="C1042" t="s">
        <v>368</v>
      </c>
      <c r="D1042" t="s">
        <v>523</v>
      </c>
      <c r="E1042" t="s">
        <v>1502</v>
      </c>
      <c r="F1042" t="s">
        <v>1489</v>
      </c>
      <c r="G1042" t="s">
        <v>1436</v>
      </c>
      <c r="H1042" t="s">
        <v>458</v>
      </c>
      <c r="I1042" t="s">
        <v>374</v>
      </c>
      <c r="J1042" t="s">
        <v>1490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1436</v>
      </c>
      <c r="B1043" t="s">
        <v>1487</v>
      </c>
      <c r="C1043" t="s">
        <v>609</v>
      </c>
      <c r="D1043" t="s">
        <v>523</v>
      </c>
      <c r="E1043" t="s">
        <v>1503</v>
      </c>
      <c r="F1043" t="s">
        <v>1489</v>
      </c>
      <c r="G1043" t="s">
        <v>1436</v>
      </c>
      <c r="H1043" t="s">
        <v>458</v>
      </c>
      <c r="I1043" t="s">
        <v>374</v>
      </c>
      <c r="J1043" t="s">
        <v>1490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1436</v>
      </c>
      <c r="B1044" t="s">
        <v>1487</v>
      </c>
      <c r="C1044" t="s">
        <v>609</v>
      </c>
      <c r="D1044" t="s">
        <v>523</v>
      </c>
      <c r="E1044" t="s">
        <v>1504</v>
      </c>
      <c r="F1044" t="s">
        <v>1489</v>
      </c>
      <c r="G1044" t="s">
        <v>1436</v>
      </c>
      <c r="H1044" t="s">
        <v>458</v>
      </c>
      <c r="I1044" t="s">
        <v>374</v>
      </c>
      <c r="J1044" t="s">
        <v>1490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1436</v>
      </c>
      <c r="B1045" t="s">
        <v>1487</v>
      </c>
      <c r="C1045" t="s">
        <v>609</v>
      </c>
      <c r="D1045" t="s">
        <v>523</v>
      </c>
      <c r="E1045" t="s">
        <v>1505</v>
      </c>
      <c r="F1045" t="s">
        <v>1489</v>
      </c>
      <c r="G1045" t="s">
        <v>1436</v>
      </c>
      <c r="H1045" t="s">
        <v>458</v>
      </c>
      <c r="I1045" t="s">
        <v>374</v>
      </c>
      <c r="J1045" t="s">
        <v>1490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1436</v>
      </c>
      <c r="B1046" t="s">
        <v>1487</v>
      </c>
      <c r="C1046" t="s">
        <v>609</v>
      </c>
      <c r="D1046" t="s">
        <v>523</v>
      </c>
      <c r="E1046" t="s">
        <v>1506</v>
      </c>
      <c r="F1046" t="s">
        <v>1489</v>
      </c>
      <c r="G1046" t="s">
        <v>1436</v>
      </c>
      <c r="H1046" t="s">
        <v>458</v>
      </c>
      <c r="I1046" t="s">
        <v>374</v>
      </c>
      <c r="J1046" t="s">
        <v>1490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1436</v>
      </c>
      <c r="B1047" t="s">
        <v>1487</v>
      </c>
      <c r="C1047" t="s">
        <v>609</v>
      </c>
      <c r="D1047" t="s">
        <v>523</v>
      </c>
      <c r="E1047" t="s">
        <v>1507</v>
      </c>
      <c r="F1047" t="s">
        <v>1489</v>
      </c>
      <c r="G1047" t="s">
        <v>1436</v>
      </c>
      <c r="H1047" t="s">
        <v>458</v>
      </c>
      <c r="I1047" t="s">
        <v>374</v>
      </c>
      <c r="J1047" t="s">
        <v>1490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1436</v>
      </c>
      <c r="B1048" t="s">
        <v>1487</v>
      </c>
      <c r="C1048" t="s">
        <v>368</v>
      </c>
      <c r="D1048" t="s">
        <v>523</v>
      </c>
      <c r="E1048" t="s">
        <v>1508</v>
      </c>
      <c r="F1048" t="s">
        <v>1489</v>
      </c>
      <c r="G1048" t="s">
        <v>1436</v>
      </c>
      <c r="H1048" t="s">
        <v>458</v>
      </c>
      <c r="I1048" t="s">
        <v>374</v>
      </c>
      <c r="J1048" t="s">
        <v>1490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1436</v>
      </c>
      <c r="B1049" t="s">
        <v>1487</v>
      </c>
      <c r="C1049" t="s">
        <v>368</v>
      </c>
      <c r="D1049" t="s">
        <v>523</v>
      </c>
      <c r="E1049" t="s">
        <v>1509</v>
      </c>
      <c r="F1049" t="s">
        <v>1489</v>
      </c>
      <c r="G1049" t="s">
        <v>1436</v>
      </c>
      <c r="H1049" t="s">
        <v>458</v>
      </c>
      <c r="I1049" t="s">
        <v>374</v>
      </c>
      <c r="J1049" t="s">
        <v>1490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1436</v>
      </c>
      <c r="B1050" t="s">
        <v>1510</v>
      </c>
      <c r="C1050" t="s">
        <v>368</v>
      </c>
      <c r="D1050" t="s">
        <v>523</v>
      </c>
      <c r="E1050" t="s">
        <v>1511</v>
      </c>
      <c r="F1050" t="s">
        <v>1512</v>
      </c>
      <c r="G1050" t="s">
        <v>1436</v>
      </c>
      <c r="H1050" t="s">
        <v>458</v>
      </c>
      <c r="I1050" t="s">
        <v>374</v>
      </c>
      <c r="J1050" t="s">
        <v>667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1436</v>
      </c>
      <c r="B1051" t="s">
        <v>1510</v>
      </c>
      <c r="C1051" t="s">
        <v>368</v>
      </c>
      <c r="D1051" t="s">
        <v>523</v>
      </c>
      <c r="E1051" t="s">
        <v>1513</v>
      </c>
      <c r="F1051" t="s">
        <v>1512</v>
      </c>
      <c r="G1051" t="s">
        <v>1436</v>
      </c>
      <c r="H1051" t="s">
        <v>458</v>
      </c>
      <c r="I1051" t="s">
        <v>374</v>
      </c>
      <c r="J1051" t="s">
        <v>667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1436</v>
      </c>
      <c r="B1052" t="s">
        <v>1510</v>
      </c>
      <c r="C1052" t="s">
        <v>368</v>
      </c>
      <c r="D1052" t="s">
        <v>523</v>
      </c>
      <c r="E1052" t="s">
        <v>1514</v>
      </c>
      <c r="F1052" t="s">
        <v>1512</v>
      </c>
      <c r="G1052" t="s">
        <v>1436</v>
      </c>
      <c r="H1052" t="s">
        <v>458</v>
      </c>
      <c r="I1052" t="s">
        <v>374</v>
      </c>
      <c r="J1052" t="s">
        <v>667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1436</v>
      </c>
      <c r="B1053" t="s">
        <v>1510</v>
      </c>
      <c r="C1053" t="s">
        <v>368</v>
      </c>
      <c r="D1053" t="s">
        <v>523</v>
      </c>
      <c r="E1053" t="s">
        <v>1515</v>
      </c>
      <c r="F1053" t="s">
        <v>1512</v>
      </c>
      <c r="G1053" t="s">
        <v>1436</v>
      </c>
      <c r="H1053" t="s">
        <v>458</v>
      </c>
      <c r="I1053" t="s">
        <v>374</v>
      </c>
      <c r="J1053" t="s">
        <v>667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1436</v>
      </c>
      <c r="B1054" t="s">
        <v>1510</v>
      </c>
      <c r="C1054" t="s">
        <v>368</v>
      </c>
      <c r="D1054" t="s">
        <v>523</v>
      </c>
      <c r="E1054" t="s">
        <v>1516</v>
      </c>
      <c r="F1054" t="s">
        <v>1512</v>
      </c>
      <c r="G1054" t="s">
        <v>1436</v>
      </c>
      <c r="H1054" t="s">
        <v>458</v>
      </c>
      <c r="I1054" t="s">
        <v>374</v>
      </c>
      <c r="J1054" t="s">
        <v>667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1436</v>
      </c>
      <c r="B1055" t="s">
        <v>1510</v>
      </c>
      <c r="C1055" t="s">
        <v>368</v>
      </c>
      <c r="D1055" t="s">
        <v>523</v>
      </c>
      <c r="E1055" t="s">
        <v>1517</v>
      </c>
      <c r="F1055" t="s">
        <v>1512</v>
      </c>
      <c r="G1055" t="s">
        <v>1436</v>
      </c>
      <c r="H1055" t="s">
        <v>458</v>
      </c>
      <c r="I1055" t="s">
        <v>374</v>
      </c>
      <c r="J1055" t="s">
        <v>667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1436</v>
      </c>
      <c r="B1056" t="s">
        <v>1510</v>
      </c>
      <c r="C1056" t="s">
        <v>368</v>
      </c>
      <c r="D1056" t="s">
        <v>523</v>
      </c>
      <c r="E1056" t="s">
        <v>1518</v>
      </c>
      <c r="F1056" t="s">
        <v>1512</v>
      </c>
      <c r="G1056" t="s">
        <v>1436</v>
      </c>
      <c r="H1056" t="s">
        <v>458</v>
      </c>
      <c r="I1056" t="s">
        <v>374</v>
      </c>
      <c r="J1056" t="s">
        <v>667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1436</v>
      </c>
      <c r="B1057" t="s">
        <v>1510</v>
      </c>
      <c r="C1057" t="s">
        <v>368</v>
      </c>
      <c r="D1057" t="s">
        <v>523</v>
      </c>
      <c r="E1057" t="s">
        <v>1519</v>
      </c>
      <c r="F1057" t="s">
        <v>1512</v>
      </c>
      <c r="G1057" t="s">
        <v>1436</v>
      </c>
      <c r="H1057" t="s">
        <v>458</v>
      </c>
      <c r="I1057" t="s">
        <v>374</v>
      </c>
      <c r="J1057" t="s">
        <v>667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1436</v>
      </c>
      <c r="B1058" t="s">
        <v>1510</v>
      </c>
      <c r="C1058" t="s">
        <v>368</v>
      </c>
      <c r="D1058" t="s">
        <v>523</v>
      </c>
      <c r="E1058" t="s">
        <v>1520</v>
      </c>
      <c r="F1058" t="s">
        <v>1512</v>
      </c>
      <c r="G1058" t="s">
        <v>1436</v>
      </c>
      <c r="H1058" t="s">
        <v>458</v>
      </c>
      <c r="I1058" t="s">
        <v>374</v>
      </c>
      <c r="J1058" t="s">
        <v>667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1436</v>
      </c>
      <c r="B1059" t="s">
        <v>1510</v>
      </c>
      <c r="C1059" t="s">
        <v>368</v>
      </c>
      <c r="D1059" t="s">
        <v>523</v>
      </c>
      <c r="E1059" t="s">
        <v>1521</v>
      </c>
      <c r="F1059" t="s">
        <v>1512</v>
      </c>
      <c r="G1059" t="s">
        <v>1436</v>
      </c>
      <c r="H1059" t="s">
        <v>458</v>
      </c>
      <c r="I1059" t="s">
        <v>374</v>
      </c>
      <c r="J1059" t="s">
        <v>667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1436</v>
      </c>
      <c r="B1060" t="s">
        <v>1510</v>
      </c>
      <c r="C1060" t="s">
        <v>368</v>
      </c>
      <c r="D1060" t="s">
        <v>523</v>
      </c>
      <c r="E1060" t="s">
        <v>1522</v>
      </c>
      <c r="F1060" t="s">
        <v>1512</v>
      </c>
      <c r="G1060" t="s">
        <v>1436</v>
      </c>
      <c r="H1060" t="s">
        <v>458</v>
      </c>
      <c r="I1060" t="s">
        <v>374</v>
      </c>
      <c r="J1060" t="s">
        <v>667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1436</v>
      </c>
      <c r="B1061" t="s">
        <v>1510</v>
      </c>
      <c r="C1061" t="s">
        <v>368</v>
      </c>
      <c r="D1061" t="s">
        <v>523</v>
      </c>
      <c r="E1061" t="s">
        <v>1523</v>
      </c>
      <c r="F1061" t="s">
        <v>1512</v>
      </c>
      <c r="G1061" t="s">
        <v>1436</v>
      </c>
      <c r="H1061" t="s">
        <v>458</v>
      </c>
      <c r="I1061" t="s">
        <v>374</v>
      </c>
      <c r="J1061" t="s">
        <v>667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1436</v>
      </c>
      <c r="B1062" t="s">
        <v>1510</v>
      </c>
      <c r="C1062" t="s">
        <v>368</v>
      </c>
      <c r="D1062" t="s">
        <v>523</v>
      </c>
      <c r="E1062" t="s">
        <v>1524</v>
      </c>
      <c r="F1062" t="s">
        <v>1512</v>
      </c>
      <c r="G1062" t="s">
        <v>1436</v>
      </c>
      <c r="H1062" t="s">
        <v>458</v>
      </c>
      <c r="I1062" t="s">
        <v>374</v>
      </c>
      <c r="J1062" t="s">
        <v>667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1436</v>
      </c>
      <c r="B1063" t="s">
        <v>1510</v>
      </c>
      <c r="C1063" t="s">
        <v>609</v>
      </c>
      <c r="D1063" t="s">
        <v>523</v>
      </c>
      <c r="E1063" t="s">
        <v>1525</v>
      </c>
      <c r="F1063" t="s">
        <v>1512</v>
      </c>
      <c r="G1063" t="s">
        <v>1436</v>
      </c>
      <c r="H1063" t="s">
        <v>458</v>
      </c>
      <c r="I1063" t="s">
        <v>374</v>
      </c>
      <c r="J1063" t="s">
        <v>667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1436</v>
      </c>
      <c r="B1064" t="s">
        <v>1510</v>
      </c>
      <c r="C1064" t="s">
        <v>609</v>
      </c>
      <c r="D1064" t="s">
        <v>523</v>
      </c>
      <c r="E1064" t="s">
        <v>1526</v>
      </c>
      <c r="F1064" t="s">
        <v>1512</v>
      </c>
      <c r="G1064" t="s">
        <v>1436</v>
      </c>
      <c r="H1064" t="s">
        <v>458</v>
      </c>
      <c r="I1064" t="s">
        <v>374</v>
      </c>
      <c r="J1064" t="s">
        <v>667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1436</v>
      </c>
      <c r="B1065" t="s">
        <v>1510</v>
      </c>
      <c r="C1065" t="s">
        <v>609</v>
      </c>
      <c r="D1065" t="s">
        <v>523</v>
      </c>
      <c r="E1065" t="s">
        <v>1527</v>
      </c>
      <c r="F1065" t="s">
        <v>1512</v>
      </c>
      <c r="G1065" t="s">
        <v>1436</v>
      </c>
      <c r="H1065" t="s">
        <v>458</v>
      </c>
      <c r="I1065" t="s">
        <v>374</v>
      </c>
      <c r="J1065" t="s">
        <v>667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1436</v>
      </c>
      <c r="B1066" t="s">
        <v>1510</v>
      </c>
      <c r="C1066" t="s">
        <v>609</v>
      </c>
      <c r="D1066" t="s">
        <v>523</v>
      </c>
      <c r="E1066" t="s">
        <v>1528</v>
      </c>
      <c r="F1066" t="s">
        <v>1512</v>
      </c>
      <c r="G1066" t="s">
        <v>1436</v>
      </c>
      <c r="H1066" t="s">
        <v>458</v>
      </c>
      <c r="I1066" t="s">
        <v>374</v>
      </c>
      <c r="J1066" t="s">
        <v>667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1436</v>
      </c>
      <c r="B1067" t="s">
        <v>1510</v>
      </c>
      <c r="C1067" t="s">
        <v>609</v>
      </c>
      <c r="D1067" t="s">
        <v>523</v>
      </c>
      <c r="E1067" t="s">
        <v>1529</v>
      </c>
      <c r="F1067" t="s">
        <v>1512</v>
      </c>
      <c r="G1067" t="s">
        <v>1436</v>
      </c>
      <c r="H1067" t="s">
        <v>458</v>
      </c>
      <c r="I1067" t="s">
        <v>374</v>
      </c>
      <c r="J1067" t="s">
        <v>667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1436</v>
      </c>
      <c r="B1068" t="s">
        <v>1510</v>
      </c>
      <c r="C1068" t="s">
        <v>368</v>
      </c>
      <c r="D1068" t="s">
        <v>523</v>
      </c>
      <c r="E1068" t="s">
        <v>1530</v>
      </c>
      <c r="F1068" t="s">
        <v>1512</v>
      </c>
      <c r="G1068" t="s">
        <v>1436</v>
      </c>
      <c r="H1068" t="s">
        <v>458</v>
      </c>
      <c r="I1068" t="s">
        <v>374</v>
      </c>
      <c r="J1068" t="s">
        <v>667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1436</v>
      </c>
      <c r="B1069" t="s">
        <v>1510</v>
      </c>
      <c r="C1069" t="s">
        <v>368</v>
      </c>
      <c r="D1069" t="s">
        <v>523</v>
      </c>
      <c r="E1069" t="s">
        <v>1531</v>
      </c>
      <c r="F1069" t="s">
        <v>1512</v>
      </c>
      <c r="G1069" t="s">
        <v>1436</v>
      </c>
      <c r="H1069" t="s">
        <v>458</v>
      </c>
      <c r="I1069" t="s">
        <v>374</v>
      </c>
      <c r="J1069" t="s">
        <v>667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1436</v>
      </c>
      <c r="B1070" t="s">
        <v>1532</v>
      </c>
      <c r="C1070" t="s">
        <v>368</v>
      </c>
      <c r="D1070" t="s">
        <v>523</v>
      </c>
      <c r="E1070" t="s">
        <v>154</v>
      </c>
      <c r="F1070" t="s">
        <v>1533</v>
      </c>
      <c r="G1070" t="s">
        <v>1436</v>
      </c>
      <c r="H1070" t="s">
        <v>458</v>
      </c>
      <c r="I1070" t="s">
        <v>374</v>
      </c>
      <c r="J1070" t="s">
        <v>698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1436</v>
      </c>
      <c r="B1071" t="s">
        <v>1532</v>
      </c>
      <c r="C1071" t="s">
        <v>368</v>
      </c>
      <c r="D1071" t="s">
        <v>523</v>
      </c>
      <c r="E1071" t="s">
        <v>1534</v>
      </c>
      <c r="F1071" t="s">
        <v>1533</v>
      </c>
      <c r="G1071" t="s">
        <v>1436</v>
      </c>
      <c r="H1071" t="s">
        <v>458</v>
      </c>
      <c r="I1071" t="s">
        <v>374</v>
      </c>
      <c r="J1071" t="s">
        <v>698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1436</v>
      </c>
      <c r="B1072" t="s">
        <v>1532</v>
      </c>
      <c r="C1072" t="s">
        <v>368</v>
      </c>
      <c r="D1072" t="s">
        <v>523</v>
      </c>
      <c r="E1072" t="s">
        <v>155</v>
      </c>
      <c r="F1072" t="s">
        <v>1533</v>
      </c>
      <c r="G1072" t="s">
        <v>1436</v>
      </c>
      <c r="H1072" t="s">
        <v>458</v>
      </c>
      <c r="I1072" t="s">
        <v>374</v>
      </c>
      <c r="J1072" t="s">
        <v>698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1436</v>
      </c>
      <c r="B1073" t="s">
        <v>1532</v>
      </c>
      <c r="C1073" t="s">
        <v>368</v>
      </c>
      <c r="D1073" t="s">
        <v>523</v>
      </c>
      <c r="E1073" t="s">
        <v>1535</v>
      </c>
      <c r="F1073" t="s">
        <v>1533</v>
      </c>
      <c r="G1073" t="s">
        <v>1436</v>
      </c>
      <c r="H1073" t="s">
        <v>458</v>
      </c>
      <c r="I1073" t="s">
        <v>374</v>
      </c>
      <c r="J1073" t="s">
        <v>698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1436</v>
      </c>
      <c r="B1074" t="s">
        <v>1532</v>
      </c>
      <c r="C1074" t="s">
        <v>368</v>
      </c>
      <c r="D1074" t="s">
        <v>523</v>
      </c>
      <c r="E1074" t="s">
        <v>1536</v>
      </c>
      <c r="F1074" t="s">
        <v>1533</v>
      </c>
      <c r="G1074" t="s">
        <v>1436</v>
      </c>
      <c r="H1074" t="s">
        <v>458</v>
      </c>
      <c r="I1074" t="s">
        <v>374</v>
      </c>
      <c r="J1074" t="s">
        <v>698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1436</v>
      </c>
      <c r="B1075" t="s">
        <v>1532</v>
      </c>
      <c r="C1075" t="s">
        <v>368</v>
      </c>
      <c r="D1075" t="s">
        <v>523</v>
      </c>
      <c r="E1075" t="s">
        <v>1537</v>
      </c>
      <c r="F1075" t="s">
        <v>1533</v>
      </c>
      <c r="G1075" t="s">
        <v>1436</v>
      </c>
      <c r="H1075" t="s">
        <v>458</v>
      </c>
      <c r="I1075" t="s">
        <v>374</v>
      </c>
      <c r="J1075" t="s">
        <v>698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1436</v>
      </c>
      <c r="B1076" t="s">
        <v>1532</v>
      </c>
      <c r="C1076" t="s">
        <v>368</v>
      </c>
      <c r="D1076" t="s">
        <v>523</v>
      </c>
      <c r="E1076" t="s">
        <v>1538</v>
      </c>
      <c r="F1076" t="s">
        <v>1533</v>
      </c>
      <c r="G1076" t="s">
        <v>1436</v>
      </c>
      <c r="H1076" t="s">
        <v>458</v>
      </c>
      <c r="I1076" t="s">
        <v>374</v>
      </c>
      <c r="J1076" t="s">
        <v>698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1436</v>
      </c>
      <c r="B1077" t="s">
        <v>1532</v>
      </c>
      <c r="C1077" t="s">
        <v>368</v>
      </c>
      <c r="D1077" t="s">
        <v>523</v>
      </c>
      <c r="E1077" t="s">
        <v>1539</v>
      </c>
      <c r="F1077" t="s">
        <v>1533</v>
      </c>
      <c r="G1077" t="s">
        <v>1436</v>
      </c>
      <c r="H1077" t="s">
        <v>458</v>
      </c>
      <c r="I1077" t="s">
        <v>374</v>
      </c>
      <c r="J1077" t="s">
        <v>698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1436</v>
      </c>
      <c r="B1078" t="s">
        <v>1532</v>
      </c>
      <c r="C1078" t="s">
        <v>368</v>
      </c>
      <c r="D1078" t="s">
        <v>523</v>
      </c>
      <c r="E1078" t="s">
        <v>156</v>
      </c>
      <c r="F1078" t="s">
        <v>1533</v>
      </c>
      <c r="G1078" t="s">
        <v>1436</v>
      </c>
      <c r="H1078" t="s">
        <v>458</v>
      </c>
      <c r="I1078" t="s">
        <v>374</v>
      </c>
      <c r="J1078" t="s">
        <v>698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1436</v>
      </c>
      <c r="B1079" t="s">
        <v>1532</v>
      </c>
      <c r="C1079" t="s">
        <v>368</v>
      </c>
      <c r="D1079" t="s">
        <v>523</v>
      </c>
      <c r="E1079" t="s">
        <v>1540</v>
      </c>
      <c r="F1079" t="s">
        <v>1533</v>
      </c>
      <c r="G1079" t="s">
        <v>1436</v>
      </c>
      <c r="H1079" t="s">
        <v>458</v>
      </c>
      <c r="I1079" t="s">
        <v>374</v>
      </c>
      <c r="J1079" t="s">
        <v>698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1436</v>
      </c>
      <c r="B1080" t="s">
        <v>1532</v>
      </c>
      <c r="C1080" t="s">
        <v>368</v>
      </c>
      <c r="D1080" t="s">
        <v>523</v>
      </c>
      <c r="E1080" t="s">
        <v>1541</v>
      </c>
      <c r="F1080" t="s">
        <v>1533</v>
      </c>
      <c r="G1080" t="s">
        <v>1436</v>
      </c>
      <c r="H1080" t="s">
        <v>458</v>
      </c>
      <c r="I1080" t="s">
        <v>374</v>
      </c>
      <c r="J1080" t="s">
        <v>698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1436</v>
      </c>
      <c r="B1081" t="s">
        <v>1532</v>
      </c>
      <c r="C1081" t="s">
        <v>368</v>
      </c>
      <c r="D1081" t="s">
        <v>523</v>
      </c>
      <c r="E1081" t="s">
        <v>1542</v>
      </c>
      <c r="F1081" t="s">
        <v>1533</v>
      </c>
      <c r="G1081" t="s">
        <v>1436</v>
      </c>
      <c r="H1081" t="s">
        <v>458</v>
      </c>
      <c r="I1081" t="s">
        <v>374</v>
      </c>
      <c r="J1081" t="s">
        <v>698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1436</v>
      </c>
      <c r="B1082" t="s">
        <v>1532</v>
      </c>
      <c r="C1082" t="s">
        <v>368</v>
      </c>
      <c r="D1082" t="s">
        <v>523</v>
      </c>
      <c r="E1082" t="s">
        <v>1543</v>
      </c>
      <c r="F1082" t="s">
        <v>1533</v>
      </c>
      <c r="G1082" t="s">
        <v>1436</v>
      </c>
      <c r="H1082" t="s">
        <v>458</v>
      </c>
      <c r="I1082" t="s">
        <v>374</v>
      </c>
      <c r="J1082" t="s">
        <v>698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1436</v>
      </c>
      <c r="B1083" t="s">
        <v>1532</v>
      </c>
      <c r="C1083" t="s">
        <v>609</v>
      </c>
      <c r="D1083" t="s">
        <v>523</v>
      </c>
      <c r="E1083" t="s">
        <v>1544</v>
      </c>
      <c r="F1083" t="s">
        <v>1533</v>
      </c>
      <c r="G1083" t="s">
        <v>1436</v>
      </c>
      <c r="H1083" t="s">
        <v>458</v>
      </c>
      <c r="I1083" t="s">
        <v>374</v>
      </c>
      <c r="J1083" t="s">
        <v>698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1436</v>
      </c>
      <c r="B1084" t="s">
        <v>1532</v>
      </c>
      <c r="C1084" t="s">
        <v>609</v>
      </c>
      <c r="D1084" t="s">
        <v>523</v>
      </c>
      <c r="E1084" t="s">
        <v>1545</v>
      </c>
      <c r="F1084" t="s">
        <v>1533</v>
      </c>
      <c r="G1084" t="s">
        <v>1436</v>
      </c>
      <c r="H1084" t="s">
        <v>458</v>
      </c>
      <c r="I1084" t="s">
        <v>374</v>
      </c>
      <c r="J1084" t="s">
        <v>698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1436</v>
      </c>
      <c r="B1085" t="s">
        <v>1532</v>
      </c>
      <c r="C1085" t="s">
        <v>609</v>
      </c>
      <c r="D1085" t="s">
        <v>523</v>
      </c>
      <c r="E1085" t="s">
        <v>1546</v>
      </c>
      <c r="F1085" t="s">
        <v>1533</v>
      </c>
      <c r="G1085" t="s">
        <v>1436</v>
      </c>
      <c r="H1085" t="s">
        <v>458</v>
      </c>
      <c r="I1085" t="s">
        <v>374</v>
      </c>
      <c r="J1085" t="s">
        <v>698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1436</v>
      </c>
      <c r="B1086" t="s">
        <v>1532</v>
      </c>
      <c r="C1086" t="s">
        <v>609</v>
      </c>
      <c r="D1086" t="s">
        <v>523</v>
      </c>
      <c r="E1086" t="s">
        <v>1547</v>
      </c>
      <c r="F1086" t="s">
        <v>1533</v>
      </c>
      <c r="G1086" t="s">
        <v>1436</v>
      </c>
      <c r="H1086" t="s">
        <v>458</v>
      </c>
      <c r="I1086" t="s">
        <v>374</v>
      </c>
      <c r="J1086" t="s">
        <v>698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1436</v>
      </c>
      <c r="B1087" t="s">
        <v>1532</v>
      </c>
      <c r="C1087" t="s">
        <v>609</v>
      </c>
      <c r="D1087" t="s">
        <v>523</v>
      </c>
      <c r="E1087" t="s">
        <v>1548</v>
      </c>
      <c r="F1087" t="s">
        <v>1533</v>
      </c>
      <c r="G1087" t="s">
        <v>1436</v>
      </c>
      <c r="H1087" t="s">
        <v>458</v>
      </c>
      <c r="I1087" t="s">
        <v>374</v>
      </c>
      <c r="J1087" t="s">
        <v>698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1436</v>
      </c>
      <c r="B1088" t="s">
        <v>1532</v>
      </c>
      <c r="C1088" t="s">
        <v>368</v>
      </c>
      <c r="D1088" t="s">
        <v>523</v>
      </c>
      <c r="E1088" t="s">
        <v>1549</v>
      </c>
      <c r="F1088" t="s">
        <v>1533</v>
      </c>
      <c r="G1088" t="s">
        <v>1436</v>
      </c>
      <c r="H1088" t="s">
        <v>458</v>
      </c>
      <c r="I1088" t="s">
        <v>374</v>
      </c>
      <c r="J1088" t="s">
        <v>698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1436</v>
      </c>
      <c r="B1089" t="s">
        <v>1532</v>
      </c>
      <c r="C1089" t="s">
        <v>368</v>
      </c>
      <c r="D1089" t="s">
        <v>523</v>
      </c>
      <c r="E1089" t="s">
        <v>1550</v>
      </c>
      <c r="F1089" t="s">
        <v>1533</v>
      </c>
      <c r="G1089" t="s">
        <v>1436</v>
      </c>
      <c r="H1089" t="s">
        <v>458</v>
      </c>
      <c r="I1089" t="s">
        <v>374</v>
      </c>
      <c r="J1089" t="s">
        <v>698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1436</v>
      </c>
      <c r="B1090" t="s">
        <v>1551</v>
      </c>
      <c r="C1090" t="s">
        <v>368</v>
      </c>
      <c r="D1090" t="s">
        <v>523</v>
      </c>
      <c r="E1090" t="s">
        <v>1552</v>
      </c>
      <c r="F1090" t="s">
        <v>1553</v>
      </c>
      <c r="G1090" t="s">
        <v>1436</v>
      </c>
      <c r="H1090" t="s">
        <v>458</v>
      </c>
      <c r="I1090" t="s">
        <v>374</v>
      </c>
      <c r="J1090" t="s">
        <v>722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1436</v>
      </c>
      <c r="B1091" t="s">
        <v>1551</v>
      </c>
      <c r="C1091" t="s">
        <v>368</v>
      </c>
      <c r="D1091" t="s">
        <v>523</v>
      </c>
      <c r="E1091" t="s">
        <v>1554</v>
      </c>
      <c r="F1091" t="s">
        <v>1553</v>
      </c>
      <c r="G1091" t="s">
        <v>1436</v>
      </c>
      <c r="H1091" t="s">
        <v>458</v>
      </c>
      <c r="I1091" t="s">
        <v>374</v>
      </c>
      <c r="J1091" t="s">
        <v>722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1436</v>
      </c>
      <c r="B1092" t="s">
        <v>1551</v>
      </c>
      <c r="C1092" t="s">
        <v>368</v>
      </c>
      <c r="D1092" t="s">
        <v>523</v>
      </c>
      <c r="E1092" t="s">
        <v>1555</v>
      </c>
      <c r="F1092" t="s">
        <v>1553</v>
      </c>
      <c r="G1092" t="s">
        <v>1436</v>
      </c>
      <c r="H1092" t="s">
        <v>458</v>
      </c>
      <c r="I1092" t="s">
        <v>374</v>
      </c>
      <c r="J1092" t="s">
        <v>722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1436</v>
      </c>
      <c r="B1093" t="s">
        <v>1551</v>
      </c>
      <c r="C1093" t="s">
        <v>368</v>
      </c>
      <c r="D1093" t="s">
        <v>523</v>
      </c>
      <c r="E1093" t="s">
        <v>1556</v>
      </c>
      <c r="F1093" t="s">
        <v>1553</v>
      </c>
      <c r="G1093" t="s">
        <v>1436</v>
      </c>
      <c r="H1093" t="s">
        <v>458</v>
      </c>
      <c r="I1093" t="s">
        <v>374</v>
      </c>
      <c r="J1093" t="s">
        <v>722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1436</v>
      </c>
      <c r="B1094" t="s">
        <v>1551</v>
      </c>
      <c r="C1094" t="s">
        <v>368</v>
      </c>
      <c r="D1094" t="s">
        <v>523</v>
      </c>
      <c r="E1094" t="s">
        <v>1557</v>
      </c>
      <c r="F1094" t="s">
        <v>1553</v>
      </c>
      <c r="G1094" t="s">
        <v>1436</v>
      </c>
      <c r="H1094" t="s">
        <v>458</v>
      </c>
      <c r="I1094" t="s">
        <v>374</v>
      </c>
      <c r="J1094" t="s">
        <v>722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1436</v>
      </c>
      <c r="B1095" t="s">
        <v>1551</v>
      </c>
      <c r="C1095" t="s">
        <v>368</v>
      </c>
      <c r="D1095" t="s">
        <v>523</v>
      </c>
      <c r="E1095" t="s">
        <v>1558</v>
      </c>
      <c r="F1095" t="s">
        <v>1553</v>
      </c>
      <c r="G1095" t="s">
        <v>1436</v>
      </c>
      <c r="H1095" t="s">
        <v>458</v>
      </c>
      <c r="I1095" t="s">
        <v>374</v>
      </c>
      <c r="J1095" t="s">
        <v>722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1436</v>
      </c>
      <c r="B1096" t="s">
        <v>1551</v>
      </c>
      <c r="C1096" t="s">
        <v>368</v>
      </c>
      <c r="D1096" t="s">
        <v>523</v>
      </c>
      <c r="E1096" t="s">
        <v>1559</v>
      </c>
      <c r="F1096" t="s">
        <v>1553</v>
      </c>
      <c r="G1096" t="s">
        <v>1436</v>
      </c>
      <c r="H1096" t="s">
        <v>458</v>
      </c>
      <c r="I1096" t="s">
        <v>374</v>
      </c>
      <c r="J1096" t="s">
        <v>722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1436</v>
      </c>
      <c r="B1097" t="s">
        <v>1551</v>
      </c>
      <c r="C1097" t="s">
        <v>368</v>
      </c>
      <c r="D1097" t="s">
        <v>523</v>
      </c>
      <c r="E1097" t="s">
        <v>1560</v>
      </c>
      <c r="F1097" t="s">
        <v>1553</v>
      </c>
      <c r="G1097" t="s">
        <v>1436</v>
      </c>
      <c r="H1097" t="s">
        <v>458</v>
      </c>
      <c r="I1097" t="s">
        <v>374</v>
      </c>
      <c r="J1097" t="s">
        <v>722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1436</v>
      </c>
      <c r="B1098" t="s">
        <v>1551</v>
      </c>
      <c r="C1098" t="s">
        <v>368</v>
      </c>
      <c r="D1098" t="s">
        <v>523</v>
      </c>
      <c r="E1098" t="s">
        <v>1561</v>
      </c>
      <c r="F1098" t="s">
        <v>1553</v>
      </c>
      <c r="G1098" t="s">
        <v>1436</v>
      </c>
      <c r="H1098" t="s">
        <v>458</v>
      </c>
      <c r="I1098" t="s">
        <v>374</v>
      </c>
      <c r="J1098" t="s">
        <v>722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1436</v>
      </c>
      <c r="B1099" t="s">
        <v>1551</v>
      </c>
      <c r="C1099" t="s">
        <v>368</v>
      </c>
      <c r="D1099" t="s">
        <v>523</v>
      </c>
      <c r="E1099" t="s">
        <v>1562</v>
      </c>
      <c r="F1099" t="s">
        <v>1553</v>
      </c>
      <c r="G1099" t="s">
        <v>1436</v>
      </c>
      <c r="H1099" t="s">
        <v>458</v>
      </c>
      <c r="I1099" t="s">
        <v>374</v>
      </c>
      <c r="J1099" t="s">
        <v>722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1436</v>
      </c>
      <c r="B1100" t="s">
        <v>1551</v>
      </c>
      <c r="C1100" t="s">
        <v>368</v>
      </c>
      <c r="D1100" t="s">
        <v>523</v>
      </c>
      <c r="E1100" t="s">
        <v>1563</v>
      </c>
      <c r="F1100" t="s">
        <v>1553</v>
      </c>
      <c r="G1100" t="s">
        <v>1436</v>
      </c>
      <c r="H1100" t="s">
        <v>458</v>
      </c>
      <c r="I1100" t="s">
        <v>374</v>
      </c>
      <c r="J1100" t="s">
        <v>722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1436</v>
      </c>
      <c r="B1101" t="s">
        <v>1551</v>
      </c>
      <c r="C1101" t="s">
        <v>368</v>
      </c>
      <c r="D1101" t="s">
        <v>523</v>
      </c>
      <c r="E1101" t="s">
        <v>1564</v>
      </c>
      <c r="F1101" t="s">
        <v>1553</v>
      </c>
      <c r="G1101" t="s">
        <v>1436</v>
      </c>
      <c r="H1101" t="s">
        <v>458</v>
      </c>
      <c r="I1101" t="s">
        <v>374</v>
      </c>
      <c r="J1101" t="s">
        <v>722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1436</v>
      </c>
      <c r="B1102" t="s">
        <v>1551</v>
      </c>
      <c r="C1102" t="s">
        <v>368</v>
      </c>
      <c r="D1102" t="s">
        <v>523</v>
      </c>
      <c r="E1102" t="s">
        <v>1565</v>
      </c>
      <c r="F1102" t="s">
        <v>1553</v>
      </c>
      <c r="G1102" t="s">
        <v>1436</v>
      </c>
      <c r="H1102" t="s">
        <v>458</v>
      </c>
      <c r="I1102" t="s">
        <v>374</v>
      </c>
      <c r="J1102" t="s">
        <v>722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1436</v>
      </c>
      <c r="B1103" t="s">
        <v>1551</v>
      </c>
      <c r="C1103" t="s">
        <v>368</v>
      </c>
      <c r="D1103" t="s">
        <v>523</v>
      </c>
      <c r="E1103" t="s">
        <v>1566</v>
      </c>
      <c r="F1103" t="s">
        <v>1553</v>
      </c>
      <c r="G1103" t="s">
        <v>1436</v>
      </c>
      <c r="H1103" t="s">
        <v>458</v>
      </c>
      <c r="I1103" t="s">
        <v>374</v>
      </c>
      <c r="J1103" t="s">
        <v>722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1436</v>
      </c>
      <c r="B1104" t="s">
        <v>1551</v>
      </c>
      <c r="C1104" t="s">
        <v>368</v>
      </c>
      <c r="D1104" t="s">
        <v>523</v>
      </c>
      <c r="E1104" t="s">
        <v>1567</v>
      </c>
      <c r="F1104" t="s">
        <v>1553</v>
      </c>
      <c r="G1104" t="s">
        <v>1436</v>
      </c>
      <c r="H1104" t="s">
        <v>458</v>
      </c>
      <c r="I1104" t="s">
        <v>374</v>
      </c>
      <c r="J1104" t="s">
        <v>722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1436</v>
      </c>
      <c r="B1105" t="s">
        <v>1551</v>
      </c>
      <c r="C1105" t="s">
        <v>609</v>
      </c>
      <c r="D1105" t="s">
        <v>523</v>
      </c>
      <c r="E1105" t="s">
        <v>1568</v>
      </c>
      <c r="F1105" t="s">
        <v>1553</v>
      </c>
      <c r="G1105" t="s">
        <v>1436</v>
      </c>
      <c r="H1105" t="s">
        <v>458</v>
      </c>
      <c r="I1105" t="s">
        <v>374</v>
      </c>
      <c r="J1105" t="s">
        <v>722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1436</v>
      </c>
      <c r="B1106" t="s">
        <v>1551</v>
      </c>
      <c r="C1106" t="s">
        <v>609</v>
      </c>
      <c r="D1106" t="s">
        <v>523</v>
      </c>
      <c r="E1106" t="s">
        <v>1569</v>
      </c>
      <c r="F1106" t="s">
        <v>1553</v>
      </c>
      <c r="G1106" t="s">
        <v>1436</v>
      </c>
      <c r="H1106" t="s">
        <v>458</v>
      </c>
      <c r="I1106" t="s">
        <v>374</v>
      </c>
      <c r="J1106" t="s">
        <v>722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1436</v>
      </c>
      <c r="B1107" t="s">
        <v>1551</v>
      </c>
      <c r="C1107" t="s">
        <v>609</v>
      </c>
      <c r="D1107" t="s">
        <v>523</v>
      </c>
      <c r="E1107" t="s">
        <v>1570</v>
      </c>
      <c r="F1107" t="s">
        <v>1553</v>
      </c>
      <c r="G1107" t="s">
        <v>1436</v>
      </c>
      <c r="H1107" t="s">
        <v>458</v>
      </c>
      <c r="I1107" t="s">
        <v>374</v>
      </c>
      <c r="J1107" t="s">
        <v>722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1436</v>
      </c>
      <c r="B1108" t="s">
        <v>1551</v>
      </c>
      <c r="C1108" t="s">
        <v>609</v>
      </c>
      <c r="D1108" t="s">
        <v>523</v>
      </c>
      <c r="E1108" t="s">
        <v>1571</v>
      </c>
      <c r="F1108" t="s">
        <v>1553</v>
      </c>
      <c r="G1108" t="s">
        <v>1436</v>
      </c>
      <c r="H1108" t="s">
        <v>458</v>
      </c>
      <c r="I1108" t="s">
        <v>374</v>
      </c>
      <c r="J1108" t="s">
        <v>722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1436</v>
      </c>
      <c r="B1109" t="s">
        <v>1551</v>
      </c>
      <c r="C1109" t="s">
        <v>609</v>
      </c>
      <c r="D1109" t="s">
        <v>523</v>
      </c>
      <c r="E1109" t="s">
        <v>1572</v>
      </c>
      <c r="F1109" t="s">
        <v>1553</v>
      </c>
      <c r="G1109" t="s">
        <v>1436</v>
      </c>
      <c r="H1109" t="s">
        <v>458</v>
      </c>
      <c r="I1109" t="s">
        <v>374</v>
      </c>
      <c r="J1109" t="s">
        <v>722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1436</v>
      </c>
      <c r="B1110" t="s">
        <v>1551</v>
      </c>
      <c r="C1110" t="s">
        <v>368</v>
      </c>
      <c r="D1110" t="s">
        <v>523</v>
      </c>
      <c r="E1110" t="s">
        <v>1573</v>
      </c>
      <c r="F1110" t="s">
        <v>1553</v>
      </c>
      <c r="G1110" t="s">
        <v>1436</v>
      </c>
      <c r="H1110" t="s">
        <v>458</v>
      </c>
      <c r="I1110" t="s">
        <v>374</v>
      </c>
      <c r="J1110" t="s">
        <v>722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1436</v>
      </c>
      <c r="B1111" t="s">
        <v>1551</v>
      </c>
      <c r="C1111" t="s">
        <v>368</v>
      </c>
      <c r="D1111" t="s">
        <v>523</v>
      </c>
      <c r="E1111" t="s">
        <v>1574</v>
      </c>
      <c r="F1111" t="s">
        <v>1553</v>
      </c>
      <c r="G1111" t="s">
        <v>1436</v>
      </c>
      <c r="H1111" t="s">
        <v>458</v>
      </c>
      <c r="I1111" t="s">
        <v>374</v>
      </c>
      <c r="J1111" t="s">
        <v>722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1436</v>
      </c>
      <c r="B1112" t="s">
        <v>1575</v>
      </c>
      <c r="C1112" t="s">
        <v>368</v>
      </c>
      <c r="D1112" t="s">
        <v>523</v>
      </c>
      <c r="E1112" t="s">
        <v>288</v>
      </c>
      <c r="F1112" t="s">
        <v>1576</v>
      </c>
      <c r="G1112" t="s">
        <v>1436</v>
      </c>
      <c r="H1112" t="s">
        <v>458</v>
      </c>
      <c r="I1112" t="s">
        <v>374</v>
      </c>
      <c r="J1112" t="s">
        <v>429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1436</v>
      </c>
      <c r="B1113" t="s">
        <v>1575</v>
      </c>
      <c r="C1113" t="s">
        <v>368</v>
      </c>
      <c r="D1113" t="s">
        <v>523</v>
      </c>
      <c r="E1113" t="s">
        <v>1577</v>
      </c>
      <c r="F1113" t="s">
        <v>1576</v>
      </c>
      <c r="G1113" t="s">
        <v>1436</v>
      </c>
      <c r="H1113" t="s">
        <v>458</v>
      </c>
      <c r="I1113" t="s">
        <v>374</v>
      </c>
      <c r="J1113" t="s">
        <v>429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1436</v>
      </c>
      <c r="B1114" t="s">
        <v>1575</v>
      </c>
      <c r="C1114" t="s">
        <v>368</v>
      </c>
      <c r="D1114" t="s">
        <v>523</v>
      </c>
      <c r="E1114" t="s">
        <v>276</v>
      </c>
      <c r="F1114" t="s">
        <v>1576</v>
      </c>
      <c r="G1114" t="s">
        <v>1436</v>
      </c>
      <c r="H1114" t="s">
        <v>458</v>
      </c>
      <c r="I1114" t="s">
        <v>374</v>
      </c>
      <c r="J1114" t="s">
        <v>429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1436</v>
      </c>
      <c r="B1115" t="s">
        <v>1575</v>
      </c>
      <c r="C1115" t="s">
        <v>368</v>
      </c>
      <c r="D1115" t="s">
        <v>523</v>
      </c>
      <c r="E1115" t="s">
        <v>1578</v>
      </c>
      <c r="F1115" t="s">
        <v>1576</v>
      </c>
      <c r="G1115" t="s">
        <v>1436</v>
      </c>
      <c r="H1115" t="s">
        <v>458</v>
      </c>
      <c r="I1115" t="s">
        <v>374</v>
      </c>
      <c r="J1115" t="s">
        <v>429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1436</v>
      </c>
      <c r="B1116" t="s">
        <v>1575</v>
      </c>
      <c r="C1116" t="s">
        <v>368</v>
      </c>
      <c r="D1116" t="s">
        <v>523</v>
      </c>
      <c r="E1116" t="s">
        <v>289</v>
      </c>
      <c r="F1116" t="s">
        <v>1576</v>
      </c>
      <c r="G1116" t="s">
        <v>1436</v>
      </c>
      <c r="H1116" t="s">
        <v>458</v>
      </c>
      <c r="I1116" t="s">
        <v>374</v>
      </c>
      <c r="J1116" t="s">
        <v>429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1436</v>
      </c>
      <c r="B1117" t="s">
        <v>1575</v>
      </c>
      <c r="C1117" t="s">
        <v>368</v>
      </c>
      <c r="D1117" t="s">
        <v>523</v>
      </c>
      <c r="E1117" t="s">
        <v>1579</v>
      </c>
      <c r="F1117" t="s">
        <v>1576</v>
      </c>
      <c r="G1117" t="s">
        <v>1436</v>
      </c>
      <c r="H1117" t="s">
        <v>458</v>
      </c>
      <c r="I1117" t="s">
        <v>374</v>
      </c>
      <c r="J1117" t="s">
        <v>429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1436</v>
      </c>
      <c r="B1118" t="s">
        <v>1575</v>
      </c>
      <c r="C1118" t="s">
        <v>368</v>
      </c>
      <c r="D1118" t="s">
        <v>523</v>
      </c>
      <c r="E1118" t="s">
        <v>277</v>
      </c>
      <c r="F1118" t="s">
        <v>1576</v>
      </c>
      <c r="G1118" t="s">
        <v>1436</v>
      </c>
      <c r="H1118" t="s">
        <v>458</v>
      </c>
      <c r="I1118" t="s">
        <v>374</v>
      </c>
      <c r="J1118" t="s">
        <v>429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1436</v>
      </c>
      <c r="B1119" t="s">
        <v>1575</v>
      </c>
      <c r="C1119" t="s">
        <v>368</v>
      </c>
      <c r="D1119" t="s">
        <v>523</v>
      </c>
      <c r="E1119" t="s">
        <v>1580</v>
      </c>
      <c r="F1119" t="s">
        <v>1576</v>
      </c>
      <c r="G1119" t="s">
        <v>1436</v>
      </c>
      <c r="H1119" t="s">
        <v>458</v>
      </c>
      <c r="I1119" t="s">
        <v>374</v>
      </c>
      <c r="J1119" t="s">
        <v>429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1436</v>
      </c>
      <c r="B1120" t="s">
        <v>1575</v>
      </c>
      <c r="C1120" t="s">
        <v>368</v>
      </c>
      <c r="D1120" t="s">
        <v>523</v>
      </c>
      <c r="E1120" t="s">
        <v>290</v>
      </c>
      <c r="F1120" t="s">
        <v>1576</v>
      </c>
      <c r="G1120" t="s">
        <v>1436</v>
      </c>
      <c r="H1120" t="s">
        <v>458</v>
      </c>
      <c r="I1120" t="s">
        <v>374</v>
      </c>
      <c r="J1120" t="s">
        <v>429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1436</v>
      </c>
      <c r="B1121" t="s">
        <v>1575</v>
      </c>
      <c r="C1121" t="s">
        <v>368</v>
      </c>
      <c r="D1121" t="s">
        <v>523</v>
      </c>
      <c r="E1121" t="s">
        <v>1581</v>
      </c>
      <c r="F1121" t="s">
        <v>1576</v>
      </c>
      <c r="G1121" t="s">
        <v>1436</v>
      </c>
      <c r="H1121" t="s">
        <v>458</v>
      </c>
      <c r="I1121" t="s">
        <v>374</v>
      </c>
      <c r="J1121" t="s">
        <v>429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1436</v>
      </c>
      <c r="B1122" t="s">
        <v>1575</v>
      </c>
      <c r="C1122" t="s">
        <v>368</v>
      </c>
      <c r="D1122" t="s">
        <v>523</v>
      </c>
      <c r="E1122" t="s">
        <v>291</v>
      </c>
      <c r="F1122" t="s">
        <v>1576</v>
      </c>
      <c r="G1122" t="s">
        <v>1436</v>
      </c>
      <c r="H1122" t="s">
        <v>458</v>
      </c>
      <c r="I1122" t="s">
        <v>374</v>
      </c>
      <c r="J1122" t="s">
        <v>429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1436</v>
      </c>
      <c r="B1123" t="s">
        <v>1575</v>
      </c>
      <c r="C1123" t="s">
        <v>368</v>
      </c>
      <c r="D1123" t="s">
        <v>523</v>
      </c>
      <c r="E1123" t="s">
        <v>1582</v>
      </c>
      <c r="F1123" t="s">
        <v>1576</v>
      </c>
      <c r="G1123" t="s">
        <v>1436</v>
      </c>
      <c r="H1123" t="s">
        <v>458</v>
      </c>
      <c r="I1123" t="s">
        <v>374</v>
      </c>
      <c r="J1123" t="s">
        <v>429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1436</v>
      </c>
      <c r="B1124" t="s">
        <v>1575</v>
      </c>
      <c r="C1124" t="s">
        <v>368</v>
      </c>
      <c r="D1124" t="s">
        <v>523</v>
      </c>
      <c r="E1124" t="s">
        <v>292</v>
      </c>
      <c r="F1124" t="s">
        <v>1576</v>
      </c>
      <c r="G1124" t="s">
        <v>1436</v>
      </c>
      <c r="H1124" t="s">
        <v>458</v>
      </c>
      <c r="I1124" t="s">
        <v>374</v>
      </c>
      <c r="J1124" t="s">
        <v>429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1436</v>
      </c>
      <c r="B1125" t="s">
        <v>1575</v>
      </c>
      <c r="C1125" t="s">
        <v>609</v>
      </c>
      <c r="D1125" t="s">
        <v>523</v>
      </c>
      <c r="E1125" t="s">
        <v>1583</v>
      </c>
      <c r="F1125" t="s">
        <v>1576</v>
      </c>
      <c r="G1125" t="s">
        <v>1436</v>
      </c>
      <c r="H1125" t="s">
        <v>458</v>
      </c>
      <c r="I1125" t="s">
        <v>374</v>
      </c>
      <c r="J1125" t="s">
        <v>429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1436</v>
      </c>
      <c r="B1126" t="s">
        <v>1575</v>
      </c>
      <c r="C1126" t="s">
        <v>609</v>
      </c>
      <c r="D1126" t="s">
        <v>523</v>
      </c>
      <c r="E1126" t="s">
        <v>173</v>
      </c>
      <c r="F1126" t="s">
        <v>1576</v>
      </c>
      <c r="G1126" t="s">
        <v>1436</v>
      </c>
      <c r="H1126" t="s">
        <v>458</v>
      </c>
      <c r="I1126" t="s">
        <v>374</v>
      </c>
      <c r="J1126" t="s">
        <v>429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1436</v>
      </c>
      <c r="B1127" t="s">
        <v>1575</v>
      </c>
      <c r="C1127" t="s">
        <v>609</v>
      </c>
      <c r="D1127" t="s">
        <v>523</v>
      </c>
      <c r="E1127" t="s">
        <v>1584</v>
      </c>
      <c r="F1127" t="s">
        <v>1576</v>
      </c>
      <c r="G1127" t="s">
        <v>1436</v>
      </c>
      <c r="H1127" t="s">
        <v>458</v>
      </c>
      <c r="I1127" t="s">
        <v>374</v>
      </c>
      <c r="J1127" t="s">
        <v>429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1436</v>
      </c>
      <c r="B1128" t="s">
        <v>1575</v>
      </c>
      <c r="C1128" t="s">
        <v>609</v>
      </c>
      <c r="D1128" t="s">
        <v>523</v>
      </c>
      <c r="E1128" t="s">
        <v>174</v>
      </c>
      <c r="F1128" t="s">
        <v>1576</v>
      </c>
      <c r="G1128" t="s">
        <v>1436</v>
      </c>
      <c r="H1128" t="s">
        <v>458</v>
      </c>
      <c r="I1128" t="s">
        <v>374</v>
      </c>
      <c r="J1128" t="s">
        <v>429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1436</v>
      </c>
      <c r="B1129" t="s">
        <v>1575</v>
      </c>
      <c r="C1129" t="s">
        <v>609</v>
      </c>
      <c r="D1129" t="s">
        <v>523</v>
      </c>
      <c r="E1129" t="s">
        <v>1585</v>
      </c>
      <c r="F1129" t="s">
        <v>1576</v>
      </c>
      <c r="G1129" t="s">
        <v>1436</v>
      </c>
      <c r="H1129" t="s">
        <v>458</v>
      </c>
      <c r="I1129" t="s">
        <v>374</v>
      </c>
      <c r="J1129" t="s">
        <v>429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1436</v>
      </c>
      <c r="B1130" t="s">
        <v>1575</v>
      </c>
      <c r="C1130" t="s">
        <v>368</v>
      </c>
      <c r="D1130" t="s">
        <v>523</v>
      </c>
      <c r="E1130" t="s">
        <v>11</v>
      </c>
      <c r="F1130" t="s">
        <v>1576</v>
      </c>
      <c r="G1130" t="s">
        <v>1436</v>
      </c>
      <c r="H1130" t="s">
        <v>458</v>
      </c>
      <c r="I1130" t="s">
        <v>374</v>
      </c>
      <c r="J1130" t="s">
        <v>429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1436</v>
      </c>
      <c r="B1131" t="s">
        <v>1575</v>
      </c>
      <c r="C1131" t="s">
        <v>368</v>
      </c>
      <c r="D1131" t="s">
        <v>523</v>
      </c>
      <c r="E1131" t="s">
        <v>1586</v>
      </c>
      <c r="F1131" t="s">
        <v>1576</v>
      </c>
      <c r="G1131" t="s">
        <v>1436</v>
      </c>
      <c r="H1131" t="s">
        <v>458</v>
      </c>
      <c r="I1131" t="s">
        <v>374</v>
      </c>
      <c r="J1131" t="s">
        <v>429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1436</v>
      </c>
      <c r="B1132" t="s">
        <v>1587</v>
      </c>
      <c r="C1132" t="s">
        <v>368</v>
      </c>
      <c r="D1132" t="s">
        <v>523</v>
      </c>
      <c r="E1132" t="s">
        <v>247</v>
      </c>
      <c r="F1132" t="s">
        <v>1588</v>
      </c>
      <c r="G1132" t="s">
        <v>1436</v>
      </c>
      <c r="H1132" t="s">
        <v>458</v>
      </c>
      <c r="I1132" t="s">
        <v>374</v>
      </c>
      <c r="J1132" t="s">
        <v>757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1436</v>
      </c>
      <c r="B1133" t="s">
        <v>1587</v>
      </c>
      <c r="C1133" t="s">
        <v>368</v>
      </c>
      <c r="D1133" t="s">
        <v>523</v>
      </c>
      <c r="E1133" t="s">
        <v>1589</v>
      </c>
      <c r="F1133" t="s">
        <v>1588</v>
      </c>
      <c r="G1133" t="s">
        <v>1436</v>
      </c>
      <c r="H1133" t="s">
        <v>458</v>
      </c>
      <c r="I1133" t="s">
        <v>374</v>
      </c>
      <c r="J1133" t="s">
        <v>757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1436</v>
      </c>
      <c r="B1134" t="s">
        <v>1587</v>
      </c>
      <c r="C1134" t="s">
        <v>368</v>
      </c>
      <c r="D1134" t="s">
        <v>523</v>
      </c>
      <c r="E1134" t="s">
        <v>248</v>
      </c>
      <c r="F1134" t="s">
        <v>1588</v>
      </c>
      <c r="G1134" t="s">
        <v>1436</v>
      </c>
      <c r="H1134" t="s">
        <v>458</v>
      </c>
      <c r="I1134" t="s">
        <v>374</v>
      </c>
      <c r="J1134" t="s">
        <v>757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1436</v>
      </c>
      <c r="B1135" t="s">
        <v>1587</v>
      </c>
      <c r="C1135" t="s">
        <v>368</v>
      </c>
      <c r="D1135" t="s">
        <v>523</v>
      </c>
      <c r="E1135" t="s">
        <v>1590</v>
      </c>
      <c r="F1135" t="s">
        <v>1588</v>
      </c>
      <c r="G1135" t="s">
        <v>1436</v>
      </c>
      <c r="H1135" t="s">
        <v>458</v>
      </c>
      <c r="I1135" t="s">
        <v>374</v>
      </c>
      <c r="J1135" t="s">
        <v>757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1436</v>
      </c>
      <c r="B1136" t="s">
        <v>1587</v>
      </c>
      <c r="C1136" t="s">
        <v>368</v>
      </c>
      <c r="D1136" t="s">
        <v>523</v>
      </c>
      <c r="E1136" t="s">
        <v>1591</v>
      </c>
      <c r="F1136" t="s">
        <v>1588</v>
      </c>
      <c r="G1136" t="s">
        <v>1436</v>
      </c>
      <c r="H1136" t="s">
        <v>458</v>
      </c>
      <c r="I1136" t="s">
        <v>374</v>
      </c>
      <c r="J1136" t="s">
        <v>757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1436</v>
      </c>
      <c r="B1137" t="s">
        <v>1587</v>
      </c>
      <c r="C1137" t="s">
        <v>368</v>
      </c>
      <c r="D1137" t="s">
        <v>523</v>
      </c>
      <c r="E1137" t="s">
        <v>1592</v>
      </c>
      <c r="F1137" t="s">
        <v>1588</v>
      </c>
      <c r="G1137" t="s">
        <v>1436</v>
      </c>
      <c r="H1137" t="s">
        <v>458</v>
      </c>
      <c r="I1137" t="s">
        <v>374</v>
      </c>
      <c r="J1137" t="s">
        <v>757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1436</v>
      </c>
      <c r="B1138" t="s">
        <v>1587</v>
      </c>
      <c r="C1138" t="s">
        <v>368</v>
      </c>
      <c r="D1138" t="s">
        <v>523</v>
      </c>
      <c r="E1138" t="s">
        <v>249</v>
      </c>
      <c r="F1138" t="s">
        <v>1588</v>
      </c>
      <c r="G1138" t="s">
        <v>1436</v>
      </c>
      <c r="H1138" t="s">
        <v>458</v>
      </c>
      <c r="I1138" t="s">
        <v>374</v>
      </c>
      <c r="J1138" t="s">
        <v>757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1436</v>
      </c>
      <c r="B1139" t="s">
        <v>1587</v>
      </c>
      <c r="C1139" t="s">
        <v>368</v>
      </c>
      <c r="D1139" t="s">
        <v>523</v>
      </c>
      <c r="E1139" t="s">
        <v>1593</v>
      </c>
      <c r="F1139" t="s">
        <v>1588</v>
      </c>
      <c r="G1139" t="s">
        <v>1436</v>
      </c>
      <c r="H1139" t="s">
        <v>458</v>
      </c>
      <c r="I1139" t="s">
        <v>374</v>
      </c>
      <c r="J1139" t="s">
        <v>757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1436</v>
      </c>
      <c r="B1140" t="s">
        <v>1587</v>
      </c>
      <c r="C1140" t="s">
        <v>368</v>
      </c>
      <c r="D1140" t="s">
        <v>523</v>
      </c>
      <c r="E1140" t="s">
        <v>1594</v>
      </c>
      <c r="F1140" t="s">
        <v>1588</v>
      </c>
      <c r="G1140" t="s">
        <v>1436</v>
      </c>
      <c r="H1140" t="s">
        <v>458</v>
      </c>
      <c r="I1140" t="s">
        <v>374</v>
      </c>
      <c r="J1140" t="s">
        <v>757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1436</v>
      </c>
      <c r="B1141" t="s">
        <v>1587</v>
      </c>
      <c r="C1141" t="s">
        <v>368</v>
      </c>
      <c r="D1141" t="s">
        <v>523</v>
      </c>
      <c r="E1141" t="s">
        <v>1595</v>
      </c>
      <c r="F1141" t="s">
        <v>1588</v>
      </c>
      <c r="G1141" t="s">
        <v>1436</v>
      </c>
      <c r="H1141" t="s">
        <v>458</v>
      </c>
      <c r="I1141" t="s">
        <v>374</v>
      </c>
      <c r="J1141" t="s">
        <v>757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1436</v>
      </c>
      <c r="B1142" t="s">
        <v>1587</v>
      </c>
      <c r="C1142" t="s">
        <v>368</v>
      </c>
      <c r="D1142" t="s">
        <v>523</v>
      </c>
      <c r="E1142" t="s">
        <v>1596</v>
      </c>
      <c r="F1142" t="s">
        <v>1588</v>
      </c>
      <c r="G1142" t="s">
        <v>1436</v>
      </c>
      <c r="H1142" t="s">
        <v>458</v>
      </c>
      <c r="I1142" t="s">
        <v>374</v>
      </c>
      <c r="J1142" t="s">
        <v>757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1436</v>
      </c>
      <c r="B1143" t="s">
        <v>1587</v>
      </c>
      <c r="C1143" t="s">
        <v>368</v>
      </c>
      <c r="D1143" t="s">
        <v>523</v>
      </c>
      <c r="E1143" t="s">
        <v>1597</v>
      </c>
      <c r="F1143" t="s">
        <v>1588</v>
      </c>
      <c r="G1143" t="s">
        <v>1436</v>
      </c>
      <c r="H1143" t="s">
        <v>458</v>
      </c>
      <c r="I1143" t="s">
        <v>374</v>
      </c>
      <c r="J1143" t="s">
        <v>757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1436</v>
      </c>
      <c r="B1144" t="s">
        <v>1587</v>
      </c>
      <c r="C1144" t="s">
        <v>368</v>
      </c>
      <c r="D1144" t="s">
        <v>523</v>
      </c>
      <c r="E1144" t="s">
        <v>1598</v>
      </c>
      <c r="F1144" t="s">
        <v>1588</v>
      </c>
      <c r="G1144" t="s">
        <v>1436</v>
      </c>
      <c r="H1144" t="s">
        <v>458</v>
      </c>
      <c r="I1144" t="s">
        <v>374</v>
      </c>
      <c r="J1144" t="s">
        <v>757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1436</v>
      </c>
      <c r="B1145" t="s">
        <v>1587</v>
      </c>
      <c r="C1145" t="s">
        <v>609</v>
      </c>
      <c r="D1145" t="s">
        <v>523</v>
      </c>
      <c r="E1145" t="s">
        <v>1599</v>
      </c>
      <c r="F1145" t="s">
        <v>1588</v>
      </c>
      <c r="G1145" t="s">
        <v>1436</v>
      </c>
      <c r="H1145" t="s">
        <v>458</v>
      </c>
      <c r="I1145" t="s">
        <v>374</v>
      </c>
      <c r="J1145" t="s">
        <v>757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1436</v>
      </c>
      <c r="B1146" t="s">
        <v>1587</v>
      </c>
      <c r="C1146" t="s">
        <v>609</v>
      </c>
      <c r="D1146" t="s">
        <v>523</v>
      </c>
      <c r="E1146" t="s">
        <v>1600</v>
      </c>
      <c r="F1146" t="s">
        <v>1588</v>
      </c>
      <c r="G1146" t="s">
        <v>1436</v>
      </c>
      <c r="H1146" t="s">
        <v>458</v>
      </c>
      <c r="I1146" t="s">
        <v>374</v>
      </c>
      <c r="J1146" t="s">
        <v>757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1436</v>
      </c>
      <c r="B1147" t="s">
        <v>1587</v>
      </c>
      <c r="C1147" t="s">
        <v>609</v>
      </c>
      <c r="D1147" t="s">
        <v>523</v>
      </c>
      <c r="E1147" t="s">
        <v>1601</v>
      </c>
      <c r="F1147" t="s">
        <v>1588</v>
      </c>
      <c r="G1147" t="s">
        <v>1436</v>
      </c>
      <c r="H1147" t="s">
        <v>458</v>
      </c>
      <c r="I1147" t="s">
        <v>374</v>
      </c>
      <c r="J1147" t="s">
        <v>757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1436</v>
      </c>
      <c r="B1148" t="s">
        <v>1587</v>
      </c>
      <c r="C1148" t="s">
        <v>609</v>
      </c>
      <c r="D1148" t="s">
        <v>523</v>
      </c>
      <c r="E1148" t="s">
        <v>1602</v>
      </c>
      <c r="F1148" t="s">
        <v>1588</v>
      </c>
      <c r="G1148" t="s">
        <v>1436</v>
      </c>
      <c r="H1148" t="s">
        <v>458</v>
      </c>
      <c r="I1148" t="s">
        <v>374</v>
      </c>
      <c r="J1148" t="s">
        <v>757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1436</v>
      </c>
      <c r="B1149" t="s">
        <v>1587</v>
      </c>
      <c r="C1149" t="s">
        <v>609</v>
      </c>
      <c r="D1149" t="s">
        <v>523</v>
      </c>
      <c r="E1149" t="s">
        <v>1603</v>
      </c>
      <c r="F1149" t="s">
        <v>1588</v>
      </c>
      <c r="G1149" t="s">
        <v>1436</v>
      </c>
      <c r="H1149" t="s">
        <v>458</v>
      </c>
      <c r="I1149" t="s">
        <v>374</v>
      </c>
      <c r="J1149" t="s">
        <v>757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1436</v>
      </c>
      <c r="B1150" t="s">
        <v>1587</v>
      </c>
      <c r="C1150" t="s">
        <v>368</v>
      </c>
      <c r="D1150" t="s">
        <v>523</v>
      </c>
      <c r="E1150" t="s">
        <v>1604</v>
      </c>
      <c r="F1150" t="s">
        <v>1588</v>
      </c>
      <c r="G1150" t="s">
        <v>1436</v>
      </c>
      <c r="H1150" t="s">
        <v>458</v>
      </c>
      <c r="I1150" t="s">
        <v>374</v>
      </c>
      <c r="J1150" t="s">
        <v>757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1436</v>
      </c>
      <c r="B1151" t="s">
        <v>1587</v>
      </c>
      <c r="C1151" t="s">
        <v>368</v>
      </c>
      <c r="D1151" t="s">
        <v>523</v>
      </c>
      <c r="E1151" t="s">
        <v>1605</v>
      </c>
      <c r="F1151" t="s">
        <v>1588</v>
      </c>
      <c r="G1151" t="s">
        <v>1436</v>
      </c>
      <c r="H1151" t="s">
        <v>458</v>
      </c>
      <c r="I1151" t="s">
        <v>374</v>
      </c>
      <c r="J1151" t="s">
        <v>757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1436</v>
      </c>
      <c r="B1152" t="s">
        <v>1606</v>
      </c>
      <c r="C1152" t="s">
        <v>368</v>
      </c>
      <c r="D1152" t="s">
        <v>523</v>
      </c>
      <c r="E1152" t="s">
        <v>1607</v>
      </c>
      <c r="F1152" t="s">
        <v>1608</v>
      </c>
      <c r="G1152" t="s">
        <v>1436</v>
      </c>
      <c r="H1152" t="s">
        <v>458</v>
      </c>
      <c r="I1152" t="s">
        <v>374</v>
      </c>
      <c r="J1152" t="s">
        <v>799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1436</v>
      </c>
      <c r="B1153" t="s">
        <v>1606</v>
      </c>
      <c r="C1153" t="s">
        <v>368</v>
      </c>
      <c r="D1153" t="s">
        <v>523</v>
      </c>
      <c r="E1153" t="s">
        <v>1609</v>
      </c>
      <c r="F1153" t="s">
        <v>1608</v>
      </c>
      <c r="G1153" t="s">
        <v>1436</v>
      </c>
      <c r="H1153" t="s">
        <v>458</v>
      </c>
      <c r="I1153" t="s">
        <v>374</v>
      </c>
      <c r="J1153" t="s">
        <v>799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1436</v>
      </c>
      <c r="B1154" t="s">
        <v>1606</v>
      </c>
      <c r="C1154" t="s">
        <v>368</v>
      </c>
      <c r="D1154" t="s">
        <v>523</v>
      </c>
      <c r="E1154" t="s">
        <v>76</v>
      </c>
      <c r="F1154" t="s">
        <v>1608</v>
      </c>
      <c r="G1154" t="s">
        <v>1436</v>
      </c>
      <c r="H1154" t="s">
        <v>458</v>
      </c>
      <c r="I1154" t="s">
        <v>374</v>
      </c>
      <c r="J1154" t="s">
        <v>799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1436</v>
      </c>
      <c r="B1155" t="s">
        <v>1606</v>
      </c>
      <c r="C1155" t="s">
        <v>368</v>
      </c>
      <c r="D1155" t="s">
        <v>523</v>
      </c>
      <c r="E1155" t="s">
        <v>1610</v>
      </c>
      <c r="F1155" t="s">
        <v>1608</v>
      </c>
      <c r="G1155" t="s">
        <v>1436</v>
      </c>
      <c r="H1155" t="s">
        <v>458</v>
      </c>
      <c r="I1155" t="s">
        <v>374</v>
      </c>
      <c r="J1155" t="s">
        <v>799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1436</v>
      </c>
      <c r="B1156" t="s">
        <v>1606</v>
      </c>
      <c r="C1156" t="s">
        <v>368</v>
      </c>
      <c r="D1156" t="s">
        <v>523</v>
      </c>
      <c r="E1156" t="s">
        <v>1611</v>
      </c>
      <c r="F1156" t="s">
        <v>1608</v>
      </c>
      <c r="G1156" t="s">
        <v>1436</v>
      </c>
      <c r="H1156" t="s">
        <v>458</v>
      </c>
      <c r="I1156" t="s">
        <v>374</v>
      </c>
      <c r="J1156" t="s">
        <v>799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1436</v>
      </c>
      <c r="B1157" t="s">
        <v>1606</v>
      </c>
      <c r="C1157" t="s">
        <v>368</v>
      </c>
      <c r="D1157" t="s">
        <v>523</v>
      </c>
      <c r="E1157" t="s">
        <v>1612</v>
      </c>
      <c r="F1157" t="s">
        <v>1608</v>
      </c>
      <c r="G1157" t="s">
        <v>1436</v>
      </c>
      <c r="H1157" t="s">
        <v>458</v>
      </c>
      <c r="I1157" t="s">
        <v>374</v>
      </c>
      <c r="J1157" t="s">
        <v>799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1436</v>
      </c>
      <c r="B1158" t="s">
        <v>1606</v>
      </c>
      <c r="C1158" t="s">
        <v>368</v>
      </c>
      <c r="D1158" t="s">
        <v>523</v>
      </c>
      <c r="E1158" t="s">
        <v>1613</v>
      </c>
      <c r="F1158" t="s">
        <v>1608</v>
      </c>
      <c r="G1158" t="s">
        <v>1436</v>
      </c>
      <c r="H1158" t="s">
        <v>458</v>
      </c>
      <c r="I1158" t="s">
        <v>374</v>
      </c>
      <c r="J1158" t="s">
        <v>799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1436</v>
      </c>
      <c r="B1159" t="s">
        <v>1606</v>
      </c>
      <c r="C1159" t="s">
        <v>368</v>
      </c>
      <c r="D1159" t="s">
        <v>523</v>
      </c>
      <c r="E1159" t="s">
        <v>1614</v>
      </c>
      <c r="F1159" t="s">
        <v>1608</v>
      </c>
      <c r="G1159" t="s">
        <v>1436</v>
      </c>
      <c r="H1159" t="s">
        <v>458</v>
      </c>
      <c r="I1159" t="s">
        <v>374</v>
      </c>
      <c r="J1159" t="s">
        <v>799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1436</v>
      </c>
      <c r="B1160" t="s">
        <v>1606</v>
      </c>
      <c r="C1160" t="s">
        <v>368</v>
      </c>
      <c r="D1160" t="s">
        <v>523</v>
      </c>
      <c r="E1160" t="s">
        <v>1615</v>
      </c>
      <c r="F1160" t="s">
        <v>1608</v>
      </c>
      <c r="G1160" t="s">
        <v>1436</v>
      </c>
      <c r="H1160" t="s">
        <v>458</v>
      </c>
      <c r="I1160" t="s">
        <v>374</v>
      </c>
      <c r="J1160" t="s">
        <v>799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1436</v>
      </c>
      <c r="B1161" t="s">
        <v>1606</v>
      </c>
      <c r="C1161" t="s">
        <v>368</v>
      </c>
      <c r="D1161" t="s">
        <v>523</v>
      </c>
      <c r="E1161" t="s">
        <v>1616</v>
      </c>
      <c r="F1161" t="s">
        <v>1608</v>
      </c>
      <c r="G1161" t="s">
        <v>1436</v>
      </c>
      <c r="H1161" t="s">
        <v>458</v>
      </c>
      <c r="I1161" t="s">
        <v>374</v>
      </c>
      <c r="J1161" t="s">
        <v>799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1436</v>
      </c>
      <c r="B1162" t="s">
        <v>1606</v>
      </c>
      <c r="C1162" t="s">
        <v>368</v>
      </c>
      <c r="D1162" t="s">
        <v>523</v>
      </c>
      <c r="E1162" t="s">
        <v>77</v>
      </c>
      <c r="F1162" t="s">
        <v>1608</v>
      </c>
      <c r="G1162" t="s">
        <v>1436</v>
      </c>
      <c r="H1162" t="s">
        <v>458</v>
      </c>
      <c r="I1162" t="s">
        <v>374</v>
      </c>
      <c r="J1162" t="s">
        <v>799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1436</v>
      </c>
      <c r="B1163" t="s">
        <v>1606</v>
      </c>
      <c r="C1163" t="s">
        <v>368</v>
      </c>
      <c r="D1163" t="s">
        <v>523</v>
      </c>
      <c r="E1163" t="s">
        <v>1617</v>
      </c>
      <c r="F1163" t="s">
        <v>1608</v>
      </c>
      <c r="G1163" t="s">
        <v>1436</v>
      </c>
      <c r="H1163" t="s">
        <v>458</v>
      </c>
      <c r="I1163" t="s">
        <v>374</v>
      </c>
      <c r="J1163" t="s">
        <v>799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1436</v>
      </c>
      <c r="B1164" t="s">
        <v>1606</v>
      </c>
      <c r="C1164" t="s">
        <v>368</v>
      </c>
      <c r="D1164" t="s">
        <v>523</v>
      </c>
      <c r="E1164" t="s">
        <v>1618</v>
      </c>
      <c r="F1164" t="s">
        <v>1608</v>
      </c>
      <c r="G1164" t="s">
        <v>1436</v>
      </c>
      <c r="H1164" t="s">
        <v>458</v>
      </c>
      <c r="I1164" t="s">
        <v>374</v>
      </c>
      <c r="J1164" t="s">
        <v>799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1436</v>
      </c>
      <c r="B1165" t="s">
        <v>1606</v>
      </c>
      <c r="C1165" t="s">
        <v>609</v>
      </c>
      <c r="D1165" t="s">
        <v>523</v>
      </c>
      <c r="E1165" t="s">
        <v>1619</v>
      </c>
      <c r="F1165" t="s">
        <v>1608</v>
      </c>
      <c r="G1165" t="s">
        <v>1436</v>
      </c>
      <c r="H1165" t="s">
        <v>458</v>
      </c>
      <c r="I1165" t="s">
        <v>374</v>
      </c>
      <c r="J1165" t="s">
        <v>799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1436</v>
      </c>
      <c r="B1166" t="s">
        <v>1606</v>
      </c>
      <c r="C1166" t="s">
        <v>609</v>
      </c>
      <c r="D1166" t="s">
        <v>523</v>
      </c>
      <c r="E1166" t="s">
        <v>1620</v>
      </c>
      <c r="F1166" t="s">
        <v>1608</v>
      </c>
      <c r="G1166" t="s">
        <v>1436</v>
      </c>
      <c r="H1166" t="s">
        <v>458</v>
      </c>
      <c r="I1166" t="s">
        <v>374</v>
      </c>
      <c r="J1166" t="s">
        <v>799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1436</v>
      </c>
      <c r="B1167" t="s">
        <v>1606</v>
      </c>
      <c r="C1167" t="s">
        <v>609</v>
      </c>
      <c r="D1167" t="s">
        <v>523</v>
      </c>
      <c r="E1167" t="s">
        <v>1621</v>
      </c>
      <c r="F1167" t="s">
        <v>1608</v>
      </c>
      <c r="G1167" t="s">
        <v>1436</v>
      </c>
      <c r="H1167" t="s">
        <v>458</v>
      </c>
      <c r="I1167" t="s">
        <v>374</v>
      </c>
      <c r="J1167" t="s">
        <v>799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1436</v>
      </c>
      <c r="B1168" t="s">
        <v>1606</v>
      </c>
      <c r="C1168" t="s">
        <v>609</v>
      </c>
      <c r="D1168" t="s">
        <v>523</v>
      </c>
      <c r="E1168" t="s">
        <v>1622</v>
      </c>
      <c r="F1168" t="s">
        <v>1608</v>
      </c>
      <c r="G1168" t="s">
        <v>1436</v>
      </c>
      <c r="H1168" t="s">
        <v>458</v>
      </c>
      <c r="I1168" t="s">
        <v>374</v>
      </c>
      <c r="J1168" t="s">
        <v>799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1436</v>
      </c>
      <c r="B1169" t="s">
        <v>1606</v>
      </c>
      <c r="C1169" t="s">
        <v>609</v>
      </c>
      <c r="D1169" t="s">
        <v>523</v>
      </c>
      <c r="E1169" t="s">
        <v>1623</v>
      </c>
      <c r="F1169" t="s">
        <v>1608</v>
      </c>
      <c r="G1169" t="s">
        <v>1436</v>
      </c>
      <c r="H1169" t="s">
        <v>458</v>
      </c>
      <c r="I1169" t="s">
        <v>374</v>
      </c>
      <c r="J1169" t="s">
        <v>799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1436</v>
      </c>
      <c r="B1170" t="s">
        <v>1606</v>
      </c>
      <c r="C1170" t="s">
        <v>368</v>
      </c>
      <c r="D1170" t="s">
        <v>523</v>
      </c>
      <c r="E1170" t="s">
        <v>1624</v>
      </c>
      <c r="F1170" t="s">
        <v>1608</v>
      </c>
      <c r="G1170" t="s">
        <v>1436</v>
      </c>
      <c r="H1170" t="s">
        <v>458</v>
      </c>
      <c r="I1170" t="s">
        <v>374</v>
      </c>
      <c r="J1170" t="s">
        <v>799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1436</v>
      </c>
      <c r="B1171" t="s">
        <v>1606</v>
      </c>
      <c r="C1171" t="s">
        <v>368</v>
      </c>
      <c r="D1171" t="s">
        <v>523</v>
      </c>
      <c r="E1171" t="s">
        <v>1625</v>
      </c>
      <c r="F1171" t="s">
        <v>1608</v>
      </c>
      <c r="G1171" t="s">
        <v>1436</v>
      </c>
      <c r="H1171" t="s">
        <v>458</v>
      </c>
      <c r="I1171" t="s">
        <v>374</v>
      </c>
      <c r="J1171" t="s">
        <v>799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1436</v>
      </c>
      <c r="B1172" t="s">
        <v>1626</v>
      </c>
      <c r="C1172" t="s">
        <v>368</v>
      </c>
      <c r="D1172" t="s">
        <v>523</v>
      </c>
      <c r="E1172" t="s">
        <v>1627</v>
      </c>
      <c r="F1172" t="s">
        <v>1628</v>
      </c>
      <c r="G1172" t="s">
        <v>1436</v>
      </c>
      <c r="H1172" t="s">
        <v>458</v>
      </c>
      <c r="I1172" t="s">
        <v>374</v>
      </c>
      <c r="J1172" t="s">
        <v>824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1436</v>
      </c>
      <c r="B1173" t="s">
        <v>1626</v>
      </c>
      <c r="C1173" t="s">
        <v>368</v>
      </c>
      <c r="D1173" t="s">
        <v>523</v>
      </c>
      <c r="E1173" t="s">
        <v>1629</v>
      </c>
      <c r="F1173" t="s">
        <v>1628</v>
      </c>
      <c r="G1173" t="s">
        <v>1436</v>
      </c>
      <c r="H1173" t="s">
        <v>458</v>
      </c>
      <c r="I1173" t="s">
        <v>374</v>
      </c>
      <c r="J1173" t="s">
        <v>824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1436</v>
      </c>
      <c r="B1174" t="s">
        <v>1626</v>
      </c>
      <c r="C1174" t="s">
        <v>368</v>
      </c>
      <c r="D1174" t="s">
        <v>523</v>
      </c>
      <c r="E1174" t="s">
        <v>1630</v>
      </c>
      <c r="F1174" t="s">
        <v>1628</v>
      </c>
      <c r="G1174" t="s">
        <v>1436</v>
      </c>
      <c r="H1174" t="s">
        <v>458</v>
      </c>
      <c r="I1174" t="s">
        <v>374</v>
      </c>
      <c r="J1174" t="s">
        <v>824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1436</v>
      </c>
      <c r="B1175" t="s">
        <v>1626</v>
      </c>
      <c r="C1175" t="s">
        <v>368</v>
      </c>
      <c r="D1175" t="s">
        <v>523</v>
      </c>
      <c r="E1175" t="s">
        <v>1631</v>
      </c>
      <c r="F1175" t="s">
        <v>1628</v>
      </c>
      <c r="G1175" t="s">
        <v>1436</v>
      </c>
      <c r="H1175" t="s">
        <v>458</v>
      </c>
      <c r="I1175" t="s">
        <v>374</v>
      </c>
      <c r="J1175" t="s">
        <v>824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1436</v>
      </c>
      <c r="B1176" t="s">
        <v>1626</v>
      </c>
      <c r="C1176" t="s">
        <v>368</v>
      </c>
      <c r="D1176" t="s">
        <v>523</v>
      </c>
      <c r="E1176" t="s">
        <v>1632</v>
      </c>
      <c r="F1176" t="s">
        <v>1628</v>
      </c>
      <c r="G1176" t="s">
        <v>1436</v>
      </c>
      <c r="H1176" t="s">
        <v>458</v>
      </c>
      <c r="I1176" t="s">
        <v>374</v>
      </c>
      <c r="J1176" t="s">
        <v>824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1436</v>
      </c>
      <c r="B1177" t="s">
        <v>1626</v>
      </c>
      <c r="C1177" t="s">
        <v>368</v>
      </c>
      <c r="D1177" t="s">
        <v>523</v>
      </c>
      <c r="E1177" t="s">
        <v>1633</v>
      </c>
      <c r="F1177" t="s">
        <v>1628</v>
      </c>
      <c r="G1177" t="s">
        <v>1436</v>
      </c>
      <c r="H1177" t="s">
        <v>458</v>
      </c>
      <c r="I1177" t="s">
        <v>374</v>
      </c>
      <c r="J1177" t="s">
        <v>824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1436</v>
      </c>
      <c r="B1178" t="s">
        <v>1626</v>
      </c>
      <c r="C1178" t="s">
        <v>368</v>
      </c>
      <c r="D1178" t="s">
        <v>523</v>
      </c>
      <c r="E1178" t="s">
        <v>1634</v>
      </c>
      <c r="F1178" t="s">
        <v>1628</v>
      </c>
      <c r="G1178" t="s">
        <v>1436</v>
      </c>
      <c r="H1178" t="s">
        <v>458</v>
      </c>
      <c r="I1178" t="s">
        <v>374</v>
      </c>
      <c r="J1178" t="s">
        <v>824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1436</v>
      </c>
      <c r="B1179" t="s">
        <v>1626</v>
      </c>
      <c r="C1179" t="s">
        <v>368</v>
      </c>
      <c r="D1179" t="s">
        <v>523</v>
      </c>
      <c r="E1179" t="s">
        <v>1635</v>
      </c>
      <c r="F1179" t="s">
        <v>1628</v>
      </c>
      <c r="G1179" t="s">
        <v>1436</v>
      </c>
      <c r="H1179" t="s">
        <v>458</v>
      </c>
      <c r="I1179" t="s">
        <v>374</v>
      </c>
      <c r="J1179" t="s">
        <v>824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1436</v>
      </c>
      <c r="B1180" t="s">
        <v>1626</v>
      </c>
      <c r="C1180" t="s">
        <v>368</v>
      </c>
      <c r="D1180" t="s">
        <v>523</v>
      </c>
      <c r="E1180" t="s">
        <v>1636</v>
      </c>
      <c r="F1180" t="s">
        <v>1628</v>
      </c>
      <c r="G1180" t="s">
        <v>1436</v>
      </c>
      <c r="H1180" t="s">
        <v>458</v>
      </c>
      <c r="I1180" t="s">
        <v>374</v>
      </c>
      <c r="J1180" t="s">
        <v>824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1436</v>
      </c>
      <c r="B1181" t="s">
        <v>1626</v>
      </c>
      <c r="C1181" t="s">
        <v>368</v>
      </c>
      <c r="D1181" t="s">
        <v>523</v>
      </c>
      <c r="E1181" t="s">
        <v>1637</v>
      </c>
      <c r="F1181" t="s">
        <v>1628</v>
      </c>
      <c r="G1181" t="s">
        <v>1436</v>
      </c>
      <c r="H1181" t="s">
        <v>458</v>
      </c>
      <c r="I1181" t="s">
        <v>374</v>
      </c>
      <c r="J1181" t="s">
        <v>824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1436</v>
      </c>
      <c r="B1182" t="s">
        <v>1626</v>
      </c>
      <c r="C1182" t="s">
        <v>368</v>
      </c>
      <c r="D1182" t="s">
        <v>523</v>
      </c>
      <c r="E1182" t="s">
        <v>1638</v>
      </c>
      <c r="F1182" t="s">
        <v>1628</v>
      </c>
      <c r="G1182" t="s">
        <v>1436</v>
      </c>
      <c r="H1182" t="s">
        <v>458</v>
      </c>
      <c r="I1182" t="s">
        <v>374</v>
      </c>
      <c r="J1182" t="s">
        <v>824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1436</v>
      </c>
      <c r="B1183" t="s">
        <v>1626</v>
      </c>
      <c r="C1183" t="s">
        <v>368</v>
      </c>
      <c r="D1183" t="s">
        <v>523</v>
      </c>
      <c r="E1183" t="s">
        <v>1639</v>
      </c>
      <c r="F1183" t="s">
        <v>1628</v>
      </c>
      <c r="G1183" t="s">
        <v>1436</v>
      </c>
      <c r="H1183" t="s">
        <v>458</v>
      </c>
      <c r="I1183" t="s">
        <v>374</v>
      </c>
      <c r="J1183" t="s">
        <v>824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1436</v>
      </c>
      <c r="B1184" t="s">
        <v>1626</v>
      </c>
      <c r="C1184" t="s">
        <v>368</v>
      </c>
      <c r="D1184" t="s">
        <v>523</v>
      </c>
      <c r="E1184" t="s">
        <v>1640</v>
      </c>
      <c r="F1184" t="s">
        <v>1628</v>
      </c>
      <c r="G1184" t="s">
        <v>1436</v>
      </c>
      <c r="H1184" t="s">
        <v>458</v>
      </c>
      <c r="I1184" t="s">
        <v>374</v>
      </c>
      <c r="J1184" t="s">
        <v>824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1436</v>
      </c>
      <c r="B1185" t="s">
        <v>1626</v>
      </c>
      <c r="C1185" t="s">
        <v>368</v>
      </c>
      <c r="D1185" t="s">
        <v>523</v>
      </c>
      <c r="E1185" t="s">
        <v>1641</v>
      </c>
      <c r="F1185" t="s">
        <v>1628</v>
      </c>
      <c r="G1185" t="s">
        <v>1436</v>
      </c>
      <c r="H1185" t="s">
        <v>458</v>
      </c>
      <c r="I1185" t="s">
        <v>374</v>
      </c>
      <c r="J1185" t="s">
        <v>824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1436</v>
      </c>
      <c r="B1186" t="s">
        <v>1626</v>
      </c>
      <c r="C1186" t="s">
        <v>609</v>
      </c>
      <c r="D1186" t="s">
        <v>523</v>
      </c>
      <c r="E1186" t="s">
        <v>1642</v>
      </c>
      <c r="F1186" t="s">
        <v>1628</v>
      </c>
      <c r="G1186" t="s">
        <v>1436</v>
      </c>
      <c r="H1186" t="s">
        <v>458</v>
      </c>
      <c r="I1186" t="s">
        <v>374</v>
      </c>
      <c r="J1186" t="s">
        <v>824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1436</v>
      </c>
      <c r="B1187" t="s">
        <v>1626</v>
      </c>
      <c r="C1187" t="s">
        <v>609</v>
      </c>
      <c r="D1187" t="s">
        <v>523</v>
      </c>
      <c r="E1187" t="s">
        <v>1643</v>
      </c>
      <c r="F1187" t="s">
        <v>1628</v>
      </c>
      <c r="G1187" t="s">
        <v>1436</v>
      </c>
      <c r="H1187" t="s">
        <v>458</v>
      </c>
      <c r="I1187" t="s">
        <v>374</v>
      </c>
      <c r="J1187" t="s">
        <v>824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1436</v>
      </c>
      <c r="B1188" t="s">
        <v>1626</v>
      </c>
      <c r="C1188" t="s">
        <v>609</v>
      </c>
      <c r="D1188" t="s">
        <v>523</v>
      </c>
      <c r="E1188" t="s">
        <v>1644</v>
      </c>
      <c r="F1188" t="s">
        <v>1628</v>
      </c>
      <c r="G1188" t="s">
        <v>1436</v>
      </c>
      <c r="H1188" t="s">
        <v>458</v>
      </c>
      <c r="I1188" t="s">
        <v>374</v>
      </c>
      <c r="J1188" t="s">
        <v>824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1436</v>
      </c>
      <c r="B1189" t="s">
        <v>1626</v>
      </c>
      <c r="C1189" t="s">
        <v>609</v>
      </c>
      <c r="D1189" t="s">
        <v>523</v>
      </c>
      <c r="E1189" t="s">
        <v>1645</v>
      </c>
      <c r="F1189" t="s">
        <v>1628</v>
      </c>
      <c r="G1189" t="s">
        <v>1436</v>
      </c>
      <c r="H1189" t="s">
        <v>458</v>
      </c>
      <c r="I1189" t="s">
        <v>374</v>
      </c>
      <c r="J1189" t="s">
        <v>824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1436</v>
      </c>
      <c r="B1190" t="s">
        <v>1626</v>
      </c>
      <c r="C1190" t="s">
        <v>609</v>
      </c>
      <c r="D1190" t="s">
        <v>523</v>
      </c>
      <c r="E1190" t="s">
        <v>1646</v>
      </c>
      <c r="F1190" t="s">
        <v>1628</v>
      </c>
      <c r="G1190" t="s">
        <v>1436</v>
      </c>
      <c r="H1190" t="s">
        <v>458</v>
      </c>
      <c r="I1190" t="s">
        <v>374</v>
      </c>
      <c r="J1190" t="s">
        <v>824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1436</v>
      </c>
      <c r="B1191" t="s">
        <v>1626</v>
      </c>
      <c r="C1191" t="s">
        <v>368</v>
      </c>
      <c r="D1191" t="s">
        <v>523</v>
      </c>
      <c r="E1191" t="s">
        <v>1647</v>
      </c>
      <c r="F1191" t="s">
        <v>1628</v>
      </c>
      <c r="G1191" t="s">
        <v>1436</v>
      </c>
      <c r="H1191" t="s">
        <v>458</v>
      </c>
      <c r="I1191" t="s">
        <v>374</v>
      </c>
      <c r="J1191" t="s">
        <v>824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1436</v>
      </c>
      <c r="B1192" t="s">
        <v>1626</v>
      </c>
      <c r="C1192" t="s">
        <v>368</v>
      </c>
      <c r="D1192" t="s">
        <v>523</v>
      </c>
      <c r="E1192" t="s">
        <v>1648</v>
      </c>
      <c r="F1192" t="s">
        <v>1628</v>
      </c>
      <c r="G1192" t="s">
        <v>1436</v>
      </c>
      <c r="H1192" t="s">
        <v>458</v>
      </c>
      <c r="I1192" t="s">
        <v>374</v>
      </c>
      <c r="J1192" t="s">
        <v>824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1436</v>
      </c>
      <c r="B1193" t="s">
        <v>1649</v>
      </c>
      <c r="C1193" t="s">
        <v>368</v>
      </c>
      <c r="D1193" t="s">
        <v>523</v>
      </c>
      <c r="E1193" t="s">
        <v>1650</v>
      </c>
      <c r="F1193" t="s">
        <v>1651</v>
      </c>
      <c r="G1193" t="s">
        <v>1436</v>
      </c>
      <c r="H1193" t="s">
        <v>458</v>
      </c>
      <c r="I1193" t="s">
        <v>374</v>
      </c>
      <c r="J1193" t="s">
        <v>849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1436</v>
      </c>
      <c r="B1194" t="s">
        <v>1649</v>
      </c>
      <c r="C1194" t="s">
        <v>368</v>
      </c>
      <c r="D1194" t="s">
        <v>523</v>
      </c>
      <c r="E1194" t="s">
        <v>1652</v>
      </c>
      <c r="F1194" t="s">
        <v>1651</v>
      </c>
      <c r="G1194" t="s">
        <v>1436</v>
      </c>
      <c r="H1194" t="s">
        <v>458</v>
      </c>
      <c r="I1194" t="s">
        <v>374</v>
      </c>
      <c r="J1194" t="s">
        <v>849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1436</v>
      </c>
      <c r="B1195" t="s">
        <v>1649</v>
      </c>
      <c r="C1195" t="s">
        <v>368</v>
      </c>
      <c r="D1195" t="s">
        <v>523</v>
      </c>
      <c r="E1195" t="s">
        <v>166</v>
      </c>
      <c r="F1195" t="s">
        <v>1651</v>
      </c>
      <c r="G1195" t="s">
        <v>1436</v>
      </c>
      <c r="H1195" t="s">
        <v>458</v>
      </c>
      <c r="I1195" t="s">
        <v>374</v>
      </c>
      <c r="J1195" t="s">
        <v>849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1436</v>
      </c>
      <c r="B1196" t="s">
        <v>1649</v>
      </c>
      <c r="C1196" t="s">
        <v>368</v>
      </c>
      <c r="D1196" t="s">
        <v>523</v>
      </c>
      <c r="E1196" t="s">
        <v>1653</v>
      </c>
      <c r="F1196" t="s">
        <v>1651</v>
      </c>
      <c r="G1196" t="s">
        <v>1436</v>
      </c>
      <c r="H1196" t="s">
        <v>458</v>
      </c>
      <c r="I1196" t="s">
        <v>374</v>
      </c>
      <c r="J1196" t="s">
        <v>849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1436</v>
      </c>
      <c r="B1197" t="s">
        <v>1649</v>
      </c>
      <c r="C1197" t="s">
        <v>368</v>
      </c>
      <c r="D1197" t="s">
        <v>523</v>
      </c>
      <c r="E1197" t="s">
        <v>1654</v>
      </c>
      <c r="F1197" t="s">
        <v>1651</v>
      </c>
      <c r="G1197" t="s">
        <v>1436</v>
      </c>
      <c r="H1197" t="s">
        <v>458</v>
      </c>
      <c r="I1197" t="s">
        <v>374</v>
      </c>
      <c r="J1197" t="s">
        <v>849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1436</v>
      </c>
      <c r="B1198" t="s">
        <v>1649</v>
      </c>
      <c r="C1198" t="s">
        <v>368</v>
      </c>
      <c r="D1198" t="s">
        <v>523</v>
      </c>
      <c r="E1198" t="s">
        <v>1655</v>
      </c>
      <c r="F1198" t="s">
        <v>1651</v>
      </c>
      <c r="G1198" t="s">
        <v>1436</v>
      </c>
      <c r="H1198" t="s">
        <v>458</v>
      </c>
      <c r="I1198" t="s">
        <v>374</v>
      </c>
      <c r="J1198" t="s">
        <v>849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1436</v>
      </c>
      <c r="B1199" t="s">
        <v>1649</v>
      </c>
      <c r="C1199" t="s">
        <v>368</v>
      </c>
      <c r="D1199" t="s">
        <v>523</v>
      </c>
      <c r="E1199" t="s">
        <v>1656</v>
      </c>
      <c r="F1199" t="s">
        <v>1651</v>
      </c>
      <c r="G1199" t="s">
        <v>1436</v>
      </c>
      <c r="H1199" t="s">
        <v>458</v>
      </c>
      <c r="I1199" t="s">
        <v>374</v>
      </c>
      <c r="J1199" t="s">
        <v>849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1436</v>
      </c>
      <c r="B1200" t="s">
        <v>1649</v>
      </c>
      <c r="C1200" t="s">
        <v>368</v>
      </c>
      <c r="D1200" t="s">
        <v>523</v>
      </c>
      <c r="E1200" t="s">
        <v>1657</v>
      </c>
      <c r="F1200" t="s">
        <v>1651</v>
      </c>
      <c r="G1200" t="s">
        <v>1436</v>
      </c>
      <c r="H1200" t="s">
        <v>458</v>
      </c>
      <c r="I1200" t="s">
        <v>374</v>
      </c>
      <c r="J1200" t="s">
        <v>849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1436</v>
      </c>
      <c r="B1201" t="s">
        <v>1649</v>
      </c>
      <c r="C1201" t="s">
        <v>368</v>
      </c>
      <c r="D1201" t="s">
        <v>523</v>
      </c>
      <c r="E1201" t="s">
        <v>167</v>
      </c>
      <c r="F1201" t="s">
        <v>1651</v>
      </c>
      <c r="G1201" t="s">
        <v>1436</v>
      </c>
      <c r="H1201" t="s">
        <v>458</v>
      </c>
      <c r="I1201" t="s">
        <v>374</v>
      </c>
      <c r="J1201" t="s">
        <v>849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1436</v>
      </c>
      <c r="B1202" t="s">
        <v>1649</v>
      </c>
      <c r="C1202" t="s">
        <v>368</v>
      </c>
      <c r="D1202" t="s">
        <v>523</v>
      </c>
      <c r="E1202" t="s">
        <v>1658</v>
      </c>
      <c r="F1202" t="s">
        <v>1651</v>
      </c>
      <c r="G1202" t="s">
        <v>1436</v>
      </c>
      <c r="H1202" t="s">
        <v>458</v>
      </c>
      <c r="I1202" t="s">
        <v>374</v>
      </c>
      <c r="J1202" t="s">
        <v>849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1436</v>
      </c>
      <c r="B1203" t="s">
        <v>1649</v>
      </c>
      <c r="C1203" t="s">
        <v>368</v>
      </c>
      <c r="D1203" t="s">
        <v>523</v>
      </c>
      <c r="E1203" t="s">
        <v>1659</v>
      </c>
      <c r="F1203" t="s">
        <v>1651</v>
      </c>
      <c r="G1203" t="s">
        <v>1436</v>
      </c>
      <c r="H1203" t="s">
        <v>458</v>
      </c>
      <c r="I1203" t="s">
        <v>374</v>
      </c>
      <c r="J1203" t="s">
        <v>849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1436</v>
      </c>
      <c r="B1204" t="s">
        <v>1649</v>
      </c>
      <c r="C1204" t="s">
        <v>368</v>
      </c>
      <c r="D1204" t="s">
        <v>523</v>
      </c>
      <c r="E1204" t="s">
        <v>1660</v>
      </c>
      <c r="F1204" t="s">
        <v>1651</v>
      </c>
      <c r="G1204" t="s">
        <v>1436</v>
      </c>
      <c r="H1204" t="s">
        <v>458</v>
      </c>
      <c r="I1204" t="s">
        <v>374</v>
      </c>
      <c r="J1204" t="s">
        <v>849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1436</v>
      </c>
      <c r="B1205" t="s">
        <v>1649</v>
      </c>
      <c r="C1205" t="s">
        <v>368</v>
      </c>
      <c r="D1205" t="s">
        <v>523</v>
      </c>
      <c r="E1205" t="s">
        <v>1661</v>
      </c>
      <c r="F1205" t="s">
        <v>1651</v>
      </c>
      <c r="G1205" t="s">
        <v>1436</v>
      </c>
      <c r="H1205" t="s">
        <v>458</v>
      </c>
      <c r="I1205" t="s">
        <v>374</v>
      </c>
      <c r="J1205" t="s">
        <v>849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1436</v>
      </c>
      <c r="B1206" t="s">
        <v>1649</v>
      </c>
      <c r="C1206" t="s">
        <v>609</v>
      </c>
      <c r="D1206" t="s">
        <v>523</v>
      </c>
      <c r="E1206" t="s">
        <v>1662</v>
      </c>
      <c r="F1206" t="s">
        <v>1651</v>
      </c>
      <c r="G1206" t="s">
        <v>1436</v>
      </c>
      <c r="H1206" t="s">
        <v>458</v>
      </c>
      <c r="I1206" t="s">
        <v>374</v>
      </c>
      <c r="J1206" t="s">
        <v>849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1436</v>
      </c>
      <c r="B1207" t="s">
        <v>1649</v>
      </c>
      <c r="C1207" t="s">
        <v>609</v>
      </c>
      <c r="D1207" t="s">
        <v>523</v>
      </c>
      <c r="E1207" t="s">
        <v>1663</v>
      </c>
      <c r="F1207" t="s">
        <v>1651</v>
      </c>
      <c r="G1207" t="s">
        <v>1436</v>
      </c>
      <c r="H1207" t="s">
        <v>458</v>
      </c>
      <c r="I1207" t="s">
        <v>374</v>
      </c>
      <c r="J1207" t="s">
        <v>849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1436</v>
      </c>
      <c r="B1208" t="s">
        <v>1649</v>
      </c>
      <c r="C1208" t="s">
        <v>609</v>
      </c>
      <c r="D1208" t="s">
        <v>523</v>
      </c>
      <c r="E1208" t="s">
        <v>1664</v>
      </c>
      <c r="F1208" t="s">
        <v>1651</v>
      </c>
      <c r="G1208" t="s">
        <v>1436</v>
      </c>
      <c r="H1208" t="s">
        <v>458</v>
      </c>
      <c r="I1208" t="s">
        <v>374</v>
      </c>
      <c r="J1208" t="s">
        <v>849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1436</v>
      </c>
      <c r="B1209" t="s">
        <v>1649</v>
      </c>
      <c r="C1209" t="s">
        <v>609</v>
      </c>
      <c r="D1209" t="s">
        <v>523</v>
      </c>
      <c r="E1209" t="s">
        <v>1665</v>
      </c>
      <c r="F1209" t="s">
        <v>1651</v>
      </c>
      <c r="G1209" t="s">
        <v>1436</v>
      </c>
      <c r="H1209" t="s">
        <v>458</v>
      </c>
      <c r="I1209" t="s">
        <v>374</v>
      </c>
      <c r="J1209" t="s">
        <v>849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1436</v>
      </c>
      <c r="B1210" t="s">
        <v>1649</v>
      </c>
      <c r="C1210" t="s">
        <v>609</v>
      </c>
      <c r="D1210" t="s">
        <v>523</v>
      </c>
      <c r="E1210" t="s">
        <v>1666</v>
      </c>
      <c r="F1210" t="s">
        <v>1651</v>
      </c>
      <c r="G1210" t="s">
        <v>1436</v>
      </c>
      <c r="H1210" t="s">
        <v>458</v>
      </c>
      <c r="I1210" t="s">
        <v>374</v>
      </c>
      <c r="J1210" t="s">
        <v>849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1436</v>
      </c>
      <c r="B1211" t="s">
        <v>1649</v>
      </c>
      <c r="C1211" t="s">
        <v>368</v>
      </c>
      <c r="D1211" t="s">
        <v>523</v>
      </c>
      <c r="E1211" t="s">
        <v>1667</v>
      </c>
      <c r="F1211" t="s">
        <v>1651</v>
      </c>
      <c r="G1211" t="s">
        <v>1436</v>
      </c>
      <c r="H1211" t="s">
        <v>458</v>
      </c>
      <c r="I1211" t="s">
        <v>374</v>
      </c>
      <c r="J1211" t="s">
        <v>849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1436</v>
      </c>
      <c r="B1212" t="s">
        <v>1649</v>
      </c>
      <c r="C1212" t="s">
        <v>368</v>
      </c>
      <c r="D1212" t="s">
        <v>523</v>
      </c>
      <c r="E1212" t="s">
        <v>1668</v>
      </c>
      <c r="F1212" t="s">
        <v>1651</v>
      </c>
      <c r="G1212" t="s">
        <v>1436</v>
      </c>
      <c r="H1212" t="s">
        <v>458</v>
      </c>
      <c r="I1212" t="s">
        <v>374</v>
      </c>
      <c r="J1212" t="s">
        <v>849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1436</v>
      </c>
      <c r="B1213" t="s">
        <v>1669</v>
      </c>
      <c r="C1213" t="s">
        <v>368</v>
      </c>
      <c r="D1213" t="s">
        <v>523</v>
      </c>
      <c r="E1213" t="s">
        <v>168</v>
      </c>
      <c r="F1213" t="s">
        <v>1670</v>
      </c>
      <c r="G1213" t="s">
        <v>1436</v>
      </c>
      <c r="H1213" t="s">
        <v>458</v>
      </c>
      <c r="I1213" t="s">
        <v>374</v>
      </c>
      <c r="J1213" t="s">
        <v>881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1436</v>
      </c>
      <c r="B1214" t="s">
        <v>1669</v>
      </c>
      <c r="C1214" t="s">
        <v>368</v>
      </c>
      <c r="D1214" t="s">
        <v>523</v>
      </c>
      <c r="E1214" t="s">
        <v>1671</v>
      </c>
      <c r="F1214" t="s">
        <v>1670</v>
      </c>
      <c r="G1214" t="s">
        <v>1436</v>
      </c>
      <c r="H1214" t="s">
        <v>458</v>
      </c>
      <c r="I1214" t="s">
        <v>374</v>
      </c>
      <c r="J1214" t="s">
        <v>881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1436</v>
      </c>
      <c r="B1215" t="s">
        <v>1669</v>
      </c>
      <c r="C1215" t="s">
        <v>368</v>
      </c>
      <c r="D1215" t="s">
        <v>523</v>
      </c>
      <c r="E1215" t="s">
        <v>1672</v>
      </c>
      <c r="F1215" t="s">
        <v>1670</v>
      </c>
      <c r="G1215" t="s">
        <v>1436</v>
      </c>
      <c r="H1215" t="s">
        <v>458</v>
      </c>
      <c r="I1215" t="s">
        <v>374</v>
      </c>
      <c r="J1215" t="s">
        <v>881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1436</v>
      </c>
      <c r="B1216" t="s">
        <v>1669</v>
      </c>
      <c r="C1216" t="s">
        <v>368</v>
      </c>
      <c r="D1216" t="s">
        <v>523</v>
      </c>
      <c r="E1216" t="s">
        <v>1673</v>
      </c>
      <c r="F1216" t="s">
        <v>1670</v>
      </c>
      <c r="G1216" t="s">
        <v>1436</v>
      </c>
      <c r="H1216" t="s">
        <v>458</v>
      </c>
      <c r="I1216" t="s">
        <v>374</v>
      </c>
      <c r="J1216" t="s">
        <v>881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1436</v>
      </c>
      <c r="B1217" t="s">
        <v>1669</v>
      </c>
      <c r="C1217" t="s">
        <v>368</v>
      </c>
      <c r="D1217" t="s">
        <v>523</v>
      </c>
      <c r="E1217" t="s">
        <v>1674</v>
      </c>
      <c r="F1217" t="s">
        <v>1670</v>
      </c>
      <c r="G1217" t="s">
        <v>1436</v>
      </c>
      <c r="H1217" t="s">
        <v>458</v>
      </c>
      <c r="I1217" t="s">
        <v>374</v>
      </c>
      <c r="J1217" t="s">
        <v>881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1436</v>
      </c>
      <c r="B1218" t="s">
        <v>1669</v>
      </c>
      <c r="C1218" t="s">
        <v>368</v>
      </c>
      <c r="D1218" t="s">
        <v>523</v>
      </c>
      <c r="E1218" t="s">
        <v>1675</v>
      </c>
      <c r="F1218" t="s">
        <v>1670</v>
      </c>
      <c r="G1218" t="s">
        <v>1436</v>
      </c>
      <c r="H1218" t="s">
        <v>458</v>
      </c>
      <c r="I1218" t="s">
        <v>374</v>
      </c>
      <c r="J1218" t="s">
        <v>881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1436</v>
      </c>
      <c r="B1219" t="s">
        <v>1669</v>
      </c>
      <c r="C1219" t="s">
        <v>368</v>
      </c>
      <c r="D1219" t="s">
        <v>523</v>
      </c>
      <c r="E1219" t="s">
        <v>1676</v>
      </c>
      <c r="F1219" t="s">
        <v>1670</v>
      </c>
      <c r="G1219" t="s">
        <v>1436</v>
      </c>
      <c r="H1219" t="s">
        <v>458</v>
      </c>
      <c r="I1219" t="s">
        <v>374</v>
      </c>
      <c r="J1219" t="s">
        <v>881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1436</v>
      </c>
      <c r="B1220" t="s">
        <v>1669</v>
      </c>
      <c r="C1220" t="s">
        <v>368</v>
      </c>
      <c r="D1220" t="s">
        <v>523</v>
      </c>
      <c r="E1220" t="s">
        <v>1677</v>
      </c>
      <c r="F1220" t="s">
        <v>1670</v>
      </c>
      <c r="G1220" t="s">
        <v>1436</v>
      </c>
      <c r="H1220" t="s">
        <v>458</v>
      </c>
      <c r="I1220" t="s">
        <v>374</v>
      </c>
      <c r="J1220" t="s">
        <v>881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1436</v>
      </c>
      <c r="B1221" t="s">
        <v>1669</v>
      </c>
      <c r="C1221" t="s">
        <v>368</v>
      </c>
      <c r="D1221" t="s">
        <v>523</v>
      </c>
      <c r="E1221" t="s">
        <v>169</v>
      </c>
      <c r="F1221" t="s">
        <v>1670</v>
      </c>
      <c r="G1221" t="s">
        <v>1436</v>
      </c>
      <c r="H1221" t="s">
        <v>458</v>
      </c>
      <c r="I1221" t="s">
        <v>374</v>
      </c>
      <c r="J1221" t="s">
        <v>881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1436</v>
      </c>
      <c r="B1222" t="s">
        <v>1669</v>
      </c>
      <c r="C1222" t="s">
        <v>368</v>
      </c>
      <c r="D1222" t="s">
        <v>523</v>
      </c>
      <c r="E1222" t="s">
        <v>1678</v>
      </c>
      <c r="F1222" t="s">
        <v>1670</v>
      </c>
      <c r="G1222" t="s">
        <v>1436</v>
      </c>
      <c r="H1222" t="s">
        <v>458</v>
      </c>
      <c r="I1222" t="s">
        <v>374</v>
      </c>
      <c r="J1222" t="s">
        <v>881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1436</v>
      </c>
      <c r="B1223" t="s">
        <v>1669</v>
      </c>
      <c r="C1223" t="s">
        <v>368</v>
      </c>
      <c r="D1223" t="s">
        <v>523</v>
      </c>
      <c r="E1223" t="s">
        <v>1679</v>
      </c>
      <c r="F1223" t="s">
        <v>1670</v>
      </c>
      <c r="G1223" t="s">
        <v>1436</v>
      </c>
      <c r="H1223" t="s">
        <v>458</v>
      </c>
      <c r="I1223" t="s">
        <v>374</v>
      </c>
      <c r="J1223" t="s">
        <v>881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1436</v>
      </c>
      <c r="B1224" t="s">
        <v>1669</v>
      </c>
      <c r="C1224" t="s">
        <v>368</v>
      </c>
      <c r="D1224" t="s">
        <v>523</v>
      </c>
      <c r="E1224" t="s">
        <v>1680</v>
      </c>
      <c r="F1224" t="s">
        <v>1670</v>
      </c>
      <c r="G1224" t="s">
        <v>1436</v>
      </c>
      <c r="H1224" t="s">
        <v>458</v>
      </c>
      <c r="I1224" t="s">
        <v>374</v>
      </c>
      <c r="J1224" t="s">
        <v>881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1436</v>
      </c>
      <c r="B1225" t="s">
        <v>1669</v>
      </c>
      <c r="C1225" t="s">
        <v>368</v>
      </c>
      <c r="D1225" t="s">
        <v>523</v>
      </c>
      <c r="E1225" t="s">
        <v>1681</v>
      </c>
      <c r="F1225" t="s">
        <v>1670</v>
      </c>
      <c r="G1225" t="s">
        <v>1436</v>
      </c>
      <c r="H1225" t="s">
        <v>458</v>
      </c>
      <c r="I1225" t="s">
        <v>374</v>
      </c>
      <c r="J1225" t="s">
        <v>881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1436</v>
      </c>
      <c r="B1226" t="s">
        <v>1669</v>
      </c>
      <c r="C1226" t="s">
        <v>368</v>
      </c>
      <c r="D1226" t="s">
        <v>523</v>
      </c>
      <c r="E1226" t="s">
        <v>1682</v>
      </c>
      <c r="F1226" t="s">
        <v>1670</v>
      </c>
      <c r="G1226" t="s">
        <v>1436</v>
      </c>
      <c r="H1226" t="s">
        <v>458</v>
      </c>
      <c r="I1226" t="s">
        <v>374</v>
      </c>
      <c r="J1226" t="s">
        <v>881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1436</v>
      </c>
      <c r="B1227" t="s">
        <v>1669</v>
      </c>
      <c r="C1227" t="s">
        <v>368</v>
      </c>
      <c r="D1227" t="s">
        <v>523</v>
      </c>
      <c r="E1227" t="s">
        <v>1683</v>
      </c>
      <c r="F1227" t="s">
        <v>1670</v>
      </c>
      <c r="G1227" t="s">
        <v>1436</v>
      </c>
      <c r="H1227" t="s">
        <v>458</v>
      </c>
      <c r="I1227" t="s">
        <v>374</v>
      </c>
      <c r="J1227" t="s">
        <v>881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1436</v>
      </c>
      <c r="B1228" t="s">
        <v>1669</v>
      </c>
      <c r="C1228" t="s">
        <v>368</v>
      </c>
      <c r="D1228" t="s">
        <v>523</v>
      </c>
      <c r="E1228" t="s">
        <v>1684</v>
      </c>
      <c r="F1228" t="s">
        <v>1670</v>
      </c>
      <c r="G1228" t="s">
        <v>1436</v>
      </c>
      <c r="H1228" t="s">
        <v>458</v>
      </c>
      <c r="I1228" t="s">
        <v>374</v>
      </c>
      <c r="J1228" t="s">
        <v>881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1436</v>
      </c>
      <c r="B1229" t="s">
        <v>1669</v>
      </c>
      <c r="C1229" t="s">
        <v>368</v>
      </c>
      <c r="D1229" t="s">
        <v>523</v>
      </c>
      <c r="E1229" t="s">
        <v>256</v>
      </c>
      <c r="F1229" t="s">
        <v>1670</v>
      </c>
      <c r="G1229" t="s">
        <v>1436</v>
      </c>
      <c r="H1229" t="s">
        <v>458</v>
      </c>
      <c r="I1229" t="s">
        <v>374</v>
      </c>
      <c r="J1229" t="s">
        <v>881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1436</v>
      </c>
      <c r="B1230" t="s">
        <v>1669</v>
      </c>
      <c r="C1230" t="s">
        <v>368</v>
      </c>
      <c r="D1230" t="s">
        <v>523</v>
      </c>
      <c r="E1230" t="s">
        <v>1685</v>
      </c>
      <c r="F1230" t="s">
        <v>1670</v>
      </c>
      <c r="G1230" t="s">
        <v>1436</v>
      </c>
      <c r="H1230" t="s">
        <v>458</v>
      </c>
      <c r="I1230" t="s">
        <v>374</v>
      </c>
      <c r="J1230" t="s">
        <v>881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1436</v>
      </c>
      <c r="B1231" t="s">
        <v>1669</v>
      </c>
      <c r="C1231" t="s">
        <v>368</v>
      </c>
      <c r="D1231" t="s">
        <v>523</v>
      </c>
      <c r="E1231" t="s">
        <v>1686</v>
      </c>
      <c r="F1231" t="s">
        <v>1670</v>
      </c>
      <c r="G1231" t="s">
        <v>1436</v>
      </c>
      <c r="H1231" t="s">
        <v>458</v>
      </c>
      <c r="I1231" t="s">
        <v>374</v>
      </c>
      <c r="J1231" t="s">
        <v>881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1436</v>
      </c>
      <c r="B1232" t="s">
        <v>1669</v>
      </c>
      <c r="C1232" t="s">
        <v>368</v>
      </c>
      <c r="D1232" t="s">
        <v>523</v>
      </c>
      <c r="E1232" t="s">
        <v>1687</v>
      </c>
      <c r="F1232" t="s">
        <v>1670</v>
      </c>
      <c r="G1232" t="s">
        <v>1436</v>
      </c>
      <c r="H1232" t="s">
        <v>458</v>
      </c>
      <c r="I1232" t="s">
        <v>374</v>
      </c>
      <c r="J1232" t="s">
        <v>881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1436</v>
      </c>
      <c r="B1233" t="s">
        <v>1669</v>
      </c>
      <c r="C1233" t="s">
        <v>368</v>
      </c>
      <c r="D1233" t="s">
        <v>523</v>
      </c>
      <c r="E1233" t="s">
        <v>257</v>
      </c>
      <c r="F1233" t="s">
        <v>1670</v>
      </c>
      <c r="G1233" t="s">
        <v>1436</v>
      </c>
      <c r="H1233" t="s">
        <v>458</v>
      </c>
      <c r="I1233" t="s">
        <v>374</v>
      </c>
      <c r="J1233" t="s">
        <v>881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1436</v>
      </c>
      <c r="B1234" t="s">
        <v>1669</v>
      </c>
      <c r="C1234" t="s">
        <v>368</v>
      </c>
      <c r="D1234" t="s">
        <v>523</v>
      </c>
      <c r="E1234" t="s">
        <v>1688</v>
      </c>
      <c r="F1234" t="s">
        <v>1670</v>
      </c>
      <c r="G1234" t="s">
        <v>1436</v>
      </c>
      <c r="H1234" t="s">
        <v>458</v>
      </c>
      <c r="I1234" t="s">
        <v>374</v>
      </c>
      <c r="J1234" t="s">
        <v>881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1436</v>
      </c>
      <c r="B1235" t="s">
        <v>1669</v>
      </c>
      <c r="C1235" t="s">
        <v>368</v>
      </c>
      <c r="D1235" t="s">
        <v>523</v>
      </c>
      <c r="E1235" t="s">
        <v>1689</v>
      </c>
      <c r="F1235" t="s">
        <v>1670</v>
      </c>
      <c r="G1235" t="s">
        <v>1436</v>
      </c>
      <c r="H1235" t="s">
        <v>458</v>
      </c>
      <c r="I1235" t="s">
        <v>374</v>
      </c>
      <c r="J1235" t="s">
        <v>881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1436</v>
      </c>
      <c r="B1236" t="s">
        <v>1669</v>
      </c>
      <c r="C1236" t="s">
        <v>368</v>
      </c>
      <c r="D1236" t="s">
        <v>523</v>
      </c>
      <c r="E1236" t="s">
        <v>1690</v>
      </c>
      <c r="F1236" t="s">
        <v>1670</v>
      </c>
      <c r="G1236" t="s">
        <v>1436</v>
      </c>
      <c r="H1236" t="s">
        <v>458</v>
      </c>
      <c r="I1236" t="s">
        <v>374</v>
      </c>
      <c r="J1236" t="s">
        <v>881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1436</v>
      </c>
      <c r="B1237" t="s">
        <v>1669</v>
      </c>
      <c r="C1237" t="s">
        <v>368</v>
      </c>
      <c r="D1237" t="s">
        <v>523</v>
      </c>
      <c r="E1237" t="s">
        <v>1691</v>
      </c>
      <c r="F1237" t="s">
        <v>1670</v>
      </c>
      <c r="G1237" t="s">
        <v>1436</v>
      </c>
      <c r="H1237" t="s">
        <v>458</v>
      </c>
      <c r="I1237" t="s">
        <v>374</v>
      </c>
      <c r="J1237" t="s">
        <v>881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1436</v>
      </c>
      <c r="B1238" t="s">
        <v>1669</v>
      </c>
      <c r="C1238" t="s">
        <v>368</v>
      </c>
      <c r="D1238" t="s">
        <v>523</v>
      </c>
      <c r="E1238" t="s">
        <v>1692</v>
      </c>
      <c r="F1238" t="s">
        <v>1670</v>
      </c>
      <c r="G1238" t="s">
        <v>1436</v>
      </c>
      <c r="H1238" t="s">
        <v>458</v>
      </c>
      <c r="I1238" t="s">
        <v>374</v>
      </c>
      <c r="J1238" t="s">
        <v>881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1436</v>
      </c>
      <c r="B1239" t="s">
        <v>1669</v>
      </c>
      <c r="C1239" t="s">
        <v>609</v>
      </c>
      <c r="D1239" t="s">
        <v>523</v>
      </c>
      <c r="E1239" t="s">
        <v>1693</v>
      </c>
      <c r="F1239" t="s">
        <v>1670</v>
      </c>
      <c r="G1239" t="s">
        <v>1436</v>
      </c>
      <c r="H1239" t="s">
        <v>458</v>
      </c>
      <c r="I1239" t="s">
        <v>374</v>
      </c>
      <c r="J1239" t="s">
        <v>881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1436</v>
      </c>
      <c r="B1240" t="s">
        <v>1669</v>
      </c>
      <c r="C1240" t="s">
        <v>609</v>
      </c>
      <c r="D1240" t="s">
        <v>523</v>
      </c>
      <c r="E1240" t="s">
        <v>1694</v>
      </c>
      <c r="F1240" t="s">
        <v>1670</v>
      </c>
      <c r="G1240" t="s">
        <v>1436</v>
      </c>
      <c r="H1240" t="s">
        <v>458</v>
      </c>
      <c r="I1240" t="s">
        <v>374</v>
      </c>
      <c r="J1240" t="s">
        <v>881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1436</v>
      </c>
      <c r="B1241" t="s">
        <v>1669</v>
      </c>
      <c r="C1241" t="s">
        <v>609</v>
      </c>
      <c r="D1241" t="s">
        <v>523</v>
      </c>
      <c r="E1241" t="s">
        <v>1695</v>
      </c>
      <c r="F1241" t="s">
        <v>1670</v>
      </c>
      <c r="G1241" t="s">
        <v>1436</v>
      </c>
      <c r="H1241" t="s">
        <v>458</v>
      </c>
      <c r="I1241" t="s">
        <v>374</v>
      </c>
      <c r="J1241" t="s">
        <v>881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1436</v>
      </c>
      <c r="B1242" t="s">
        <v>1669</v>
      </c>
      <c r="C1242" t="s">
        <v>609</v>
      </c>
      <c r="D1242" t="s">
        <v>523</v>
      </c>
      <c r="E1242" t="s">
        <v>1696</v>
      </c>
      <c r="F1242" t="s">
        <v>1670</v>
      </c>
      <c r="G1242" t="s">
        <v>1436</v>
      </c>
      <c r="H1242" t="s">
        <v>458</v>
      </c>
      <c r="I1242" t="s">
        <v>374</v>
      </c>
      <c r="J1242" t="s">
        <v>881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1436</v>
      </c>
      <c r="B1243" t="s">
        <v>1669</v>
      </c>
      <c r="C1243" t="s">
        <v>609</v>
      </c>
      <c r="D1243" t="s">
        <v>523</v>
      </c>
      <c r="E1243" t="s">
        <v>1697</v>
      </c>
      <c r="F1243" t="s">
        <v>1670</v>
      </c>
      <c r="G1243" t="s">
        <v>1436</v>
      </c>
      <c r="H1243" t="s">
        <v>458</v>
      </c>
      <c r="I1243" t="s">
        <v>374</v>
      </c>
      <c r="J1243" t="s">
        <v>881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1436</v>
      </c>
      <c r="B1244" t="s">
        <v>1669</v>
      </c>
      <c r="C1244" t="s">
        <v>609</v>
      </c>
      <c r="D1244" t="s">
        <v>523</v>
      </c>
      <c r="E1244" t="s">
        <v>1698</v>
      </c>
      <c r="F1244" t="s">
        <v>1670</v>
      </c>
      <c r="G1244" t="s">
        <v>1436</v>
      </c>
      <c r="H1244" t="s">
        <v>458</v>
      </c>
      <c r="I1244" t="s">
        <v>374</v>
      </c>
      <c r="J1244" t="s">
        <v>881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1436</v>
      </c>
      <c r="B1245" t="s">
        <v>1669</v>
      </c>
      <c r="C1245" t="s">
        <v>609</v>
      </c>
      <c r="D1245" t="s">
        <v>523</v>
      </c>
      <c r="E1245" t="s">
        <v>75</v>
      </c>
      <c r="F1245" t="s">
        <v>1670</v>
      </c>
      <c r="G1245" t="s">
        <v>1436</v>
      </c>
      <c r="H1245" t="s">
        <v>458</v>
      </c>
      <c r="I1245" t="s">
        <v>374</v>
      </c>
      <c r="J1245" t="s">
        <v>881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1436</v>
      </c>
      <c r="B1246" t="s">
        <v>1669</v>
      </c>
      <c r="C1246" t="s">
        <v>609</v>
      </c>
      <c r="D1246" t="s">
        <v>523</v>
      </c>
      <c r="E1246" t="s">
        <v>1699</v>
      </c>
      <c r="F1246" t="s">
        <v>1670</v>
      </c>
      <c r="G1246" t="s">
        <v>1436</v>
      </c>
      <c r="H1246" t="s">
        <v>458</v>
      </c>
      <c r="I1246" t="s">
        <v>374</v>
      </c>
      <c r="J1246" t="s">
        <v>881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1436</v>
      </c>
      <c r="B1247" t="s">
        <v>1669</v>
      </c>
      <c r="C1247" t="s">
        <v>609</v>
      </c>
      <c r="D1247" t="s">
        <v>523</v>
      </c>
      <c r="E1247" t="s">
        <v>1700</v>
      </c>
      <c r="F1247" t="s">
        <v>1670</v>
      </c>
      <c r="G1247" t="s">
        <v>1436</v>
      </c>
      <c r="H1247" t="s">
        <v>458</v>
      </c>
      <c r="I1247" t="s">
        <v>374</v>
      </c>
      <c r="J1247" t="s">
        <v>881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1436</v>
      </c>
      <c r="B1248" t="s">
        <v>1669</v>
      </c>
      <c r="C1248" t="s">
        <v>609</v>
      </c>
      <c r="D1248" t="s">
        <v>523</v>
      </c>
      <c r="E1248" t="s">
        <v>1701</v>
      </c>
      <c r="F1248" t="s">
        <v>1670</v>
      </c>
      <c r="G1248" t="s">
        <v>1436</v>
      </c>
      <c r="H1248" t="s">
        <v>458</v>
      </c>
      <c r="I1248" t="s">
        <v>374</v>
      </c>
      <c r="J1248" t="s">
        <v>881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1436</v>
      </c>
      <c r="B1249" t="s">
        <v>1669</v>
      </c>
      <c r="C1249" t="s">
        <v>368</v>
      </c>
      <c r="D1249" t="s">
        <v>523</v>
      </c>
      <c r="E1249" t="s">
        <v>250</v>
      </c>
      <c r="F1249" t="s">
        <v>1670</v>
      </c>
      <c r="G1249" t="s">
        <v>1436</v>
      </c>
      <c r="H1249" t="s">
        <v>458</v>
      </c>
      <c r="I1249" t="s">
        <v>374</v>
      </c>
      <c r="J1249" t="s">
        <v>881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1436</v>
      </c>
      <c r="B1250" t="s">
        <v>1669</v>
      </c>
      <c r="C1250" t="s">
        <v>368</v>
      </c>
      <c r="D1250" t="s">
        <v>523</v>
      </c>
      <c r="E1250" t="s">
        <v>1702</v>
      </c>
      <c r="F1250" t="s">
        <v>1670</v>
      </c>
      <c r="G1250" t="s">
        <v>1436</v>
      </c>
      <c r="H1250" t="s">
        <v>458</v>
      </c>
      <c r="I1250" t="s">
        <v>374</v>
      </c>
      <c r="J1250" t="s">
        <v>881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1436</v>
      </c>
      <c r="B1251" t="s">
        <v>1669</v>
      </c>
      <c r="C1251" t="s">
        <v>368</v>
      </c>
      <c r="D1251" t="s">
        <v>523</v>
      </c>
      <c r="E1251" t="s">
        <v>1703</v>
      </c>
      <c r="F1251" t="s">
        <v>1670</v>
      </c>
      <c r="G1251" t="s">
        <v>1436</v>
      </c>
      <c r="H1251" t="s">
        <v>458</v>
      </c>
      <c r="I1251" t="s">
        <v>374</v>
      </c>
      <c r="J1251" t="s">
        <v>881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1436</v>
      </c>
      <c r="B1252" t="s">
        <v>1669</v>
      </c>
      <c r="C1252" t="s">
        <v>368</v>
      </c>
      <c r="D1252" t="s">
        <v>523</v>
      </c>
      <c r="E1252" t="s">
        <v>1704</v>
      </c>
      <c r="F1252" t="s">
        <v>1670</v>
      </c>
      <c r="G1252" t="s">
        <v>1436</v>
      </c>
      <c r="H1252" t="s">
        <v>458</v>
      </c>
      <c r="I1252" t="s">
        <v>374</v>
      </c>
      <c r="J1252" t="s">
        <v>881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1436</v>
      </c>
      <c r="B1253" t="s">
        <v>1705</v>
      </c>
      <c r="C1253" t="s">
        <v>368</v>
      </c>
      <c r="D1253" t="s">
        <v>523</v>
      </c>
      <c r="E1253" t="s">
        <v>170</v>
      </c>
      <c r="F1253" t="s">
        <v>1706</v>
      </c>
      <c r="G1253" t="s">
        <v>1436</v>
      </c>
      <c r="H1253" t="s">
        <v>458</v>
      </c>
      <c r="I1253" t="s">
        <v>374</v>
      </c>
      <c r="J1253" t="s">
        <v>906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1436</v>
      </c>
      <c r="B1254" t="s">
        <v>1705</v>
      </c>
      <c r="C1254" t="s">
        <v>368</v>
      </c>
      <c r="D1254" t="s">
        <v>523</v>
      </c>
      <c r="E1254" t="s">
        <v>1707</v>
      </c>
      <c r="F1254" t="s">
        <v>1706</v>
      </c>
      <c r="G1254" t="s">
        <v>1436</v>
      </c>
      <c r="H1254" t="s">
        <v>458</v>
      </c>
      <c r="I1254" t="s">
        <v>374</v>
      </c>
      <c r="J1254" t="s">
        <v>906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1436</v>
      </c>
      <c r="B1255" t="s">
        <v>1705</v>
      </c>
      <c r="C1255" t="s">
        <v>368</v>
      </c>
      <c r="D1255" t="s">
        <v>523</v>
      </c>
      <c r="E1255" t="s">
        <v>1708</v>
      </c>
      <c r="F1255" t="s">
        <v>1706</v>
      </c>
      <c r="G1255" t="s">
        <v>1436</v>
      </c>
      <c r="H1255" t="s">
        <v>458</v>
      </c>
      <c r="I1255" t="s">
        <v>374</v>
      </c>
      <c r="J1255" t="s">
        <v>906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1436</v>
      </c>
      <c r="B1256" t="s">
        <v>1705</v>
      </c>
      <c r="C1256" t="s">
        <v>368</v>
      </c>
      <c r="D1256" t="s">
        <v>523</v>
      </c>
      <c r="E1256" t="s">
        <v>1709</v>
      </c>
      <c r="F1256" t="s">
        <v>1706</v>
      </c>
      <c r="G1256" t="s">
        <v>1436</v>
      </c>
      <c r="H1256" t="s">
        <v>458</v>
      </c>
      <c r="I1256" t="s">
        <v>374</v>
      </c>
      <c r="J1256" t="s">
        <v>906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1436</v>
      </c>
      <c r="B1257" t="s">
        <v>1705</v>
      </c>
      <c r="C1257" t="s">
        <v>368</v>
      </c>
      <c r="D1257" t="s">
        <v>523</v>
      </c>
      <c r="E1257" t="s">
        <v>206</v>
      </c>
      <c r="F1257" t="s">
        <v>1706</v>
      </c>
      <c r="G1257" t="s">
        <v>1436</v>
      </c>
      <c r="H1257" t="s">
        <v>458</v>
      </c>
      <c r="I1257" t="s">
        <v>374</v>
      </c>
      <c r="J1257" t="s">
        <v>906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1436</v>
      </c>
      <c r="B1258" t="s">
        <v>1705</v>
      </c>
      <c r="C1258" t="s">
        <v>368</v>
      </c>
      <c r="D1258" t="s">
        <v>523</v>
      </c>
      <c r="E1258" t="s">
        <v>1710</v>
      </c>
      <c r="F1258" t="s">
        <v>1706</v>
      </c>
      <c r="G1258" t="s">
        <v>1436</v>
      </c>
      <c r="H1258" t="s">
        <v>458</v>
      </c>
      <c r="I1258" t="s">
        <v>374</v>
      </c>
      <c r="J1258" t="s">
        <v>906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1436</v>
      </c>
      <c r="B1259" t="s">
        <v>1705</v>
      </c>
      <c r="C1259" t="s">
        <v>368</v>
      </c>
      <c r="D1259" t="s">
        <v>523</v>
      </c>
      <c r="E1259" t="s">
        <v>1711</v>
      </c>
      <c r="F1259" t="s">
        <v>1706</v>
      </c>
      <c r="G1259" t="s">
        <v>1436</v>
      </c>
      <c r="H1259" t="s">
        <v>458</v>
      </c>
      <c r="I1259" t="s">
        <v>374</v>
      </c>
      <c r="J1259" t="s">
        <v>906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1436</v>
      </c>
      <c r="B1260" t="s">
        <v>1705</v>
      </c>
      <c r="C1260" t="s">
        <v>368</v>
      </c>
      <c r="D1260" t="s">
        <v>523</v>
      </c>
      <c r="E1260" t="s">
        <v>1712</v>
      </c>
      <c r="F1260" t="s">
        <v>1706</v>
      </c>
      <c r="G1260" t="s">
        <v>1436</v>
      </c>
      <c r="H1260" t="s">
        <v>458</v>
      </c>
      <c r="I1260" t="s">
        <v>374</v>
      </c>
      <c r="J1260" t="s">
        <v>906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1436</v>
      </c>
      <c r="B1261" t="s">
        <v>1705</v>
      </c>
      <c r="C1261" t="s">
        <v>368</v>
      </c>
      <c r="D1261" t="s">
        <v>523</v>
      </c>
      <c r="E1261" t="s">
        <v>251</v>
      </c>
      <c r="F1261" t="s">
        <v>1706</v>
      </c>
      <c r="G1261" t="s">
        <v>1436</v>
      </c>
      <c r="H1261" t="s">
        <v>458</v>
      </c>
      <c r="I1261" t="s">
        <v>374</v>
      </c>
      <c r="J1261" t="s">
        <v>906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1436</v>
      </c>
      <c r="B1262" t="s">
        <v>1705</v>
      </c>
      <c r="C1262" t="s">
        <v>368</v>
      </c>
      <c r="D1262" t="s">
        <v>523</v>
      </c>
      <c r="E1262" t="s">
        <v>1713</v>
      </c>
      <c r="F1262" t="s">
        <v>1706</v>
      </c>
      <c r="G1262" t="s">
        <v>1436</v>
      </c>
      <c r="H1262" t="s">
        <v>458</v>
      </c>
      <c r="I1262" t="s">
        <v>374</v>
      </c>
      <c r="J1262" t="s">
        <v>906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1436</v>
      </c>
      <c r="B1263" t="s">
        <v>1705</v>
      </c>
      <c r="C1263" t="s">
        <v>368</v>
      </c>
      <c r="D1263" t="s">
        <v>523</v>
      </c>
      <c r="E1263" t="s">
        <v>1714</v>
      </c>
      <c r="F1263" t="s">
        <v>1706</v>
      </c>
      <c r="G1263" t="s">
        <v>1436</v>
      </c>
      <c r="H1263" t="s">
        <v>458</v>
      </c>
      <c r="I1263" t="s">
        <v>374</v>
      </c>
      <c r="J1263" t="s">
        <v>906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1436</v>
      </c>
      <c r="B1264" t="s">
        <v>1705</v>
      </c>
      <c r="C1264" t="s">
        <v>368</v>
      </c>
      <c r="D1264" t="s">
        <v>523</v>
      </c>
      <c r="E1264" t="s">
        <v>1715</v>
      </c>
      <c r="F1264" t="s">
        <v>1706</v>
      </c>
      <c r="G1264" t="s">
        <v>1436</v>
      </c>
      <c r="H1264" t="s">
        <v>458</v>
      </c>
      <c r="I1264" t="s">
        <v>374</v>
      </c>
      <c r="J1264" t="s">
        <v>906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1436</v>
      </c>
      <c r="B1265" t="s">
        <v>1705</v>
      </c>
      <c r="C1265" t="s">
        <v>368</v>
      </c>
      <c r="D1265" t="s">
        <v>523</v>
      </c>
      <c r="E1265" t="s">
        <v>1716</v>
      </c>
      <c r="F1265" t="s">
        <v>1706</v>
      </c>
      <c r="G1265" t="s">
        <v>1436</v>
      </c>
      <c r="H1265" t="s">
        <v>458</v>
      </c>
      <c r="I1265" t="s">
        <v>374</v>
      </c>
      <c r="J1265" t="s">
        <v>906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1436</v>
      </c>
      <c r="B1266" t="s">
        <v>1705</v>
      </c>
      <c r="C1266" t="s">
        <v>368</v>
      </c>
      <c r="D1266" t="s">
        <v>523</v>
      </c>
      <c r="E1266" t="s">
        <v>1717</v>
      </c>
      <c r="F1266" t="s">
        <v>1706</v>
      </c>
      <c r="G1266" t="s">
        <v>1436</v>
      </c>
      <c r="H1266" t="s">
        <v>458</v>
      </c>
      <c r="I1266" t="s">
        <v>374</v>
      </c>
      <c r="J1266" t="s">
        <v>906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1436</v>
      </c>
      <c r="B1267" t="s">
        <v>1705</v>
      </c>
      <c r="C1267" t="s">
        <v>368</v>
      </c>
      <c r="D1267" t="s">
        <v>523</v>
      </c>
      <c r="E1267" t="s">
        <v>1718</v>
      </c>
      <c r="F1267" t="s">
        <v>1706</v>
      </c>
      <c r="G1267" t="s">
        <v>1436</v>
      </c>
      <c r="H1267" t="s">
        <v>458</v>
      </c>
      <c r="I1267" t="s">
        <v>374</v>
      </c>
      <c r="J1267" t="s">
        <v>906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1436</v>
      </c>
      <c r="B1268" t="s">
        <v>1705</v>
      </c>
      <c r="C1268" t="s">
        <v>368</v>
      </c>
      <c r="D1268" t="s">
        <v>523</v>
      </c>
      <c r="E1268" t="s">
        <v>1719</v>
      </c>
      <c r="F1268" t="s">
        <v>1706</v>
      </c>
      <c r="G1268" t="s">
        <v>1436</v>
      </c>
      <c r="H1268" t="s">
        <v>458</v>
      </c>
      <c r="I1268" t="s">
        <v>374</v>
      </c>
      <c r="J1268" t="s">
        <v>906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1436</v>
      </c>
      <c r="B1269" t="s">
        <v>1705</v>
      </c>
      <c r="C1269" t="s">
        <v>368</v>
      </c>
      <c r="D1269" t="s">
        <v>523</v>
      </c>
      <c r="E1269" t="s">
        <v>133</v>
      </c>
      <c r="F1269" t="s">
        <v>1706</v>
      </c>
      <c r="G1269" t="s">
        <v>1436</v>
      </c>
      <c r="H1269" t="s">
        <v>458</v>
      </c>
      <c r="I1269" t="s">
        <v>374</v>
      </c>
      <c r="J1269" t="s">
        <v>906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1436</v>
      </c>
      <c r="B1270" t="s">
        <v>1705</v>
      </c>
      <c r="C1270" t="s">
        <v>368</v>
      </c>
      <c r="D1270" t="s">
        <v>523</v>
      </c>
      <c r="E1270" t="s">
        <v>1720</v>
      </c>
      <c r="F1270" t="s">
        <v>1706</v>
      </c>
      <c r="G1270" t="s">
        <v>1436</v>
      </c>
      <c r="H1270" t="s">
        <v>458</v>
      </c>
      <c r="I1270" t="s">
        <v>374</v>
      </c>
      <c r="J1270" t="s">
        <v>906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1436</v>
      </c>
      <c r="B1271" t="s">
        <v>1705</v>
      </c>
      <c r="C1271" t="s">
        <v>368</v>
      </c>
      <c r="D1271" t="s">
        <v>523</v>
      </c>
      <c r="E1271" t="s">
        <v>1721</v>
      </c>
      <c r="F1271" t="s">
        <v>1706</v>
      </c>
      <c r="G1271" t="s">
        <v>1436</v>
      </c>
      <c r="H1271" t="s">
        <v>458</v>
      </c>
      <c r="I1271" t="s">
        <v>374</v>
      </c>
      <c r="J1271" t="s">
        <v>906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1436</v>
      </c>
      <c r="B1272" t="s">
        <v>1705</v>
      </c>
      <c r="C1272" t="s">
        <v>368</v>
      </c>
      <c r="D1272" t="s">
        <v>523</v>
      </c>
      <c r="E1272" t="s">
        <v>1722</v>
      </c>
      <c r="F1272" t="s">
        <v>1706</v>
      </c>
      <c r="G1272" t="s">
        <v>1436</v>
      </c>
      <c r="H1272" t="s">
        <v>458</v>
      </c>
      <c r="I1272" t="s">
        <v>374</v>
      </c>
      <c r="J1272" t="s">
        <v>906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1436</v>
      </c>
      <c r="B1273" t="s">
        <v>1705</v>
      </c>
      <c r="C1273" t="s">
        <v>368</v>
      </c>
      <c r="D1273" t="s">
        <v>523</v>
      </c>
      <c r="E1273" t="s">
        <v>1723</v>
      </c>
      <c r="F1273" t="s">
        <v>1706</v>
      </c>
      <c r="G1273" t="s">
        <v>1436</v>
      </c>
      <c r="H1273" t="s">
        <v>458</v>
      </c>
      <c r="I1273" t="s">
        <v>374</v>
      </c>
      <c r="J1273" t="s">
        <v>906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1436</v>
      </c>
      <c r="B1274" t="s">
        <v>1705</v>
      </c>
      <c r="C1274" t="s">
        <v>368</v>
      </c>
      <c r="D1274" t="s">
        <v>523</v>
      </c>
      <c r="E1274" t="s">
        <v>1724</v>
      </c>
      <c r="F1274" t="s">
        <v>1706</v>
      </c>
      <c r="G1274" t="s">
        <v>1436</v>
      </c>
      <c r="H1274" t="s">
        <v>458</v>
      </c>
      <c r="I1274" t="s">
        <v>374</v>
      </c>
      <c r="J1274" t="s">
        <v>906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1436</v>
      </c>
      <c r="B1275" t="s">
        <v>1705</v>
      </c>
      <c r="C1275" t="s">
        <v>368</v>
      </c>
      <c r="D1275" t="s">
        <v>523</v>
      </c>
      <c r="E1275" t="s">
        <v>1725</v>
      </c>
      <c r="F1275" t="s">
        <v>1706</v>
      </c>
      <c r="G1275" t="s">
        <v>1436</v>
      </c>
      <c r="H1275" t="s">
        <v>458</v>
      </c>
      <c r="I1275" t="s">
        <v>374</v>
      </c>
      <c r="J1275" t="s">
        <v>906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1436</v>
      </c>
      <c r="B1276" t="s">
        <v>1705</v>
      </c>
      <c r="C1276" t="s">
        <v>368</v>
      </c>
      <c r="D1276" t="s">
        <v>523</v>
      </c>
      <c r="E1276" t="s">
        <v>1726</v>
      </c>
      <c r="F1276" t="s">
        <v>1706</v>
      </c>
      <c r="G1276" t="s">
        <v>1436</v>
      </c>
      <c r="H1276" t="s">
        <v>458</v>
      </c>
      <c r="I1276" t="s">
        <v>374</v>
      </c>
      <c r="J1276" t="s">
        <v>906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1436</v>
      </c>
      <c r="B1277" t="s">
        <v>1705</v>
      </c>
      <c r="C1277" t="s">
        <v>368</v>
      </c>
      <c r="D1277" t="s">
        <v>523</v>
      </c>
      <c r="E1277" t="s">
        <v>1727</v>
      </c>
      <c r="F1277" t="s">
        <v>1706</v>
      </c>
      <c r="G1277" t="s">
        <v>1436</v>
      </c>
      <c r="H1277" t="s">
        <v>458</v>
      </c>
      <c r="I1277" t="s">
        <v>374</v>
      </c>
      <c r="J1277" t="s">
        <v>906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1436</v>
      </c>
      <c r="B1278" t="s">
        <v>1705</v>
      </c>
      <c r="C1278" t="s">
        <v>368</v>
      </c>
      <c r="D1278" t="s">
        <v>523</v>
      </c>
      <c r="E1278" t="s">
        <v>1728</v>
      </c>
      <c r="F1278" t="s">
        <v>1706</v>
      </c>
      <c r="G1278" t="s">
        <v>1436</v>
      </c>
      <c r="H1278" t="s">
        <v>458</v>
      </c>
      <c r="I1278" t="s">
        <v>374</v>
      </c>
      <c r="J1278" t="s">
        <v>906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1436</v>
      </c>
      <c r="B1279" t="s">
        <v>1705</v>
      </c>
      <c r="C1279" t="s">
        <v>609</v>
      </c>
      <c r="D1279" t="s">
        <v>523</v>
      </c>
      <c r="E1279" t="s">
        <v>1729</v>
      </c>
      <c r="F1279" t="s">
        <v>1706</v>
      </c>
      <c r="G1279" t="s">
        <v>1436</v>
      </c>
      <c r="H1279" t="s">
        <v>458</v>
      </c>
      <c r="I1279" t="s">
        <v>374</v>
      </c>
      <c r="J1279" t="s">
        <v>906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1436</v>
      </c>
      <c r="B1280" t="s">
        <v>1705</v>
      </c>
      <c r="C1280" t="s">
        <v>609</v>
      </c>
      <c r="D1280" t="s">
        <v>523</v>
      </c>
      <c r="E1280" t="s">
        <v>1730</v>
      </c>
      <c r="F1280" t="s">
        <v>1706</v>
      </c>
      <c r="G1280" t="s">
        <v>1436</v>
      </c>
      <c r="H1280" t="s">
        <v>458</v>
      </c>
      <c r="I1280" t="s">
        <v>374</v>
      </c>
      <c r="J1280" t="s">
        <v>906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1436</v>
      </c>
      <c r="B1281" t="s">
        <v>1705</v>
      </c>
      <c r="C1281" t="s">
        <v>609</v>
      </c>
      <c r="D1281" t="s">
        <v>523</v>
      </c>
      <c r="E1281" t="s">
        <v>1731</v>
      </c>
      <c r="F1281" t="s">
        <v>1706</v>
      </c>
      <c r="G1281" t="s">
        <v>1436</v>
      </c>
      <c r="H1281" t="s">
        <v>458</v>
      </c>
      <c r="I1281" t="s">
        <v>374</v>
      </c>
      <c r="J1281" t="s">
        <v>906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1436</v>
      </c>
      <c r="B1282" t="s">
        <v>1705</v>
      </c>
      <c r="C1282" t="s">
        <v>609</v>
      </c>
      <c r="D1282" t="s">
        <v>523</v>
      </c>
      <c r="E1282" t="s">
        <v>1732</v>
      </c>
      <c r="F1282" t="s">
        <v>1706</v>
      </c>
      <c r="G1282" t="s">
        <v>1436</v>
      </c>
      <c r="H1282" t="s">
        <v>458</v>
      </c>
      <c r="I1282" t="s">
        <v>374</v>
      </c>
      <c r="J1282" t="s">
        <v>906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1436</v>
      </c>
      <c r="B1283" t="s">
        <v>1705</v>
      </c>
      <c r="C1283" t="s">
        <v>609</v>
      </c>
      <c r="D1283" t="s">
        <v>523</v>
      </c>
      <c r="E1283" t="s">
        <v>1733</v>
      </c>
      <c r="F1283" t="s">
        <v>1706</v>
      </c>
      <c r="G1283" t="s">
        <v>1436</v>
      </c>
      <c r="H1283" t="s">
        <v>458</v>
      </c>
      <c r="I1283" t="s">
        <v>374</v>
      </c>
      <c r="J1283" t="s">
        <v>906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1436</v>
      </c>
      <c r="B1284" t="s">
        <v>1705</v>
      </c>
      <c r="C1284" t="s">
        <v>609</v>
      </c>
      <c r="D1284" t="s">
        <v>523</v>
      </c>
      <c r="E1284" t="s">
        <v>1734</v>
      </c>
      <c r="F1284" t="s">
        <v>1706</v>
      </c>
      <c r="G1284" t="s">
        <v>1436</v>
      </c>
      <c r="H1284" t="s">
        <v>458</v>
      </c>
      <c r="I1284" t="s">
        <v>374</v>
      </c>
      <c r="J1284" t="s">
        <v>906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1436</v>
      </c>
      <c r="B1285" t="s">
        <v>1705</v>
      </c>
      <c r="C1285" t="s">
        <v>609</v>
      </c>
      <c r="D1285" t="s">
        <v>523</v>
      </c>
      <c r="E1285" t="s">
        <v>1735</v>
      </c>
      <c r="F1285" t="s">
        <v>1706</v>
      </c>
      <c r="G1285" t="s">
        <v>1436</v>
      </c>
      <c r="H1285" t="s">
        <v>458</v>
      </c>
      <c r="I1285" t="s">
        <v>374</v>
      </c>
      <c r="J1285" t="s">
        <v>906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1436</v>
      </c>
      <c r="B1286" t="s">
        <v>1705</v>
      </c>
      <c r="C1286" t="s">
        <v>609</v>
      </c>
      <c r="D1286" t="s">
        <v>523</v>
      </c>
      <c r="E1286" t="s">
        <v>1736</v>
      </c>
      <c r="F1286" t="s">
        <v>1706</v>
      </c>
      <c r="G1286" t="s">
        <v>1436</v>
      </c>
      <c r="H1286" t="s">
        <v>458</v>
      </c>
      <c r="I1286" t="s">
        <v>374</v>
      </c>
      <c r="J1286" t="s">
        <v>906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1436</v>
      </c>
      <c r="B1287" t="s">
        <v>1705</v>
      </c>
      <c r="C1287" t="s">
        <v>609</v>
      </c>
      <c r="D1287" t="s">
        <v>523</v>
      </c>
      <c r="E1287" t="s">
        <v>1737</v>
      </c>
      <c r="F1287" t="s">
        <v>1706</v>
      </c>
      <c r="G1287" t="s">
        <v>1436</v>
      </c>
      <c r="H1287" t="s">
        <v>458</v>
      </c>
      <c r="I1287" t="s">
        <v>374</v>
      </c>
      <c r="J1287" t="s">
        <v>906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1436</v>
      </c>
      <c r="B1288" t="s">
        <v>1705</v>
      </c>
      <c r="C1288" t="s">
        <v>609</v>
      </c>
      <c r="D1288" t="s">
        <v>523</v>
      </c>
      <c r="E1288" t="s">
        <v>1738</v>
      </c>
      <c r="F1288" t="s">
        <v>1706</v>
      </c>
      <c r="G1288" t="s">
        <v>1436</v>
      </c>
      <c r="H1288" t="s">
        <v>458</v>
      </c>
      <c r="I1288" t="s">
        <v>374</v>
      </c>
      <c r="J1288" t="s">
        <v>906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1436</v>
      </c>
      <c r="B1289" t="s">
        <v>1705</v>
      </c>
      <c r="C1289" t="s">
        <v>368</v>
      </c>
      <c r="D1289" t="s">
        <v>523</v>
      </c>
      <c r="E1289" t="s">
        <v>26</v>
      </c>
      <c r="F1289" t="s">
        <v>1706</v>
      </c>
      <c r="G1289" t="s">
        <v>1436</v>
      </c>
      <c r="H1289" t="s">
        <v>458</v>
      </c>
      <c r="I1289" t="s">
        <v>374</v>
      </c>
      <c r="J1289" t="s">
        <v>906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1436</v>
      </c>
      <c r="B1290" t="s">
        <v>1705</v>
      </c>
      <c r="C1290" t="s">
        <v>368</v>
      </c>
      <c r="D1290" t="s">
        <v>523</v>
      </c>
      <c r="E1290" t="s">
        <v>1739</v>
      </c>
      <c r="F1290" t="s">
        <v>1706</v>
      </c>
      <c r="G1290" t="s">
        <v>1436</v>
      </c>
      <c r="H1290" t="s">
        <v>458</v>
      </c>
      <c r="I1290" t="s">
        <v>374</v>
      </c>
      <c r="J1290" t="s">
        <v>906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1436</v>
      </c>
      <c r="B1291" t="s">
        <v>1705</v>
      </c>
      <c r="C1291" t="s">
        <v>368</v>
      </c>
      <c r="D1291" t="s">
        <v>523</v>
      </c>
      <c r="E1291" t="s">
        <v>1740</v>
      </c>
      <c r="F1291" t="s">
        <v>1706</v>
      </c>
      <c r="G1291" t="s">
        <v>1436</v>
      </c>
      <c r="H1291" t="s">
        <v>458</v>
      </c>
      <c r="I1291" t="s">
        <v>374</v>
      </c>
      <c r="J1291" t="s">
        <v>906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1436</v>
      </c>
      <c r="B1292" t="s">
        <v>1705</v>
      </c>
      <c r="C1292" t="s">
        <v>368</v>
      </c>
      <c r="D1292" t="s">
        <v>523</v>
      </c>
      <c r="E1292" t="s">
        <v>1741</v>
      </c>
      <c r="F1292" t="s">
        <v>1706</v>
      </c>
      <c r="G1292" t="s">
        <v>1436</v>
      </c>
      <c r="H1292" t="s">
        <v>458</v>
      </c>
      <c r="I1292" t="s">
        <v>374</v>
      </c>
      <c r="J1292" t="s">
        <v>906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1436</v>
      </c>
      <c r="B1293" t="s">
        <v>1742</v>
      </c>
      <c r="C1293" t="s">
        <v>368</v>
      </c>
      <c r="D1293" t="s">
        <v>523</v>
      </c>
      <c r="E1293" t="s">
        <v>1743</v>
      </c>
      <c r="F1293" t="s">
        <v>1744</v>
      </c>
      <c r="G1293" t="s">
        <v>1436</v>
      </c>
      <c r="H1293" t="s">
        <v>458</v>
      </c>
      <c r="I1293" t="s">
        <v>374</v>
      </c>
      <c r="J1293" t="s">
        <v>931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1436</v>
      </c>
      <c r="B1294" t="s">
        <v>1742</v>
      </c>
      <c r="C1294" t="s">
        <v>368</v>
      </c>
      <c r="D1294" t="s">
        <v>523</v>
      </c>
      <c r="E1294" t="s">
        <v>1745</v>
      </c>
      <c r="F1294" t="s">
        <v>1744</v>
      </c>
      <c r="G1294" t="s">
        <v>1436</v>
      </c>
      <c r="H1294" t="s">
        <v>458</v>
      </c>
      <c r="I1294" t="s">
        <v>374</v>
      </c>
      <c r="J1294" t="s">
        <v>931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1436</v>
      </c>
      <c r="B1295" t="s">
        <v>1742</v>
      </c>
      <c r="C1295" t="s">
        <v>368</v>
      </c>
      <c r="D1295" t="s">
        <v>523</v>
      </c>
      <c r="E1295" t="s">
        <v>1746</v>
      </c>
      <c r="F1295" t="s">
        <v>1744</v>
      </c>
      <c r="G1295" t="s">
        <v>1436</v>
      </c>
      <c r="H1295" t="s">
        <v>458</v>
      </c>
      <c r="I1295" t="s">
        <v>374</v>
      </c>
      <c r="J1295" t="s">
        <v>931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1436</v>
      </c>
      <c r="B1296" t="s">
        <v>1742</v>
      </c>
      <c r="C1296" t="s">
        <v>368</v>
      </c>
      <c r="D1296" t="s">
        <v>523</v>
      </c>
      <c r="E1296" t="s">
        <v>1747</v>
      </c>
      <c r="F1296" t="s">
        <v>1744</v>
      </c>
      <c r="G1296" t="s">
        <v>1436</v>
      </c>
      <c r="H1296" t="s">
        <v>458</v>
      </c>
      <c r="I1296" t="s">
        <v>374</v>
      </c>
      <c r="J1296" t="s">
        <v>931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1436</v>
      </c>
      <c r="B1297" t="s">
        <v>1742</v>
      </c>
      <c r="C1297" t="s">
        <v>368</v>
      </c>
      <c r="D1297" t="s">
        <v>523</v>
      </c>
      <c r="E1297" t="s">
        <v>1748</v>
      </c>
      <c r="F1297" t="s">
        <v>1744</v>
      </c>
      <c r="G1297" t="s">
        <v>1436</v>
      </c>
      <c r="H1297" t="s">
        <v>458</v>
      </c>
      <c r="I1297" t="s">
        <v>374</v>
      </c>
      <c r="J1297" t="s">
        <v>931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1436</v>
      </c>
      <c r="B1298" t="s">
        <v>1742</v>
      </c>
      <c r="C1298" t="s">
        <v>368</v>
      </c>
      <c r="D1298" t="s">
        <v>523</v>
      </c>
      <c r="E1298" t="s">
        <v>1749</v>
      </c>
      <c r="F1298" t="s">
        <v>1744</v>
      </c>
      <c r="G1298" t="s">
        <v>1436</v>
      </c>
      <c r="H1298" t="s">
        <v>458</v>
      </c>
      <c r="I1298" t="s">
        <v>374</v>
      </c>
      <c r="J1298" t="s">
        <v>931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1436</v>
      </c>
      <c r="B1299" t="s">
        <v>1742</v>
      </c>
      <c r="C1299" t="s">
        <v>368</v>
      </c>
      <c r="D1299" t="s">
        <v>523</v>
      </c>
      <c r="E1299" t="s">
        <v>1750</v>
      </c>
      <c r="F1299" t="s">
        <v>1744</v>
      </c>
      <c r="G1299" t="s">
        <v>1436</v>
      </c>
      <c r="H1299" t="s">
        <v>458</v>
      </c>
      <c r="I1299" t="s">
        <v>374</v>
      </c>
      <c r="J1299" t="s">
        <v>931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1436</v>
      </c>
      <c r="B1300" t="s">
        <v>1742</v>
      </c>
      <c r="C1300" t="s">
        <v>368</v>
      </c>
      <c r="D1300" t="s">
        <v>523</v>
      </c>
      <c r="E1300" t="s">
        <v>1751</v>
      </c>
      <c r="F1300" t="s">
        <v>1744</v>
      </c>
      <c r="G1300" t="s">
        <v>1436</v>
      </c>
      <c r="H1300" t="s">
        <v>458</v>
      </c>
      <c r="I1300" t="s">
        <v>374</v>
      </c>
      <c r="J1300" t="s">
        <v>931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1436</v>
      </c>
      <c r="B1301" t="s">
        <v>1742</v>
      </c>
      <c r="C1301" t="s">
        <v>368</v>
      </c>
      <c r="D1301" t="s">
        <v>523</v>
      </c>
      <c r="E1301" t="s">
        <v>1752</v>
      </c>
      <c r="F1301" t="s">
        <v>1744</v>
      </c>
      <c r="G1301" t="s">
        <v>1436</v>
      </c>
      <c r="H1301" t="s">
        <v>458</v>
      </c>
      <c r="I1301" t="s">
        <v>374</v>
      </c>
      <c r="J1301" t="s">
        <v>931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1436</v>
      </c>
      <c r="B1302" t="s">
        <v>1742</v>
      </c>
      <c r="C1302" t="s">
        <v>368</v>
      </c>
      <c r="D1302" t="s">
        <v>523</v>
      </c>
      <c r="E1302" t="s">
        <v>1753</v>
      </c>
      <c r="F1302" t="s">
        <v>1744</v>
      </c>
      <c r="G1302" t="s">
        <v>1436</v>
      </c>
      <c r="H1302" t="s">
        <v>458</v>
      </c>
      <c r="I1302" t="s">
        <v>374</v>
      </c>
      <c r="J1302" t="s">
        <v>931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1436</v>
      </c>
      <c r="B1303" t="s">
        <v>1742</v>
      </c>
      <c r="C1303" t="s">
        <v>368</v>
      </c>
      <c r="D1303" t="s">
        <v>523</v>
      </c>
      <c r="E1303" t="s">
        <v>1754</v>
      </c>
      <c r="F1303" t="s">
        <v>1744</v>
      </c>
      <c r="G1303" t="s">
        <v>1436</v>
      </c>
      <c r="H1303" t="s">
        <v>458</v>
      </c>
      <c r="I1303" t="s">
        <v>374</v>
      </c>
      <c r="J1303" t="s">
        <v>931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1436</v>
      </c>
      <c r="B1304" t="s">
        <v>1742</v>
      </c>
      <c r="C1304" t="s">
        <v>368</v>
      </c>
      <c r="D1304" t="s">
        <v>523</v>
      </c>
      <c r="E1304" t="s">
        <v>1755</v>
      </c>
      <c r="F1304" t="s">
        <v>1744</v>
      </c>
      <c r="G1304" t="s">
        <v>1436</v>
      </c>
      <c r="H1304" t="s">
        <v>458</v>
      </c>
      <c r="I1304" t="s">
        <v>374</v>
      </c>
      <c r="J1304" t="s">
        <v>931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1436</v>
      </c>
      <c r="B1305" t="s">
        <v>1742</v>
      </c>
      <c r="C1305" t="s">
        <v>368</v>
      </c>
      <c r="D1305" t="s">
        <v>523</v>
      </c>
      <c r="E1305" t="s">
        <v>1756</v>
      </c>
      <c r="F1305" t="s">
        <v>1744</v>
      </c>
      <c r="G1305" t="s">
        <v>1436</v>
      </c>
      <c r="H1305" t="s">
        <v>458</v>
      </c>
      <c r="I1305" t="s">
        <v>374</v>
      </c>
      <c r="J1305" t="s">
        <v>931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1436</v>
      </c>
      <c r="B1306" t="s">
        <v>1742</v>
      </c>
      <c r="C1306" t="s">
        <v>609</v>
      </c>
      <c r="D1306" t="s">
        <v>523</v>
      </c>
      <c r="E1306" t="s">
        <v>1757</v>
      </c>
      <c r="F1306" t="s">
        <v>1744</v>
      </c>
      <c r="G1306" t="s">
        <v>1436</v>
      </c>
      <c r="H1306" t="s">
        <v>458</v>
      </c>
      <c r="I1306" t="s">
        <v>374</v>
      </c>
      <c r="J1306" t="s">
        <v>931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1436</v>
      </c>
      <c r="B1307" t="s">
        <v>1742</v>
      </c>
      <c r="C1307" t="s">
        <v>609</v>
      </c>
      <c r="D1307" t="s">
        <v>523</v>
      </c>
      <c r="E1307" t="s">
        <v>1758</v>
      </c>
      <c r="F1307" t="s">
        <v>1744</v>
      </c>
      <c r="G1307" t="s">
        <v>1436</v>
      </c>
      <c r="H1307" t="s">
        <v>458</v>
      </c>
      <c r="I1307" t="s">
        <v>374</v>
      </c>
      <c r="J1307" t="s">
        <v>931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1436</v>
      </c>
      <c r="B1308" t="s">
        <v>1742</v>
      </c>
      <c r="C1308" t="s">
        <v>609</v>
      </c>
      <c r="D1308" t="s">
        <v>523</v>
      </c>
      <c r="E1308" t="s">
        <v>1759</v>
      </c>
      <c r="F1308" t="s">
        <v>1744</v>
      </c>
      <c r="G1308" t="s">
        <v>1436</v>
      </c>
      <c r="H1308" t="s">
        <v>458</v>
      </c>
      <c r="I1308" t="s">
        <v>374</v>
      </c>
      <c r="J1308" t="s">
        <v>931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1436</v>
      </c>
      <c r="B1309" t="s">
        <v>1742</v>
      </c>
      <c r="C1309" t="s">
        <v>609</v>
      </c>
      <c r="D1309" t="s">
        <v>523</v>
      </c>
      <c r="E1309" t="s">
        <v>1760</v>
      </c>
      <c r="F1309" t="s">
        <v>1744</v>
      </c>
      <c r="G1309" t="s">
        <v>1436</v>
      </c>
      <c r="H1309" t="s">
        <v>458</v>
      </c>
      <c r="I1309" t="s">
        <v>374</v>
      </c>
      <c r="J1309" t="s">
        <v>931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1436</v>
      </c>
      <c r="B1310" t="s">
        <v>1742</v>
      </c>
      <c r="C1310" t="s">
        <v>609</v>
      </c>
      <c r="D1310" t="s">
        <v>523</v>
      </c>
      <c r="E1310" t="s">
        <v>1761</v>
      </c>
      <c r="F1310" t="s">
        <v>1744</v>
      </c>
      <c r="G1310" t="s">
        <v>1436</v>
      </c>
      <c r="H1310" t="s">
        <v>458</v>
      </c>
      <c r="I1310" t="s">
        <v>374</v>
      </c>
      <c r="J1310" t="s">
        <v>931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1436</v>
      </c>
      <c r="B1311" t="s">
        <v>1742</v>
      </c>
      <c r="C1311" t="s">
        <v>368</v>
      </c>
      <c r="D1311" t="s">
        <v>523</v>
      </c>
      <c r="E1311" t="s">
        <v>1762</v>
      </c>
      <c r="F1311" t="s">
        <v>1744</v>
      </c>
      <c r="G1311" t="s">
        <v>1436</v>
      </c>
      <c r="H1311" t="s">
        <v>458</v>
      </c>
      <c r="I1311" t="s">
        <v>374</v>
      </c>
      <c r="J1311" t="s">
        <v>931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1436</v>
      </c>
      <c r="B1312" t="s">
        <v>1742</v>
      </c>
      <c r="C1312" t="s">
        <v>368</v>
      </c>
      <c r="D1312" t="s">
        <v>523</v>
      </c>
      <c r="E1312" t="s">
        <v>1763</v>
      </c>
      <c r="F1312" t="s">
        <v>1744</v>
      </c>
      <c r="G1312" t="s">
        <v>1436</v>
      </c>
      <c r="H1312" t="s">
        <v>458</v>
      </c>
      <c r="I1312" t="s">
        <v>374</v>
      </c>
      <c r="J1312" t="s">
        <v>931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1436</v>
      </c>
      <c r="B1313" t="s">
        <v>1764</v>
      </c>
      <c r="C1313" t="s">
        <v>368</v>
      </c>
      <c r="D1313" t="s">
        <v>523</v>
      </c>
      <c r="E1313" t="s">
        <v>1765</v>
      </c>
      <c r="F1313" t="s">
        <v>1766</v>
      </c>
      <c r="G1313" t="s">
        <v>1436</v>
      </c>
      <c r="H1313" t="s">
        <v>458</v>
      </c>
      <c r="I1313" t="s">
        <v>374</v>
      </c>
      <c r="J1313" t="s">
        <v>956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1436</v>
      </c>
      <c r="B1314" t="s">
        <v>1764</v>
      </c>
      <c r="C1314" t="s">
        <v>368</v>
      </c>
      <c r="D1314" t="s">
        <v>523</v>
      </c>
      <c r="E1314" t="s">
        <v>1767</v>
      </c>
      <c r="F1314" t="s">
        <v>1766</v>
      </c>
      <c r="G1314" t="s">
        <v>1436</v>
      </c>
      <c r="H1314" t="s">
        <v>458</v>
      </c>
      <c r="I1314" t="s">
        <v>374</v>
      </c>
      <c r="J1314" t="s">
        <v>956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1436</v>
      </c>
      <c r="B1315" t="s">
        <v>1764</v>
      </c>
      <c r="C1315" t="s">
        <v>368</v>
      </c>
      <c r="D1315" t="s">
        <v>523</v>
      </c>
      <c r="E1315" t="s">
        <v>1768</v>
      </c>
      <c r="F1315" t="s">
        <v>1766</v>
      </c>
      <c r="G1315" t="s">
        <v>1436</v>
      </c>
      <c r="H1315" t="s">
        <v>458</v>
      </c>
      <c r="I1315" t="s">
        <v>374</v>
      </c>
      <c r="J1315" t="s">
        <v>956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1436</v>
      </c>
      <c r="B1316" t="s">
        <v>1764</v>
      </c>
      <c r="C1316" t="s">
        <v>368</v>
      </c>
      <c r="D1316" t="s">
        <v>523</v>
      </c>
      <c r="E1316" t="s">
        <v>1769</v>
      </c>
      <c r="F1316" t="s">
        <v>1766</v>
      </c>
      <c r="G1316" t="s">
        <v>1436</v>
      </c>
      <c r="H1316" t="s">
        <v>458</v>
      </c>
      <c r="I1316" t="s">
        <v>374</v>
      </c>
      <c r="J1316" t="s">
        <v>956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1436</v>
      </c>
      <c r="B1317" t="s">
        <v>1764</v>
      </c>
      <c r="C1317" t="s">
        <v>368</v>
      </c>
      <c r="D1317" t="s">
        <v>523</v>
      </c>
      <c r="E1317" t="s">
        <v>1770</v>
      </c>
      <c r="F1317" t="s">
        <v>1766</v>
      </c>
      <c r="G1317" t="s">
        <v>1436</v>
      </c>
      <c r="H1317" t="s">
        <v>458</v>
      </c>
      <c r="I1317" t="s">
        <v>374</v>
      </c>
      <c r="J1317" t="s">
        <v>956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1436</v>
      </c>
      <c r="B1318" t="s">
        <v>1764</v>
      </c>
      <c r="C1318" t="s">
        <v>368</v>
      </c>
      <c r="D1318" t="s">
        <v>523</v>
      </c>
      <c r="E1318" t="s">
        <v>1771</v>
      </c>
      <c r="F1318" t="s">
        <v>1766</v>
      </c>
      <c r="G1318" t="s">
        <v>1436</v>
      </c>
      <c r="H1318" t="s">
        <v>458</v>
      </c>
      <c r="I1318" t="s">
        <v>374</v>
      </c>
      <c r="J1318" t="s">
        <v>956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1436</v>
      </c>
      <c r="B1319" t="s">
        <v>1764</v>
      </c>
      <c r="C1319" t="s">
        <v>368</v>
      </c>
      <c r="D1319" t="s">
        <v>523</v>
      </c>
      <c r="E1319" t="s">
        <v>1772</v>
      </c>
      <c r="F1319" t="s">
        <v>1766</v>
      </c>
      <c r="G1319" t="s">
        <v>1436</v>
      </c>
      <c r="H1319" t="s">
        <v>458</v>
      </c>
      <c r="I1319" t="s">
        <v>374</v>
      </c>
      <c r="J1319" t="s">
        <v>956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1436</v>
      </c>
      <c r="B1320" t="s">
        <v>1764</v>
      </c>
      <c r="C1320" t="s">
        <v>368</v>
      </c>
      <c r="D1320" t="s">
        <v>523</v>
      </c>
      <c r="E1320" t="s">
        <v>1773</v>
      </c>
      <c r="F1320" t="s">
        <v>1766</v>
      </c>
      <c r="G1320" t="s">
        <v>1436</v>
      </c>
      <c r="H1320" t="s">
        <v>458</v>
      </c>
      <c r="I1320" t="s">
        <v>374</v>
      </c>
      <c r="J1320" t="s">
        <v>956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1436</v>
      </c>
      <c r="B1321" t="s">
        <v>1764</v>
      </c>
      <c r="C1321" t="s">
        <v>368</v>
      </c>
      <c r="D1321" t="s">
        <v>523</v>
      </c>
      <c r="E1321" t="s">
        <v>1774</v>
      </c>
      <c r="F1321" t="s">
        <v>1766</v>
      </c>
      <c r="G1321" t="s">
        <v>1436</v>
      </c>
      <c r="H1321" t="s">
        <v>458</v>
      </c>
      <c r="I1321" t="s">
        <v>374</v>
      </c>
      <c r="J1321" t="s">
        <v>956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1436</v>
      </c>
      <c r="B1322" t="s">
        <v>1764</v>
      </c>
      <c r="C1322" t="s">
        <v>368</v>
      </c>
      <c r="D1322" t="s">
        <v>523</v>
      </c>
      <c r="E1322" t="s">
        <v>1775</v>
      </c>
      <c r="F1322" t="s">
        <v>1766</v>
      </c>
      <c r="G1322" t="s">
        <v>1436</v>
      </c>
      <c r="H1322" t="s">
        <v>458</v>
      </c>
      <c r="I1322" t="s">
        <v>374</v>
      </c>
      <c r="J1322" t="s">
        <v>956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1436</v>
      </c>
      <c r="B1323" t="s">
        <v>1764</v>
      </c>
      <c r="C1323" t="s">
        <v>368</v>
      </c>
      <c r="D1323" t="s">
        <v>523</v>
      </c>
      <c r="E1323" t="s">
        <v>1776</v>
      </c>
      <c r="F1323" t="s">
        <v>1766</v>
      </c>
      <c r="G1323" t="s">
        <v>1436</v>
      </c>
      <c r="H1323" t="s">
        <v>458</v>
      </c>
      <c r="I1323" t="s">
        <v>374</v>
      </c>
      <c r="J1323" t="s">
        <v>956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1436</v>
      </c>
      <c r="B1324" t="s">
        <v>1764</v>
      </c>
      <c r="C1324" t="s">
        <v>368</v>
      </c>
      <c r="D1324" t="s">
        <v>523</v>
      </c>
      <c r="E1324" t="s">
        <v>1777</v>
      </c>
      <c r="F1324" t="s">
        <v>1766</v>
      </c>
      <c r="G1324" t="s">
        <v>1436</v>
      </c>
      <c r="H1324" t="s">
        <v>458</v>
      </c>
      <c r="I1324" t="s">
        <v>374</v>
      </c>
      <c r="J1324" t="s">
        <v>956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1436</v>
      </c>
      <c r="B1325" t="s">
        <v>1764</v>
      </c>
      <c r="C1325" t="s">
        <v>368</v>
      </c>
      <c r="D1325" t="s">
        <v>523</v>
      </c>
      <c r="E1325" t="s">
        <v>1778</v>
      </c>
      <c r="F1325" t="s">
        <v>1766</v>
      </c>
      <c r="G1325" t="s">
        <v>1436</v>
      </c>
      <c r="H1325" t="s">
        <v>458</v>
      </c>
      <c r="I1325" t="s">
        <v>374</v>
      </c>
      <c r="J1325" t="s">
        <v>956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1436</v>
      </c>
      <c r="B1326" t="s">
        <v>1764</v>
      </c>
      <c r="C1326" t="s">
        <v>609</v>
      </c>
      <c r="D1326" t="s">
        <v>523</v>
      </c>
      <c r="E1326" t="s">
        <v>1779</v>
      </c>
      <c r="F1326" t="s">
        <v>1766</v>
      </c>
      <c r="G1326" t="s">
        <v>1436</v>
      </c>
      <c r="H1326" t="s">
        <v>458</v>
      </c>
      <c r="I1326" t="s">
        <v>374</v>
      </c>
      <c r="J1326" t="s">
        <v>956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1436</v>
      </c>
      <c r="B1327" t="s">
        <v>1764</v>
      </c>
      <c r="C1327" t="s">
        <v>609</v>
      </c>
      <c r="D1327" t="s">
        <v>523</v>
      </c>
      <c r="E1327" t="s">
        <v>1780</v>
      </c>
      <c r="F1327" t="s">
        <v>1766</v>
      </c>
      <c r="G1327" t="s">
        <v>1436</v>
      </c>
      <c r="H1327" t="s">
        <v>458</v>
      </c>
      <c r="I1327" t="s">
        <v>374</v>
      </c>
      <c r="J1327" t="s">
        <v>956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1436</v>
      </c>
      <c r="B1328" t="s">
        <v>1764</v>
      </c>
      <c r="C1328" t="s">
        <v>609</v>
      </c>
      <c r="D1328" t="s">
        <v>523</v>
      </c>
      <c r="E1328" t="s">
        <v>1781</v>
      </c>
      <c r="F1328" t="s">
        <v>1766</v>
      </c>
      <c r="G1328" t="s">
        <v>1436</v>
      </c>
      <c r="H1328" t="s">
        <v>458</v>
      </c>
      <c r="I1328" t="s">
        <v>374</v>
      </c>
      <c r="J1328" t="s">
        <v>956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1436</v>
      </c>
      <c r="B1329" t="s">
        <v>1764</v>
      </c>
      <c r="C1329" t="s">
        <v>609</v>
      </c>
      <c r="D1329" t="s">
        <v>523</v>
      </c>
      <c r="E1329" t="s">
        <v>1782</v>
      </c>
      <c r="F1329" t="s">
        <v>1766</v>
      </c>
      <c r="G1329" t="s">
        <v>1436</v>
      </c>
      <c r="H1329" t="s">
        <v>458</v>
      </c>
      <c r="I1329" t="s">
        <v>374</v>
      </c>
      <c r="J1329" t="s">
        <v>956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1436</v>
      </c>
      <c r="B1330" t="s">
        <v>1764</v>
      </c>
      <c r="C1330" t="s">
        <v>609</v>
      </c>
      <c r="D1330" t="s">
        <v>523</v>
      </c>
      <c r="E1330" t="s">
        <v>1783</v>
      </c>
      <c r="F1330" t="s">
        <v>1766</v>
      </c>
      <c r="G1330" t="s">
        <v>1436</v>
      </c>
      <c r="H1330" t="s">
        <v>458</v>
      </c>
      <c r="I1330" t="s">
        <v>374</v>
      </c>
      <c r="J1330" t="s">
        <v>956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1436</v>
      </c>
      <c r="B1331" t="s">
        <v>1764</v>
      </c>
      <c r="C1331" t="s">
        <v>368</v>
      </c>
      <c r="D1331" t="s">
        <v>523</v>
      </c>
      <c r="E1331" t="s">
        <v>1784</v>
      </c>
      <c r="F1331" t="s">
        <v>1766</v>
      </c>
      <c r="G1331" t="s">
        <v>1436</v>
      </c>
      <c r="H1331" t="s">
        <v>458</v>
      </c>
      <c r="I1331" t="s">
        <v>374</v>
      </c>
      <c r="J1331" t="s">
        <v>956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1436</v>
      </c>
      <c r="B1332" t="s">
        <v>1764</v>
      </c>
      <c r="C1332" t="s">
        <v>368</v>
      </c>
      <c r="D1332" t="s">
        <v>523</v>
      </c>
      <c r="E1332" t="s">
        <v>1785</v>
      </c>
      <c r="F1332" t="s">
        <v>1766</v>
      </c>
      <c r="G1332" t="s">
        <v>1436</v>
      </c>
      <c r="H1332" t="s">
        <v>458</v>
      </c>
      <c r="I1332" t="s">
        <v>374</v>
      </c>
      <c r="J1332" t="s">
        <v>956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1436</v>
      </c>
      <c r="B1333" t="s">
        <v>1786</v>
      </c>
      <c r="C1333" t="s">
        <v>368</v>
      </c>
      <c r="D1333" t="s">
        <v>523</v>
      </c>
      <c r="E1333" t="s">
        <v>1787</v>
      </c>
      <c r="F1333" t="s">
        <v>1788</v>
      </c>
      <c r="G1333" t="s">
        <v>1436</v>
      </c>
      <c r="H1333" t="s">
        <v>458</v>
      </c>
      <c r="I1333" t="s">
        <v>374</v>
      </c>
      <c r="J1333" t="s">
        <v>979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1436</v>
      </c>
      <c r="B1334" t="s">
        <v>1786</v>
      </c>
      <c r="C1334" t="s">
        <v>368</v>
      </c>
      <c r="D1334" t="s">
        <v>523</v>
      </c>
      <c r="E1334" t="s">
        <v>1789</v>
      </c>
      <c r="F1334" t="s">
        <v>1788</v>
      </c>
      <c r="G1334" t="s">
        <v>1436</v>
      </c>
      <c r="H1334" t="s">
        <v>458</v>
      </c>
      <c r="I1334" t="s">
        <v>374</v>
      </c>
      <c r="J1334" t="s">
        <v>979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1436</v>
      </c>
      <c r="B1335" t="s">
        <v>1786</v>
      </c>
      <c r="C1335" t="s">
        <v>368</v>
      </c>
      <c r="D1335" t="s">
        <v>523</v>
      </c>
      <c r="E1335" t="s">
        <v>1790</v>
      </c>
      <c r="F1335" t="s">
        <v>1788</v>
      </c>
      <c r="G1335" t="s">
        <v>1436</v>
      </c>
      <c r="H1335" t="s">
        <v>458</v>
      </c>
      <c r="I1335" t="s">
        <v>374</v>
      </c>
      <c r="J1335" t="s">
        <v>979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1436</v>
      </c>
      <c r="B1336" t="s">
        <v>1786</v>
      </c>
      <c r="C1336" t="s">
        <v>368</v>
      </c>
      <c r="D1336" t="s">
        <v>523</v>
      </c>
      <c r="E1336" t="s">
        <v>1791</v>
      </c>
      <c r="F1336" t="s">
        <v>1788</v>
      </c>
      <c r="G1336" t="s">
        <v>1436</v>
      </c>
      <c r="H1336" t="s">
        <v>458</v>
      </c>
      <c r="I1336" t="s">
        <v>374</v>
      </c>
      <c r="J1336" t="s">
        <v>979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1436</v>
      </c>
      <c r="B1337" t="s">
        <v>1786</v>
      </c>
      <c r="C1337" t="s">
        <v>368</v>
      </c>
      <c r="D1337" t="s">
        <v>523</v>
      </c>
      <c r="E1337" t="s">
        <v>1792</v>
      </c>
      <c r="F1337" t="s">
        <v>1788</v>
      </c>
      <c r="G1337" t="s">
        <v>1436</v>
      </c>
      <c r="H1337" t="s">
        <v>458</v>
      </c>
      <c r="I1337" t="s">
        <v>374</v>
      </c>
      <c r="J1337" t="s">
        <v>979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1436</v>
      </c>
      <c r="B1338" t="s">
        <v>1786</v>
      </c>
      <c r="C1338" t="s">
        <v>368</v>
      </c>
      <c r="D1338" t="s">
        <v>523</v>
      </c>
      <c r="E1338" t="s">
        <v>1793</v>
      </c>
      <c r="F1338" t="s">
        <v>1788</v>
      </c>
      <c r="G1338" t="s">
        <v>1436</v>
      </c>
      <c r="H1338" t="s">
        <v>458</v>
      </c>
      <c r="I1338" t="s">
        <v>374</v>
      </c>
      <c r="J1338" t="s">
        <v>979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1436</v>
      </c>
      <c r="B1339" t="s">
        <v>1786</v>
      </c>
      <c r="C1339" t="s">
        <v>368</v>
      </c>
      <c r="D1339" t="s">
        <v>523</v>
      </c>
      <c r="E1339" t="s">
        <v>1794</v>
      </c>
      <c r="F1339" t="s">
        <v>1788</v>
      </c>
      <c r="G1339" t="s">
        <v>1436</v>
      </c>
      <c r="H1339" t="s">
        <v>458</v>
      </c>
      <c r="I1339" t="s">
        <v>374</v>
      </c>
      <c r="J1339" t="s">
        <v>979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1436</v>
      </c>
      <c r="B1340" t="s">
        <v>1786</v>
      </c>
      <c r="C1340" t="s">
        <v>368</v>
      </c>
      <c r="D1340" t="s">
        <v>523</v>
      </c>
      <c r="E1340" t="s">
        <v>1795</v>
      </c>
      <c r="F1340" t="s">
        <v>1788</v>
      </c>
      <c r="G1340" t="s">
        <v>1436</v>
      </c>
      <c r="H1340" t="s">
        <v>458</v>
      </c>
      <c r="I1340" t="s">
        <v>374</v>
      </c>
      <c r="J1340" t="s">
        <v>979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1436</v>
      </c>
      <c r="B1341" t="s">
        <v>1786</v>
      </c>
      <c r="C1341" t="s">
        <v>368</v>
      </c>
      <c r="D1341" t="s">
        <v>523</v>
      </c>
      <c r="E1341" t="s">
        <v>1796</v>
      </c>
      <c r="F1341" t="s">
        <v>1788</v>
      </c>
      <c r="G1341" t="s">
        <v>1436</v>
      </c>
      <c r="H1341" t="s">
        <v>458</v>
      </c>
      <c r="I1341" t="s">
        <v>374</v>
      </c>
      <c r="J1341" t="s">
        <v>979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1436</v>
      </c>
      <c r="B1342" t="s">
        <v>1786</v>
      </c>
      <c r="C1342" t="s">
        <v>368</v>
      </c>
      <c r="D1342" t="s">
        <v>523</v>
      </c>
      <c r="E1342" t="s">
        <v>1797</v>
      </c>
      <c r="F1342" t="s">
        <v>1788</v>
      </c>
      <c r="G1342" t="s">
        <v>1436</v>
      </c>
      <c r="H1342" t="s">
        <v>458</v>
      </c>
      <c r="I1342" t="s">
        <v>374</v>
      </c>
      <c r="J1342" t="s">
        <v>979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1436</v>
      </c>
      <c r="B1343" t="s">
        <v>1786</v>
      </c>
      <c r="C1343" t="s">
        <v>368</v>
      </c>
      <c r="D1343" t="s">
        <v>523</v>
      </c>
      <c r="E1343" t="s">
        <v>1798</v>
      </c>
      <c r="F1343" t="s">
        <v>1788</v>
      </c>
      <c r="G1343" t="s">
        <v>1436</v>
      </c>
      <c r="H1343" t="s">
        <v>458</v>
      </c>
      <c r="I1343" t="s">
        <v>374</v>
      </c>
      <c r="J1343" t="s">
        <v>979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1436</v>
      </c>
      <c r="B1344" t="s">
        <v>1786</v>
      </c>
      <c r="C1344" t="s">
        <v>368</v>
      </c>
      <c r="D1344" t="s">
        <v>523</v>
      </c>
      <c r="E1344" t="s">
        <v>1799</v>
      </c>
      <c r="F1344" t="s">
        <v>1788</v>
      </c>
      <c r="G1344" t="s">
        <v>1436</v>
      </c>
      <c r="H1344" t="s">
        <v>458</v>
      </c>
      <c r="I1344" t="s">
        <v>374</v>
      </c>
      <c r="J1344" t="s">
        <v>979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1436</v>
      </c>
      <c r="B1345" t="s">
        <v>1786</v>
      </c>
      <c r="C1345" t="s">
        <v>368</v>
      </c>
      <c r="D1345" t="s">
        <v>523</v>
      </c>
      <c r="E1345" t="s">
        <v>1800</v>
      </c>
      <c r="F1345" t="s">
        <v>1788</v>
      </c>
      <c r="G1345" t="s">
        <v>1436</v>
      </c>
      <c r="H1345" t="s">
        <v>458</v>
      </c>
      <c r="I1345" t="s">
        <v>374</v>
      </c>
      <c r="J1345" t="s">
        <v>979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1436</v>
      </c>
      <c r="B1346" t="s">
        <v>1786</v>
      </c>
      <c r="C1346" t="s">
        <v>609</v>
      </c>
      <c r="D1346" t="s">
        <v>523</v>
      </c>
      <c r="E1346" t="s">
        <v>1801</v>
      </c>
      <c r="F1346" t="s">
        <v>1788</v>
      </c>
      <c r="G1346" t="s">
        <v>1436</v>
      </c>
      <c r="H1346" t="s">
        <v>458</v>
      </c>
      <c r="I1346" t="s">
        <v>374</v>
      </c>
      <c r="J1346" t="s">
        <v>979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1436</v>
      </c>
      <c r="B1347" t="s">
        <v>1786</v>
      </c>
      <c r="C1347" t="s">
        <v>609</v>
      </c>
      <c r="D1347" t="s">
        <v>523</v>
      </c>
      <c r="E1347" t="s">
        <v>1802</v>
      </c>
      <c r="F1347" t="s">
        <v>1788</v>
      </c>
      <c r="G1347" t="s">
        <v>1436</v>
      </c>
      <c r="H1347" t="s">
        <v>458</v>
      </c>
      <c r="I1347" t="s">
        <v>374</v>
      </c>
      <c r="J1347" t="s">
        <v>979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1436</v>
      </c>
      <c r="B1348" t="s">
        <v>1786</v>
      </c>
      <c r="C1348" t="s">
        <v>609</v>
      </c>
      <c r="D1348" t="s">
        <v>523</v>
      </c>
      <c r="E1348" t="s">
        <v>1803</v>
      </c>
      <c r="F1348" t="s">
        <v>1788</v>
      </c>
      <c r="G1348" t="s">
        <v>1436</v>
      </c>
      <c r="H1348" t="s">
        <v>458</v>
      </c>
      <c r="I1348" t="s">
        <v>374</v>
      </c>
      <c r="J1348" t="s">
        <v>979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1436</v>
      </c>
      <c r="B1349" t="s">
        <v>1786</v>
      </c>
      <c r="C1349" t="s">
        <v>609</v>
      </c>
      <c r="D1349" t="s">
        <v>523</v>
      </c>
      <c r="E1349" t="s">
        <v>1804</v>
      </c>
      <c r="F1349" t="s">
        <v>1788</v>
      </c>
      <c r="G1349" t="s">
        <v>1436</v>
      </c>
      <c r="H1349" t="s">
        <v>458</v>
      </c>
      <c r="I1349" t="s">
        <v>374</v>
      </c>
      <c r="J1349" t="s">
        <v>979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1436</v>
      </c>
      <c r="B1350" t="s">
        <v>1786</v>
      </c>
      <c r="C1350" t="s">
        <v>609</v>
      </c>
      <c r="D1350" t="s">
        <v>523</v>
      </c>
      <c r="E1350" t="s">
        <v>1805</v>
      </c>
      <c r="F1350" t="s">
        <v>1788</v>
      </c>
      <c r="G1350" t="s">
        <v>1436</v>
      </c>
      <c r="H1350" t="s">
        <v>458</v>
      </c>
      <c r="I1350" t="s">
        <v>374</v>
      </c>
      <c r="J1350" t="s">
        <v>979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1436</v>
      </c>
      <c r="B1351" t="s">
        <v>1786</v>
      </c>
      <c r="C1351" t="s">
        <v>368</v>
      </c>
      <c r="D1351" t="s">
        <v>523</v>
      </c>
      <c r="E1351" t="s">
        <v>1806</v>
      </c>
      <c r="F1351" t="s">
        <v>1788</v>
      </c>
      <c r="G1351" t="s">
        <v>1436</v>
      </c>
      <c r="H1351" t="s">
        <v>458</v>
      </c>
      <c r="I1351" t="s">
        <v>374</v>
      </c>
      <c r="J1351" t="s">
        <v>979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1436</v>
      </c>
      <c r="B1352" t="s">
        <v>1786</v>
      </c>
      <c r="C1352" t="s">
        <v>368</v>
      </c>
      <c r="D1352" t="s">
        <v>523</v>
      </c>
      <c r="E1352" t="s">
        <v>1807</v>
      </c>
      <c r="F1352" t="s">
        <v>1788</v>
      </c>
      <c r="G1352" t="s">
        <v>1436</v>
      </c>
      <c r="H1352" t="s">
        <v>458</v>
      </c>
      <c r="I1352" t="s">
        <v>374</v>
      </c>
      <c r="J1352" t="s">
        <v>979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1436</v>
      </c>
      <c r="B1353" t="s">
        <v>1808</v>
      </c>
      <c r="C1353" t="s">
        <v>368</v>
      </c>
      <c r="D1353" t="s">
        <v>523</v>
      </c>
      <c r="E1353" t="s">
        <v>1809</v>
      </c>
      <c r="F1353" t="s">
        <v>1810</v>
      </c>
      <c r="G1353" t="s">
        <v>1436</v>
      </c>
      <c r="H1353" t="s">
        <v>458</v>
      </c>
      <c r="I1353" t="s">
        <v>374</v>
      </c>
      <c r="J1353" t="s">
        <v>1811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1436</v>
      </c>
      <c r="B1354" t="s">
        <v>1812</v>
      </c>
      <c r="C1354" t="s">
        <v>368</v>
      </c>
      <c r="D1354" t="s">
        <v>523</v>
      </c>
      <c r="E1354" t="s">
        <v>1813</v>
      </c>
      <c r="F1354" t="s">
        <v>1814</v>
      </c>
      <c r="G1354" t="s">
        <v>1436</v>
      </c>
      <c r="H1354" t="s">
        <v>458</v>
      </c>
      <c r="I1354" t="s">
        <v>374</v>
      </c>
      <c r="J1354" t="s">
        <v>1022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1436</v>
      </c>
      <c r="B1355" t="s">
        <v>1812</v>
      </c>
      <c r="C1355" t="s">
        <v>368</v>
      </c>
      <c r="D1355" t="s">
        <v>523</v>
      </c>
      <c r="E1355" t="s">
        <v>1815</v>
      </c>
      <c r="F1355" t="s">
        <v>1814</v>
      </c>
      <c r="G1355" t="s">
        <v>1436</v>
      </c>
      <c r="H1355" t="s">
        <v>458</v>
      </c>
      <c r="I1355" t="s">
        <v>374</v>
      </c>
      <c r="J1355" t="s">
        <v>1022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1436</v>
      </c>
      <c r="B1356" t="s">
        <v>1812</v>
      </c>
      <c r="C1356" t="s">
        <v>368</v>
      </c>
      <c r="D1356" t="s">
        <v>523</v>
      </c>
      <c r="E1356" t="s">
        <v>1816</v>
      </c>
      <c r="F1356" t="s">
        <v>1814</v>
      </c>
      <c r="G1356" t="s">
        <v>1436</v>
      </c>
      <c r="H1356" t="s">
        <v>458</v>
      </c>
      <c r="I1356" t="s">
        <v>374</v>
      </c>
      <c r="J1356" t="s">
        <v>1022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1436</v>
      </c>
      <c r="B1357" t="s">
        <v>1812</v>
      </c>
      <c r="C1357" t="s">
        <v>368</v>
      </c>
      <c r="D1357" t="s">
        <v>523</v>
      </c>
      <c r="E1357" t="s">
        <v>1817</v>
      </c>
      <c r="F1357" t="s">
        <v>1814</v>
      </c>
      <c r="G1357" t="s">
        <v>1436</v>
      </c>
      <c r="H1357" t="s">
        <v>458</v>
      </c>
      <c r="I1357" t="s">
        <v>374</v>
      </c>
      <c r="J1357" t="s">
        <v>1022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1436</v>
      </c>
      <c r="B1358" t="s">
        <v>1812</v>
      </c>
      <c r="C1358" t="s">
        <v>368</v>
      </c>
      <c r="D1358" t="s">
        <v>523</v>
      </c>
      <c r="E1358" t="s">
        <v>1818</v>
      </c>
      <c r="F1358" t="s">
        <v>1814</v>
      </c>
      <c r="G1358" t="s">
        <v>1436</v>
      </c>
      <c r="H1358" t="s">
        <v>458</v>
      </c>
      <c r="I1358" t="s">
        <v>374</v>
      </c>
      <c r="J1358" t="s">
        <v>1022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1436</v>
      </c>
      <c r="B1359" t="s">
        <v>1812</v>
      </c>
      <c r="C1359" t="s">
        <v>368</v>
      </c>
      <c r="D1359" t="s">
        <v>523</v>
      </c>
      <c r="E1359" t="s">
        <v>1819</v>
      </c>
      <c r="F1359" t="s">
        <v>1814</v>
      </c>
      <c r="G1359" t="s">
        <v>1436</v>
      </c>
      <c r="H1359" t="s">
        <v>458</v>
      </c>
      <c r="I1359" t="s">
        <v>374</v>
      </c>
      <c r="J1359" t="s">
        <v>1022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1436</v>
      </c>
      <c r="B1360" t="s">
        <v>1812</v>
      </c>
      <c r="C1360" t="s">
        <v>368</v>
      </c>
      <c r="D1360" t="s">
        <v>523</v>
      </c>
      <c r="E1360" t="s">
        <v>346</v>
      </c>
      <c r="F1360" t="s">
        <v>1814</v>
      </c>
      <c r="G1360" t="s">
        <v>1436</v>
      </c>
      <c r="H1360" t="s">
        <v>458</v>
      </c>
      <c r="I1360" t="s">
        <v>374</v>
      </c>
      <c r="J1360" t="s">
        <v>1022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1436</v>
      </c>
      <c r="B1361" t="s">
        <v>1812</v>
      </c>
      <c r="C1361" t="s">
        <v>368</v>
      </c>
      <c r="D1361" t="s">
        <v>523</v>
      </c>
      <c r="E1361" t="s">
        <v>1820</v>
      </c>
      <c r="F1361" t="s">
        <v>1814</v>
      </c>
      <c r="G1361" t="s">
        <v>1436</v>
      </c>
      <c r="H1361" t="s">
        <v>458</v>
      </c>
      <c r="I1361" t="s">
        <v>374</v>
      </c>
      <c r="J1361" t="s">
        <v>1022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1436</v>
      </c>
      <c r="B1362" t="s">
        <v>1812</v>
      </c>
      <c r="C1362" t="s">
        <v>368</v>
      </c>
      <c r="D1362" t="s">
        <v>523</v>
      </c>
      <c r="E1362" t="s">
        <v>1821</v>
      </c>
      <c r="F1362" t="s">
        <v>1814</v>
      </c>
      <c r="G1362" t="s">
        <v>1436</v>
      </c>
      <c r="H1362" t="s">
        <v>458</v>
      </c>
      <c r="I1362" t="s">
        <v>374</v>
      </c>
      <c r="J1362" t="s">
        <v>1022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1436</v>
      </c>
      <c r="B1363" t="s">
        <v>1812</v>
      </c>
      <c r="C1363" t="s">
        <v>368</v>
      </c>
      <c r="D1363" t="s">
        <v>523</v>
      </c>
      <c r="E1363" t="s">
        <v>1822</v>
      </c>
      <c r="F1363" t="s">
        <v>1814</v>
      </c>
      <c r="G1363" t="s">
        <v>1436</v>
      </c>
      <c r="H1363" t="s">
        <v>458</v>
      </c>
      <c r="I1363" t="s">
        <v>374</v>
      </c>
      <c r="J1363" t="s">
        <v>1022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1436</v>
      </c>
      <c r="B1364" t="s">
        <v>1812</v>
      </c>
      <c r="C1364" t="s">
        <v>368</v>
      </c>
      <c r="D1364" t="s">
        <v>523</v>
      </c>
      <c r="E1364" t="s">
        <v>1823</v>
      </c>
      <c r="F1364" t="s">
        <v>1814</v>
      </c>
      <c r="G1364" t="s">
        <v>1436</v>
      </c>
      <c r="H1364" t="s">
        <v>458</v>
      </c>
      <c r="I1364" t="s">
        <v>374</v>
      </c>
      <c r="J1364" t="s">
        <v>1022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1436</v>
      </c>
      <c r="B1365" t="s">
        <v>1812</v>
      </c>
      <c r="C1365" t="s">
        <v>368</v>
      </c>
      <c r="D1365" t="s">
        <v>523</v>
      </c>
      <c r="E1365" t="s">
        <v>1824</v>
      </c>
      <c r="F1365" t="s">
        <v>1814</v>
      </c>
      <c r="G1365" t="s">
        <v>1436</v>
      </c>
      <c r="H1365" t="s">
        <v>458</v>
      </c>
      <c r="I1365" t="s">
        <v>374</v>
      </c>
      <c r="J1365" t="s">
        <v>1022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1436</v>
      </c>
      <c r="B1366" t="s">
        <v>1812</v>
      </c>
      <c r="C1366" t="s">
        <v>368</v>
      </c>
      <c r="D1366" t="s">
        <v>523</v>
      </c>
      <c r="E1366" t="s">
        <v>1825</v>
      </c>
      <c r="F1366" t="s">
        <v>1814</v>
      </c>
      <c r="G1366" t="s">
        <v>1436</v>
      </c>
      <c r="H1366" t="s">
        <v>458</v>
      </c>
      <c r="I1366" t="s">
        <v>374</v>
      </c>
      <c r="J1366" t="s">
        <v>1022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1436</v>
      </c>
      <c r="B1367" t="s">
        <v>1812</v>
      </c>
      <c r="C1367" t="s">
        <v>609</v>
      </c>
      <c r="D1367" t="s">
        <v>523</v>
      </c>
      <c r="E1367" t="s">
        <v>1826</v>
      </c>
      <c r="F1367" t="s">
        <v>1814</v>
      </c>
      <c r="G1367" t="s">
        <v>1436</v>
      </c>
      <c r="H1367" t="s">
        <v>458</v>
      </c>
      <c r="I1367" t="s">
        <v>374</v>
      </c>
      <c r="J1367" t="s">
        <v>1022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1436</v>
      </c>
      <c r="B1368" t="s">
        <v>1812</v>
      </c>
      <c r="C1368" t="s">
        <v>609</v>
      </c>
      <c r="D1368" t="s">
        <v>523</v>
      </c>
      <c r="E1368" t="s">
        <v>1827</v>
      </c>
      <c r="F1368" t="s">
        <v>1814</v>
      </c>
      <c r="G1368" t="s">
        <v>1436</v>
      </c>
      <c r="H1368" t="s">
        <v>458</v>
      </c>
      <c r="I1368" t="s">
        <v>374</v>
      </c>
      <c r="J1368" t="s">
        <v>1022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1436</v>
      </c>
      <c r="B1369" t="s">
        <v>1812</v>
      </c>
      <c r="C1369" t="s">
        <v>609</v>
      </c>
      <c r="D1369" t="s">
        <v>523</v>
      </c>
      <c r="E1369" t="s">
        <v>1828</v>
      </c>
      <c r="F1369" t="s">
        <v>1814</v>
      </c>
      <c r="G1369" t="s">
        <v>1436</v>
      </c>
      <c r="H1369" t="s">
        <v>458</v>
      </c>
      <c r="I1369" t="s">
        <v>374</v>
      </c>
      <c r="J1369" t="s">
        <v>1022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1436</v>
      </c>
      <c r="B1370" t="s">
        <v>1812</v>
      </c>
      <c r="C1370" t="s">
        <v>609</v>
      </c>
      <c r="D1370" t="s">
        <v>523</v>
      </c>
      <c r="E1370" t="s">
        <v>1829</v>
      </c>
      <c r="F1370" t="s">
        <v>1814</v>
      </c>
      <c r="G1370" t="s">
        <v>1436</v>
      </c>
      <c r="H1370" t="s">
        <v>458</v>
      </c>
      <c r="I1370" t="s">
        <v>374</v>
      </c>
      <c r="J1370" t="s">
        <v>1022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1436</v>
      </c>
      <c r="B1371" t="s">
        <v>1812</v>
      </c>
      <c r="C1371" t="s">
        <v>609</v>
      </c>
      <c r="D1371" t="s">
        <v>523</v>
      </c>
      <c r="E1371" t="s">
        <v>1830</v>
      </c>
      <c r="F1371" t="s">
        <v>1814</v>
      </c>
      <c r="G1371" t="s">
        <v>1436</v>
      </c>
      <c r="H1371" t="s">
        <v>458</v>
      </c>
      <c r="I1371" t="s">
        <v>374</v>
      </c>
      <c r="J1371" t="s">
        <v>1022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1436</v>
      </c>
      <c r="B1372" t="s">
        <v>1812</v>
      </c>
      <c r="C1372" t="s">
        <v>368</v>
      </c>
      <c r="D1372" t="s">
        <v>523</v>
      </c>
      <c r="E1372" t="s">
        <v>1831</v>
      </c>
      <c r="F1372" t="s">
        <v>1814</v>
      </c>
      <c r="G1372" t="s">
        <v>1436</v>
      </c>
      <c r="H1372" t="s">
        <v>458</v>
      </c>
      <c r="I1372" t="s">
        <v>374</v>
      </c>
      <c r="J1372" t="s">
        <v>1022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1436</v>
      </c>
      <c r="B1373" t="s">
        <v>1812</v>
      </c>
      <c r="C1373" t="s">
        <v>368</v>
      </c>
      <c r="D1373" t="s">
        <v>523</v>
      </c>
      <c r="E1373" t="s">
        <v>1832</v>
      </c>
      <c r="F1373" t="s">
        <v>1814</v>
      </c>
      <c r="G1373" t="s">
        <v>1436</v>
      </c>
      <c r="H1373" t="s">
        <v>458</v>
      </c>
      <c r="I1373" t="s">
        <v>374</v>
      </c>
      <c r="J1373" t="s">
        <v>1022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1436</v>
      </c>
      <c r="B1374" t="s">
        <v>1833</v>
      </c>
      <c r="C1374" t="s">
        <v>368</v>
      </c>
      <c r="D1374" t="s">
        <v>523</v>
      </c>
      <c r="E1374" t="s">
        <v>1834</v>
      </c>
      <c r="F1374" t="s">
        <v>1835</v>
      </c>
      <c r="G1374" t="s">
        <v>1436</v>
      </c>
      <c r="H1374" t="s">
        <v>458</v>
      </c>
      <c r="I1374" t="s">
        <v>374</v>
      </c>
      <c r="J1374" t="s">
        <v>1045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1436</v>
      </c>
      <c r="B1375" t="s">
        <v>1833</v>
      </c>
      <c r="C1375" t="s">
        <v>368</v>
      </c>
      <c r="D1375" t="s">
        <v>523</v>
      </c>
      <c r="E1375" t="s">
        <v>1836</v>
      </c>
      <c r="F1375" t="s">
        <v>1835</v>
      </c>
      <c r="G1375" t="s">
        <v>1436</v>
      </c>
      <c r="H1375" t="s">
        <v>458</v>
      </c>
      <c r="I1375" t="s">
        <v>374</v>
      </c>
      <c r="J1375" t="s">
        <v>1045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1436</v>
      </c>
      <c r="B1376" t="s">
        <v>1833</v>
      </c>
      <c r="C1376" t="s">
        <v>368</v>
      </c>
      <c r="D1376" t="s">
        <v>523</v>
      </c>
      <c r="E1376" t="s">
        <v>1837</v>
      </c>
      <c r="F1376" t="s">
        <v>1835</v>
      </c>
      <c r="G1376" t="s">
        <v>1436</v>
      </c>
      <c r="H1376" t="s">
        <v>458</v>
      </c>
      <c r="I1376" t="s">
        <v>374</v>
      </c>
      <c r="J1376" t="s">
        <v>1045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1436</v>
      </c>
      <c r="B1377" t="s">
        <v>1833</v>
      </c>
      <c r="C1377" t="s">
        <v>368</v>
      </c>
      <c r="D1377" t="s">
        <v>523</v>
      </c>
      <c r="E1377" t="s">
        <v>1838</v>
      </c>
      <c r="F1377" t="s">
        <v>1835</v>
      </c>
      <c r="G1377" t="s">
        <v>1436</v>
      </c>
      <c r="H1377" t="s">
        <v>458</v>
      </c>
      <c r="I1377" t="s">
        <v>374</v>
      </c>
      <c r="J1377" t="s">
        <v>1045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1436</v>
      </c>
      <c r="B1378" t="s">
        <v>1833</v>
      </c>
      <c r="C1378" t="s">
        <v>368</v>
      </c>
      <c r="D1378" t="s">
        <v>523</v>
      </c>
      <c r="E1378" t="s">
        <v>171</v>
      </c>
      <c r="F1378" t="s">
        <v>1835</v>
      </c>
      <c r="G1378" t="s">
        <v>1436</v>
      </c>
      <c r="H1378" t="s">
        <v>458</v>
      </c>
      <c r="I1378" t="s">
        <v>374</v>
      </c>
      <c r="J1378" t="s">
        <v>1045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1436</v>
      </c>
      <c r="B1379" t="s">
        <v>1833</v>
      </c>
      <c r="C1379" t="s">
        <v>368</v>
      </c>
      <c r="D1379" t="s">
        <v>523</v>
      </c>
      <c r="E1379" t="s">
        <v>1839</v>
      </c>
      <c r="F1379" t="s">
        <v>1835</v>
      </c>
      <c r="G1379" t="s">
        <v>1436</v>
      </c>
      <c r="H1379" t="s">
        <v>458</v>
      </c>
      <c r="I1379" t="s">
        <v>374</v>
      </c>
      <c r="J1379" t="s">
        <v>1045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1436</v>
      </c>
      <c r="B1380" t="s">
        <v>1833</v>
      </c>
      <c r="C1380" t="s">
        <v>368</v>
      </c>
      <c r="D1380" t="s">
        <v>523</v>
      </c>
      <c r="E1380" t="s">
        <v>1840</v>
      </c>
      <c r="F1380" t="s">
        <v>1835</v>
      </c>
      <c r="G1380" t="s">
        <v>1436</v>
      </c>
      <c r="H1380" t="s">
        <v>458</v>
      </c>
      <c r="I1380" t="s">
        <v>374</v>
      </c>
      <c r="J1380" t="s">
        <v>1045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1436</v>
      </c>
      <c r="B1381" t="s">
        <v>1833</v>
      </c>
      <c r="C1381" t="s">
        <v>368</v>
      </c>
      <c r="D1381" t="s">
        <v>523</v>
      </c>
      <c r="E1381" t="s">
        <v>1841</v>
      </c>
      <c r="F1381" t="s">
        <v>1835</v>
      </c>
      <c r="G1381" t="s">
        <v>1436</v>
      </c>
      <c r="H1381" t="s">
        <v>458</v>
      </c>
      <c r="I1381" t="s">
        <v>374</v>
      </c>
      <c r="J1381" t="s">
        <v>1045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1436</v>
      </c>
      <c r="B1382" t="s">
        <v>1833</v>
      </c>
      <c r="C1382" t="s">
        <v>368</v>
      </c>
      <c r="D1382" t="s">
        <v>523</v>
      </c>
      <c r="E1382" t="s">
        <v>172</v>
      </c>
      <c r="F1382" t="s">
        <v>1835</v>
      </c>
      <c r="G1382" t="s">
        <v>1436</v>
      </c>
      <c r="H1382" t="s">
        <v>458</v>
      </c>
      <c r="I1382" t="s">
        <v>374</v>
      </c>
      <c r="J1382" t="s">
        <v>1045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1436</v>
      </c>
      <c r="B1383" t="s">
        <v>1833</v>
      </c>
      <c r="C1383" t="s">
        <v>368</v>
      </c>
      <c r="D1383" t="s">
        <v>523</v>
      </c>
      <c r="E1383" t="s">
        <v>1842</v>
      </c>
      <c r="F1383" t="s">
        <v>1835</v>
      </c>
      <c r="G1383" t="s">
        <v>1436</v>
      </c>
      <c r="H1383" t="s">
        <v>458</v>
      </c>
      <c r="I1383" t="s">
        <v>374</v>
      </c>
      <c r="J1383" t="s">
        <v>1045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1436</v>
      </c>
      <c r="B1384" t="s">
        <v>1833</v>
      </c>
      <c r="C1384" t="s">
        <v>368</v>
      </c>
      <c r="D1384" t="s">
        <v>523</v>
      </c>
      <c r="E1384" t="s">
        <v>1843</v>
      </c>
      <c r="F1384" t="s">
        <v>1835</v>
      </c>
      <c r="G1384" t="s">
        <v>1436</v>
      </c>
      <c r="H1384" t="s">
        <v>458</v>
      </c>
      <c r="I1384" t="s">
        <v>374</v>
      </c>
      <c r="J1384" t="s">
        <v>1045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1436</v>
      </c>
      <c r="B1385" t="s">
        <v>1833</v>
      </c>
      <c r="C1385" t="s">
        <v>368</v>
      </c>
      <c r="D1385" t="s">
        <v>523</v>
      </c>
      <c r="E1385" t="s">
        <v>1844</v>
      </c>
      <c r="F1385" t="s">
        <v>1835</v>
      </c>
      <c r="G1385" t="s">
        <v>1436</v>
      </c>
      <c r="H1385" t="s">
        <v>458</v>
      </c>
      <c r="I1385" t="s">
        <v>374</v>
      </c>
      <c r="J1385" t="s">
        <v>1045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1436</v>
      </c>
      <c r="B1386" t="s">
        <v>1833</v>
      </c>
      <c r="C1386" t="s">
        <v>368</v>
      </c>
      <c r="D1386" t="s">
        <v>523</v>
      </c>
      <c r="E1386" t="s">
        <v>1845</v>
      </c>
      <c r="F1386" t="s">
        <v>1835</v>
      </c>
      <c r="G1386" t="s">
        <v>1436</v>
      </c>
      <c r="H1386" t="s">
        <v>458</v>
      </c>
      <c r="I1386" t="s">
        <v>374</v>
      </c>
      <c r="J1386" t="s">
        <v>1045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1436</v>
      </c>
      <c r="B1387" t="s">
        <v>1833</v>
      </c>
      <c r="C1387" t="s">
        <v>609</v>
      </c>
      <c r="D1387" t="s">
        <v>523</v>
      </c>
      <c r="E1387" t="s">
        <v>1846</v>
      </c>
      <c r="F1387" t="s">
        <v>1835</v>
      </c>
      <c r="G1387" t="s">
        <v>1436</v>
      </c>
      <c r="H1387" t="s">
        <v>458</v>
      </c>
      <c r="I1387" t="s">
        <v>374</v>
      </c>
      <c r="J1387" t="s">
        <v>1045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1436</v>
      </c>
      <c r="B1388" t="s">
        <v>1833</v>
      </c>
      <c r="C1388" t="s">
        <v>609</v>
      </c>
      <c r="D1388" t="s">
        <v>523</v>
      </c>
      <c r="E1388" t="s">
        <v>1847</v>
      </c>
      <c r="F1388" t="s">
        <v>1835</v>
      </c>
      <c r="G1388" t="s">
        <v>1436</v>
      </c>
      <c r="H1388" t="s">
        <v>458</v>
      </c>
      <c r="I1388" t="s">
        <v>374</v>
      </c>
      <c r="J1388" t="s">
        <v>1045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1436</v>
      </c>
      <c r="B1389" t="s">
        <v>1833</v>
      </c>
      <c r="C1389" t="s">
        <v>609</v>
      </c>
      <c r="D1389" t="s">
        <v>523</v>
      </c>
      <c r="E1389" t="s">
        <v>1848</v>
      </c>
      <c r="F1389" t="s">
        <v>1835</v>
      </c>
      <c r="G1389" t="s">
        <v>1436</v>
      </c>
      <c r="H1389" t="s">
        <v>458</v>
      </c>
      <c r="I1389" t="s">
        <v>374</v>
      </c>
      <c r="J1389" t="s">
        <v>1045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1436</v>
      </c>
      <c r="B1390" t="s">
        <v>1833</v>
      </c>
      <c r="C1390" t="s">
        <v>609</v>
      </c>
      <c r="D1390" t="s">
        <v>523</v>
      </c>
      <c r="E1390" t="s">
        <v>1849</v>
      </c>
      <c r="F1390" t="s">
        <v>1835</v>
      </c>
      <c r="G1390" t="s">
        <v>1436</v>
      </c>
      <c r="H1390" t="s">
        <v>458</v>
      </c>
      <c r="I1390" t="s">
        <v>374</v>
      </c>
      <c r="J1390" t="s">
        <v>1045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1436</v>
      </c>
      <c r="B1391" t="s">
        <v>1833</v>
      </c>
      <c r="C1391" t="s">
        <v>609</v>
      </c>
      <c r="D1391" t="s">
        <v>523</v>
      </c>
      <c r="E1391" t="s">
        <v>1850</v>
      </c>
      <c r="F1391" t="s">
        <v>1835</v>
      </c>
      <c r="G1391" t="s">
        <v>1436</v>
      </c>
      <c r="H1391" t="s">
        <v>458</v>
      </c>
      <c r="I1391" t="s">
        <v>374</v>
      </c>
      <c r="J1391" t="s">
        <v>1045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1436</v>
      </c>
      <c r="B1392" t="s">
        <v>1833</v>
      </c>
      <c r="C1392" t="s">
        <v>368</v>
      </c>
      <c r="D1392" t="s">
        <v>523</v>
      </c>
      <c r="E1392" t="s">
        <v>1851</v>
      </c>
      <c r="F1392" t="s">
        <v>1835</v>
      </c>
      <c r="G1392" t="s">
        <v>1436</v>
      </c>
      <c r="H1392" t="s">
        <v>458</v>
      </c>
      <c r="I1392" t="s">
        <v>374</v>
      </c>
      <c r="J1392" t="s">
        <v>1045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1436</v>
      </c>
      <c r="B1393" t="s">
        <v>1833</v>
      </c>
      <c r="C1393" t="s">
        <v>368</v>
      </c>
      <c r="D1393" t="s">
        <v>523</v>
      </c>
      <c r="E1393" t="s">
        <v>1852</v>
      </c>
      <c r="F1393" t="s">
        <v>1835</v>
      </c>
      <c r="G1393" t="s">
        <v>1436</v>
      </c>
      <c r="H1393" t="s">
        <v>458</v>
      </c>
      <c r="I1393" t="s">
        <v>374</v>
      </c>
      <c r="J1393" t="s">
        <v>1045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1436</v>
      </c>
      <c r="B1394" t="s">
        <v>1853</v>
      </c>
      <c r="C1394" t="s">
        <v>368</v>
      </c>
      <c r="D1394" t="s">
        <v>523</v>
      </c>
      <c r="E1394" t="s">
        <v>1854</v>
      </c>
      <c r="F1394" t="s">
        <v>1855</v>
      </c>
      <c r="G1394" t="s">
        <v>1436</v>
      </c>
      <c r="H1394" t="s">
        <v>458</v>
      </c>
      <c r="I1394" t="s">
        <v>374</v>
      </c>
      <c r="J1394" t="s">
        <v>1856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1436</v>
      </c>
      <c r="B1395" t="s">
        <v>1853</v>
      </c>
      <c r="C1395" t="s">
        <v>368</v>
      </c>
      <c r="D1395" t="s">
        <v>523</v>
      </c>
      <c r="E1395" t="s">
        <v>1857</v>
      </c>
      <c r="F1395" t="s">
        <v>1855</v>
      </c>
      <c r="G1395" t="s">
        <v>1436</v>
      </c>
      <c r="H1395" t="s">
        <v>458</v>
      </c>
      <c r="I1395" t="s">
        <v>374</v>
      </c>
      <c r="J1395" t="s">
        <v>1856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1436</v>
      </c>
      <c r="B1396" t="s">
        <v>1853</v>
      </c>
      <c r="C1396" t="s">
        <v>368</v>
      </c>
      <c r="D1396" t="s">
        <v>523</v>
      </c>
      <c r="E1396" t="s">
        <v>1858</v>
      </c>
      <c r="F1396" t="s">
        <v>1855</v>
      </c>
      <c r="G1396" t="s">
        <v>1436</v>
      </c>
      <c r="H1396" t="s">
        <v>458</v>
      </c>
      <c r="I1396" t="s">
        <v>374</v>
      </c>
      <c r="J1396" t="s">
        <v>1856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1436</v>
      </c>
      <c r="B1397" t="s">
        <v>1853</v>
      </c>
      <c r="C1397" t="s">
        <v>368</v>
      </c>
      <c r="D1397" t="s">
        <v>523</v>
      </c>
      <c r="E1397" t="s">
        <v>1859</v>
      </c>
      <c r="F1397" t="s">
        <v>1855</v>
      </c>
      <c r="G1397" t="s">
        <v>1436</v>
      </c>
      <c r="H1397" t="s">
        <v>458</v>
      </c>
      <c r="I1397" t="s">
        <v>374</v>
      </c>
      <c r="J1397" t="s">
        <v>1856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1436</v>
      </c>
      <c r="B1398" t="s">
        <v>1853</v>
      </c>
      <c r="C1398" t="s">
        <v>368</v>
      </c>
      <c r="D1398" t="s">
        <v>523</v>
      </c>
      <c r="E1398" t="s">
        <v>1860</v>
      </c>
      <c r="F1398" t="s">
        <v>1855</v>
      </c>
      <c r="G1398" t="s">
        <v>1436</v>
      </c>
      <c r="H1398" t="s">
        <v>458</v>
      </c>
      <c r="I1398" t="s">
        <v>374</v>
      </c>
      <c r="J1398" t="s">
        <v>1856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1436</v>
      </c>
      <c r="B1399" t="s">
        <v>1853</v>
      </c>
      <c r="C1399" t="s">
        <v>368</v>
      </c>
      <c r="D1399" t="s">
        <v>523</v>
      </c>
      <c r="E1399" t="s">
        <v>1861</v>
      </c>
      <c r="F1399" t="s">
        <v>1855</v>
      </c>
      <c r="G1399" t="s">
        <v>1436</v>
      </c>
      <c r="H1399" t="s">
        <v>458</v>
      </c>
      <c r="I1399" t="s">
        <v>374</v>
      </c>
      <c r="J1399" t="s">
        <v>1856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1436</v>
      </c>
      <c r="B1400" t="s">
        <v>1853</v>
      </c>
      <c r="C1400" t="s">
        <v>368</v>
      </c>
      <c r="D1400" t="s">
        <v>523</v>
      </c>
      <c r="E1400" t="s">
        <v>1862</v>
      </c>
      <c r="F1400" t="s">
        <v>1855</v>
      </c>
      <c r="G1400" t="s">
        <v>1436</v>
      </c>
      <c r="H1400" t="s">
        <v>458</v>
      </c>
      <c r="I1400" t="s">
        <v>374</v>
      </c>
      <c r="J1400" t="s">
        <v>1856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1436</v>
      </c>
      <c r="B1401" t="s">
        <v>1853</v>
      </c>
      <c r="C1401" t="s">
        <v>368</v>
      </c>
      <c r="D1401" t="s">
        <v>523</v>
      </c>
      <c r="E1401" t="s">
        <v>1863</v>
      </c>
      <c r="F1401" t="s">
        <v>1855</v>
      </c>
      <c r="G1401" t="s">
        <v>1436</v>
      </c>
      <c r="H1401" t="s">
        <v>458</v>
      </c>
      <c r="I1401" t="s">
        <v>374</v>
      </c>
      <c r="J1401" t="s">
        <v>1856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1436</v>
      </c>
      <c r="B1402" t="s">
        <v>1853</v>
      </c>
      <c r="C1402" t="s">
        <v>368</v>
      </c>
      <c r="D1402" t="s">
        <v>523</v>
      </c>
      <c r="E1402" t="s">
        <v>1864</v>
      </c>
      <c r="F1402" t="s">
        <v>1855</v>
      </c>
      <c r="G1402" t="s">
        <v>1436</v>
      </c>
      <c r="H1402" t="s">
        <v>458</v>
      </c>
      <c r="I1402" t="s">
        <v>374</v>
      </c>
      <c r="J1402" t="s">
        <v>1856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1436</v>
      </c>
      <c r="B1403" t="s">
        <v>1853</v>
      </c>
      <c r="C1403" t="s">
        <v>368</v>
      </c>
      <c r="D1403" t="s">
        <v>523</v>
      </c>
      <c r="E1403" t="s">
        <v>1865</v>
      </c>
      <c r="F1403" t="s">
        <v>1855</v>
      </c>
      <c r="G1403" t="s">
        <v>1436</v>
      </c>
      <c r="H1403" t="s">
        <v>458</v>
      </c>
      <c r="I1403" t="s">
        <v>374</v>
      </c>
      <c r="J1403" t="s">
        <v>1856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1436</v>
      </c>
      <c r="B1404" t="s">
        <v>1853</v>
      </c>
      <c r="C1404" t="s">
        <v>368</v>
      </c>
      <c r="D1404" t="s">
        <v>523</v>
      </c>
      <c r="E1404" t="s">
        <v>1866</v>
      </c>
      <c r="F1404" t="s">
        <v>1855</v>
      </c>
      <c r="G1404" t="s">
        <v>1436</v>
      </c>
      <c r="H1404" t="s">
        <v>458</v>
      </c>
      <c r="I1404" t="s">
        <v>374</v>
      </c>
      <c r="J1404" t="s">
        <v>1856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1436</v>
      </c>
      <c r="B1405" t="s">
        <v>1853</v>
      </c>
      <c r="C1405" t="s">
        <v>368</v>
      </c>
      <c r="D1405" t="s">
        <v>523</v>
      </c>
      <c r="E1405" t="s">
        <v>1867</v>
      </c>
      <c r="F1405" t="s">
        <v>1855</v>
      </c>
      <c r="G1405" t="s">
        <v>1436</v>
      </c>
      <c r="H1405" t="s">
        <v>458</v>
      </c>
      <c r="I1405" t="s">
        <v>374</v>
      </c>
      <c r="J1405" t="s">
        <v>1856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1436</v>
      </c>
      <c r="B1406" t="s">
        <v>1853</v>
      </c>
      <c r="C1406" t="s">
        <v>368</v>
      </c>
      <c r="D1406" t="s">
        <v>523</v>
      </c>
      <c r="E1406" t="s">
        <v>1868</v>
      </c>
      <c r="F1406" t="s">
        <v>1855</v>
      </c>
      <c r="G1406" t="s">
        <v>1436</v>
      </c>
      <c r="H1406" t="s">
        <v>458</v>
      </c>
      <c r="I1406" t="s">
        <v>374</v>
      </c>
      <c r="J1406" t="s">
        <v>1856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1436</v>
      </c>
      <c r="B1407" t="s">
        <v>1853</v>
      </c>
      <c r="C1407" t="s">
        <v>609</v>
      </c>
      <c r="D1407" t="s">
        <v>523</v>
      </c>
      <c r="E1407" t="s">
        <v>1869</v>
      </c>
      <c r="F1407" t="s">
        <v>1855</v>
      </c>
      <c r="G1407" t="s">
        <v>1436</v>
      </c>
      <c r="H1407" t="s">
        <v>458</v>
      </c>
      <c r="I1407" t="s">
        <v>374</v>
      </c>
      <c r="J1407" t="s">
        <v>1856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1436</v>
      </c>
      <c r="B1408" t="s">
        <v>1853</v>
      </c>
      <c r="C1408" t="s">
        <v>609</v>
      </c>
      <c r="D1408" t="s">
        <v>523</v>
      </c>
      <c r="E1408" t="s">
        <v>1870</v>
      </c>
      <c r="F1408" t="s">
        <v>1855</v>
      </c>
      <c r="G1408" t="s">
        <v>1436</v>
      </c>
      <c r="H1408" t="s">
        <v>458</v>
      </c>
      <c r="I1408" t="s">
        <v>374</v>
      </c>
      <c r="J1408" t="s">
        <v>1856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1436</v>
      </c>
      <c r="B1409" t="s">
        <v>1853</v>
      </c>
      <c r="C1409" t="s">
        <v>609</v>
      </c>
      <c r="D1409" t="s">
        <v>523</v>
      </c>
      <c r="E1409" t="s">
        <v>1871</v>
      </c>
      <c r="F1409" t="s">
        <v>1855</v>
      </c>
      <c r="G1409" t="s">
        <v>1436</v>
      </c>
      <c r="H1409" t="s">
        <v>458</v>
      </c>
      <c r="I1409" t="s">
        <v>374</v>
      </c>
      <c r="J1409" t="s">
        <v>1856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1436</v>
      </c>
      <c r="B1410" t="s">
        <v>1853</v>
      </c>
      <c r="C1410" t="s">
        <v>609</v>
      </c>
      <c r="D1410" t="s">
        <v>523</v>
      </c>
      <c r="E1410" t="s">
        <v>1872</v>
      </c>
      <c r="F1410" t="s">
        <v>1855</v>
      </c>
      <c r="G1410" t="s">
        <v>1436</v>
      </c>
      <c r="H1410" t="s">
        <v>458</v>
      </c>
      <c r="I1410" t="s">
        <v>374</v>
      </c>
      <c r="J1410" t="s">
        <v>1856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1436</v>
      </c>
      <c r="B1411" t="s">
        <v>1853</v>
      </c>
      <c r="C1411" t="s">
        <v>609</v>
      </c>
      <c r="D1411" t="s">
        <v>523</v>
      </c>
      <c r="E1411" t="s">
        <v>1873</v>
      </c>
      <c r="F1411" t="s">
        <v>1855</v>
      </c>
      <c r="G1411" t="s">
        <v>1436</v>
      </c>
      <c r="H1411" t="s">
        <v>458</v>
      </c>
      <c r="I1411" t="s">
        <v>374</v>
      </c>
      <c r="J1411" t="s">
        <v>1856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1436</v>
      </c>
      <c r="B1412" t="s">
        <v>1853</v>
      </c>
      <c r="C1412" t="s">
        <v>368</v>
      </c>
      <c r="D1412" t="s">
        <v>523</v>
      </c>
      <c r="E1412" t="s">
        <v>1874</v>
      </c>
      <c r="F1412" t="s">
        <v>1855</v>
      </c>
      <c r="G1412" t="s">
        <v>1436</v>
      </c>
      <c r="H1412" t="s">
        <v>458</v>
      </c>
      <c r="I1412" t="s">
        <v>374</v>
      </c>
      <c r="J1412" t="s">
        <v>1856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1436</v>
      </c>
      <c r="B1413" t="s">
        <v>1853</v>
      </c>
      <c r="C1413" t="s">
        <v>368</v>
      </c>
      <c r="D1413" t="s">
        <v>523</v>
      </c>
      <c r="E1413" t="s">
        <v>1875</v>
      </c>
      <c r="F1413" t="s">
        <v>1855</v>
      </c>
      <c r="G1413" t="s">
        <v>1436</v>
      </c>
      <c r="H1413" t="s">
        <v>458</v>
      </c>
      <c r="I1413" t="s">
        <v>374</v>
      </c>
      <c r="J1413" t="s">
        <v>1856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1436</v>
      </c>
      <c r="B1414" t="s">
        <v>1876</v>
      </c>
      <c r="C1414" t="s">
        <v>368</v>
      </c>
      <c r="D1414" t="s">
        <v>523</v>
      </c>
      <c r="E1414" t="s">
        <v>1877</v>
      </c>
      <c r="F1414" t="s">
        <v>1878</v>
      </c>
      <c r="G1414" t="s">
        <v>1436</v>
      </c>
      <c r="H1414" t="s">
        <v>458</v>
      </c>
      <c r="I1414" t="s">
        <v>374</v>
      </c>
      <c r="J1414" t="s">
        <v>1091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1436</v>
      </c>
      <c r="B1415" t="s">
        <v>1876</v>
      </c>
      <c r="C1415" t="s">
        <v>368</v>
      </c>
      <c r="D1415" t="s">
        <v>523</v>
      </c>
      <c r="E1415" t="s">
        <v>1879</v>
      </c>
      <c r="F1415" t="s">
        <v>1878</v>
      </c>
      <c r="G1415" t="s">
        <v>1436</v>
      </c>
      <c r="H1415" t="s">
        <v>458</v>
      </c>
      <c r="I1415" t="s">
        <v>374</v>
      </c>
      <c r="J1415" t="s">
        <v>1091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1436</v>
      </c>
      <c r="B1416" t="s">
        <v>1876</v>
      </c>
      <c r="C1416" t="s">
        <v>368</v>
      </c>
      <c r="D1416" t="s">
        <v>523</v>
      </c>
      <c r="E1416" t="s">
        <v>1880</v>
      </c>
      <c r="F1416" t="s">
        <v>1878</v>
      </c>
      <c r="G1416" t="s">
        <v>1436</v>
      </c>
      <c r="H1416" t="s">
        <v>458</v>
      </c>
      <c r="I1416" t="s">
        <v>374</v>
      </c>
      <c r="J1416" t="s">
        <v>1091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1436</v>
      </c>
      <c r="B1417" t="s">
        <v>1876</v>
      </c>
      <c r="C1417" t="s">
        <v>368</v>
      </c>
      <c r="D1417" t="s">
        <v>523</v>
      </c>
      <c r="E1417" t="s">
        <v>1881</v>
      </c>
      <c r="F1417" t="s">
        <v>1878</v>
      </c>
      <c r="G1417" t="s">
        <v>1436</v>
      </c>
      <c r="H1417" t="s">
        <v>458</v>
      </c>
      <c r="I1417" t="s">
        <v>374</v>
      </c>
      <c r="J1417" t="s">
        <v>1091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1436</v>
      </c>
      <c r="B1418" t="s">
        <v>1876</v>
      </c>
      <c r="C1418" t="s">
        <v>368</v>
      </c>
      <c r="D1418" t="s">
        <v>523</v>
      </c>
      <c r="E1418" t="s">
        <v>1882</v>
      </c>
      <c r="F1418" t="s">
        <v>1878</v>
      </c>
      <c r="G1418" t="s">
        <v>1436</v>
      </c>
      <c r="H1418" t="s">
        <v>458</v>
      </c>
      <c r="I1418" t="s">
        <v>374</v>
      </c>
      <c r="J1418" t="s">
        <v>1091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1436</v>
      </c>
      <c r="B1419" t="s">
        <v>1876</v>
      </c>
      <c r="C1419" t="s">
        <v>368</v>
      </c>
      <c r="D1419" t="s">
        <v>523</v>
      </c>
      <c r="E1419" t="s">
        <v>1883</v>
      </c>
      <c r="F1419" t="s">
        <v>1878</v>
      </c>
      <c r="G1419" t="s">
        <v>1436</v>
      </c>
      <c r="H1419" t="s">
        <v>458</v>
      </c>
      <c r="I1419" t="s">
        <v>374</v>
      </c>
      <c r="J1419" t="s">
        <v>1091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1436</v>
      </c>
      <c r="B1420" t="s">
        <v>1876</v>
      </c>
      <c r="C1420" t="s">
        <v>368</v>
      </c>
      <c r="D1420" t="s">
        <v>523</v>
      </c>
      <c r="E1420" t="s">
        <v>1884</v>
      </c>
      <c r="F1420" t="s">
        <v>1878</v>
      </c>
      <c r="G1420" t="s">
        <v>1436</v>
      </c>
      <c r="H1420" t="s">
        <v>458</v>
      </c>
      <c r="I1420" t="s">
        <v>374</v>
      </c>
      <c r="J1420" t="s">
        <v>1091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1436</v>
      </c>
      <c r="B1421" t="s">
        <v>1876</v>
      </c>
      <c r="C1421" t="s">
        <v>368</v>
      </c>
      <c r="D1421" t="s">
        <v>523</v>
      </c>
      <c r="E1421" t="s">
        <v>1885</v>
      </c>
      <c r="F1421" t="s">
        <v>1878</v>
      </c>
      <c r="G1421" t="s">
        <v>1436</v>
      </c>
      <c r="H1421" t="s">
        <v>458</v>
      </c>
      <c r="I1421" t="s">
        <v>374</v>
      </c>
      <c r="J1421" t="s">
        <v>1091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1436</v>
      </c>
      <c r="B1422" t="s">
        <v>1876</v>
      </c>
      <c r="C1422" t="s">
        <v>368</v>
      </c>
      <c r="D1422" t="s">
        <v>523</v>
      </c>
      <c r="E1422" t="s">
        <v>1886</v>
      </c>
      <c r="F1422" t="s">
        <v>1878</v>
      </c>
      <c r="G1422" t="s">
        <v>1436</v>
      </c>
      <c r="H1422" t="s">
        <v>458</v>
      </c>
      <c r="I1422" t="s">
        <v>374</v>
      </c>
      <c r="J1422" t="s">
        <v>1091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1436</v>
      </c>
      <c r="B1423" t="s">
        <v>1876</v>
      </c>
      <c r="C1423" t="s">
        <v>368</v>
      </c>
      <c r="D1423" t="s">
        <v>523</v>
      </c>
      <c r="E1423" t="s">
        <v>1887</v>
      </c>
      <c r="F1423" t="s">
        <v>1878</v>
      </c>
      <c r="G1423" t="s">
        <v>1436</v>
      </c>
      <c r="H1423" t="s">
        <v>458</v>
      </c>
      <c r="I1423" t="s">
        <v>374</v>
      </c>
      <c r="J1423" t="s">
        <v>1091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1436</v>
      </c>
      <c r="B1424" t="s">
        <v>1876</v>
      </c>
      <c r="C1424" t="s">
        <v>368</v>
      </c>
      <c r="D1424" t="s">
        <v>523</v>
      </c>
      <c r="E1424" t="s">
        <v>1888</v>
      </c>
      <c r="F1424" t="s">
        <v>1878</v>
      </c>
      <c r="G1424" t="s">
        <v>1436</v>
      </c>
      <c r="H1424" t="s">
        <v>458</v>
      </c>
      <c r="I1424" t="s">
        <v>374</v>
      </c>
      <c r="J1424" t="s">
        <v>1091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1436</v>
      </c>
      <c r="B1425" t="s">
        <v>1876</v>
      </c>
      <c r="C1425" t="s">
        <v>368</v>
      </c>
      <c r="D1425" t="s">
        <v>523</v>
      </c>
      <c r="E1425" t="s">
        <v>1889</v>
      </c>
      <c r="F1425" t="s">
        <v>1878</v>
      </c>
      <c r="G1425" t="s">
        <v>1436</v>
      </c>
      <c r="H1425" t="s">
        <v>458</v>
      </c>
      <c r="I1425" t="s">
        <v>374</v>
      </c>
      <c r="J1425" t="s">
        <v>1091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1436</v>
      </c>
      <c r="B1426" t="s">
        <v>1876</v>
      </c>
      <c r="C1426" t="s">
        <v>368</v>
      </c>
      <c r="D1426" t="s">
        <v>523</v>
      </c>
      <c r="E1426" t="s">
        <v>1890</v>
      </c>
      <c r="F1426" t="s">
        <v>1878</v>
      </c>
      <c r="G1426" t="s">
        <v>1436</v>
      </c>
      <c r="H1426" t="s">
        <v>458</v>
      </c>
      <c r="I1426" t="s">
        <v>374</v>
      </c>
      <c r="J1426" t="s">
        <v>1091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1436</v>
      </c>
      <c r="B1427" t="s">
        <v>1876</v>
      </c>
      <c r="C1427" t="s">
        <v>609</v>
      </c>
      <c r="D1427" t="s">
        <v>523</v>
      </c>
      <c r="E1427" t="s">
        <v>1891</v>
      </c>
      <c r="F1427" t="s">
        <v>1878</v>
      </c>
      <c r="G1427" t="s">
        <v>1436</v>
      </c>
      <c r="H1427" t="s">
        <v>458</v>
      </c>
      <c r="I1427" t="s">
        <v>374</v>
      </c>
      <c r="J1427" t="s">
        <v>1091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1436</v>
      </c>
      <c r="B1428" t="s">
        <v>1876</v>
      </c>
      <c r="C1428" t="s">
        <v>609</v>
      </c>
      <c r="D1428" t="s">
        <v>523</v>
      </c>
      <c r="E1428" t="s">
        <v>1892</v>
      </c>
      <c r="F1428" t="s">
        <v>1878</v>
      </c>
      <c r="G1428" t="s">
        <v>1436</v>
      </c>
      <c r="H1428" t="s">
        <v>458</v>
      </c>
      <c r="I1428" t="s">
        <v>374</v>
      </c>
      <c r="J1428" t="s">
        <v>1091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1436</v>
      </c>
      <c r="B1429" t="s">
        <v>1876</v>
      </c>
      <c r="C1429" t="s">
        <v>609</v>
      </c>
      <c r="D1429" t="s">
        <v>523</v>
      </c>
      <c r="E1429" t="s">
        <v>1893</v>
      </c>
      <c r="F1429" t="s">
        <v>1878</v>
      </c>
      <c r="G1429" t="s">
        <v>1436</v>
      </c>
      <c r="H1429" t="s">
        <v>458</v>
      </c>
      <c r="I1429" t="s">
        <v>374</v>
      </c>
      <c r="J1429" t="s">
        <v>1091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1436</v>
      </c>
      <c r="B1430" t="s">
        <v>1876</v>
      </c>
      <c r="C1430" t="s">
        <v>609</v>
      </c>
      <c r="D1430" t="s">
        <v>523</v>
      </c>
      <c r="E1430" t="s">
        <v>1894</v>
      </c>
      <c r="F1430" t="s">
        <v>1878</v>
      </c>
      <c r="G1430" t="s">
        <v>1436</v>
      </c>
      <c r="H1430" t="s">
        <v>458</v>
      </c>
      <c r="I1430" t="s">
        <v>374</v>
      </c>
      <c r="J1430" t="s">
        <v>1091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1436</v>
      </c>
      <c r="B1431" t="s">
        <v>1876</v>
      </c>
      <c r="C1431" t="s">
        <v>609</v>
      </c>
      <c r="D1431" t="s">
        <v>523</v>
      </c>
      <c r="E1431" t="s">
        <v>1895</v>
      </c>
      <c r="F1431" t="s">
        <v>1878</v>
      </c>
      <c r="G1431" t="s">
        <v>1436</v>
      </c>
      <c r="H1431" t="s">
        <v>458</v>
      </c>
      <c r="I1431" t="s">
        <v>374</v>
      </c>
      <c r="J1431" t="s">
        <v>1091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1436</v>
      </c>
      <c r="B1432" t="s">
        <v>1876</v>
      </c>
      <c r="C1432" t="s">
        <v>368</v>
      </c>
      <c r="D1432" t="s">
        <v>523</v>
      </c>
      <c r="E1432" t="s">
        <v>1896</v>
      </c>
      <c r="F1432" t="s">
        <v>1878</v>
      </c>
      <c r="G1432" t="s">
        <v>1436</v>
      </c>
      <c r="H1432" t="s">
        <v>458</v>
      </c>
      <c r="I1432" t="s">
        <v>374</v>
      </c>
      <c r="J1432" t="s">
        <v>1091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1436</v>
      </c>
      <c r="B1433" t="s">
        <v>1876</v>
      </c>
      <c r="C1433" t="s">
        <v>368</v>
      </c>
      <c r="D1433" t="s">
        <v>523</v>
      </c>
      <c r="E1433" t="s">
        <v>1897</v>
      </c>
      <c r="F1433" t="s">
        <v>1878</v>
      </c>
      <c r="G1433" t="s">
        <v>1436</v>
      </c>
      <c r="H1433" t="s">
        <v>458</v>
      </c>
      <c r="I1433" t="s">
        <v>374</v>
      </c>
      <c r="J1433" t="s">
        <v>1091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1436</v>
      </c>
      <c r="B1434" t="s">
        <v>1898</v>
      </c>
      <c r="C1434" t="s">
        <v>368</v>
      </c>
      <c r="D1434" t="s">
        <v>523</v>
      </c>
      <c r="E1434" t="s">
        <v>220</v>
      </c>
      <c r="F1434" t="s">
        <v>1899</v>
      </c>
      <c r="G1434" t="s">
        <v>1436</v>
      </c>
      <c r="H1434" t="s">
        <v>458</v>
      </c>
      <c r="I1434" t="s">
        <v>374</v>
      </c>
      <c r="J1434" t="s">
        <v>1095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1436</v>
      </c>
      <c r="B1435" t="s">
        <v>1898</v>
      </c>
      <c r="C1435" t="s">
        <v>368</v>
      </c>
      <c r="D1435" t="s">
        <v>523</v>
      </c>
      <c r="E1435" t="s">
        <v>1900</v>
      </c>
      <c r="F1435" t="s">
        <v>1899</v>
      </c>
      <c r="G1435" t="s">
        <v>1436</v>
      </c>
      <c r="H1435" t="s">
        <v>458</v>
      </c>
      <c r="I1435" t="s">
        <v>374</v>
      </c>
      <c r="J1435" t="s">
        <v>1095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1436</v>
      </c>
      <c r="B1436" t="s">
        <v>1898</v>
      </c>
      <c r="C1436" t="s">
        <v>368</v>
      </c>
      <c r="D1436" t="s">
        <v>523</v>
      </c>
      <c r="E1436" t="s">
        <v>1901</v>
      </c>
      <c r="F1436" t="s">
        <v>1899</v>
      </c>
      <c r="G1436" t="s">
        <v>1436</v>
      </c>
      <c r="H1436" t="s">
        <v>458</v>
      </c>
      <c r="I1436" t="s">
        <v>374</v>
      </c>
      <c r="J1436" t="s">
        <v>1095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1436</v>
      </c>
      <c r="B1437" t="s">
        <v>1898</v>
      </c>
      <c r="C1437" t="s">
        <v>368</v>
      </c>
      <c r="D1437" t="s">
        <v>523</v>
      </c>
      <c r="E1437" t="s">
        <v>1902</v>
      </c>
      <c r="F1437" t="s">
        <v>1899</v>
      </c>
      <c r="G1437" t="s">
        <v>1436</v>
      </c>
      <c r="H1437" t="s">
        <v>458</v>
      </c>
      <c r="I1437" t="s">
        <v>374</v>
      </c>
      <c r="J1437" t="s">
        <v>1095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1436</v>
      </c>
      <c r="B1438" t="s">
        <v>1898</v>
      </c>
      <c r="C1438" t="s">
        <v>368</v>
      </c>
      <c r="D1438" t="s">
        <v>523</v>
      </c>
      <c r="E1438" t="s">
        <v>342</v>
      </c>
      <c r="F1438" t="s">
        <v>1899</v>
      </c>
      <c r="G1438" t="s">
        <v>1436</v>
      </c>
      <c r="H1438" t="s">
        <v>458</v>
      </c>
      <c r="I1438" t="s">
        <v>374</v>
      </c>
      <c r="J1438" t="s">
        <v>1095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1436</v>
      </c>
      <c r="B1439" t="s">
        <v>1898</v>
      </c>
      <c r="C1439" t="s">
        <v>368</v>
      </c>
      <c r="D1439" t="s">
        <v>523</v>
      </c>
      <c r="E1439" t="s">
        <v>1903</v>
      </c>
      <c r="F1439" t="s">
        <v>1899</v>
      </c>
      <c r="G1439" t="s">
        <v>1436</v>
      </c>
      <c r="H1439" t="s">
        <v>458</v>
      </c>
      <c r="I1439" t="s">
        <v>374</v>
      </c>
      <c r="J1439" t="s">
        <v>1095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1436</v>
      </c>
      <c r="B1440" t="s">
        <v>1898</v>
      </c>
      <c r="C1440" t="s">
        <v>368</v>
      </c>
      <c r="D1440" t="s">
        <v>523</v>
      </c>
      <c r="E1440" t="s">
        <v>1904</v>
      </c>
      <c r="F1440" t="s">
        <v>1899</v>
      </c>
      <c r="G1440" t="s">
        <v>1436</v>
      </c>
      <c r="H1440" t="s">
        <v>458</v>
      </c>
      <c r="I1440" t="s">
        <v>374</v>
      </c>
      <c r="J1440" t="s">
        <v>1095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1436</v>
      </c>
      <c r="B1441" t="s">
        <v>1898</v>
      </c>
      <c r="C1441" t="s">
        <v>368</v>
      </c>
      <c r="D1441" t="s">
        <v>523</v>
      </c>
      <c r="E1441" t="s">
        <v>1905</v>
      </c>
      <c r="F1441" t="s">
        <v>1899</v>
      </c>
      <c r="G1441" t="s">
        <v>1436</v>
      </c>
      <c r="H1441" t="s">
        <v>458</v>
      </c>
      <c r="I1441" t="s">
        <v>374</v>
      </c>
      <c r="J1441" t="s">
        <v>1095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1436</v>
      </c>
      <c r="B1442" t="s">
        <v>1898</v>
      </c>
      <c r="C1442" t="s">
        <v>368</v>
      </c>
      <c r="D1442" t="s">
        <v>523</v>
      </c>
      <c r="E1442" t="s">
        <v>1906</v>
      </c>
      <c r="F1442" t="s">
        <v>1899</v>
      </c>
      <c r="G1442" t="s">
        <v>1436</v>
      </c>
      <c r="H1442" t="s">
        <v>458</v>
      </c>
      <c r="I1442" t="s">
        <v>374</v>
      </c>
      <c r="J1442" t="s">
        <v>1095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1436</v>
      </c>
      <c r="B1443" t="s">
        <v>1898</v>
      </c>
      <c r="C1443" t="s">
        <v>368</v>
      </c>
      <c r="D1443" t="s">
        <v>523</v>
      </c>
      <c r="E1443" t="s">
        <v>1907</v>
      </c>
      <c r="F1443" t="s">
        <v>1899</v>
      </c>
      <c r="G1443" t="s">
        <v>1436</v>
      </c>
      <c r="H1443" t="s">
        <v>458</v>
      </c>
      <c r="I1443" t="s">
        <v>374</v>
      </c>
      <c r="J1443" t="s">
        <v>1095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1436</v>
      </c>
      <c r="B1444" t="s">
        <v>1898</v>
      </c>
      <c r="C1444" t="s">
        <v>368</v>
      </c>
      <c r="D1444" t="s">
        <v>523</v>
      </c>
      <c r="E1444" t="s">
        <v>1908</v>
      </c>
      <c r="F1444" t="s">
        <v>1899</v>
      </c>
      <c r="G1444" t="s">
        <v>1436</v>
      </c>
      <c r="H1444" t="s">
        <v>458</v>
      </c>
      <c r="I1444" t="s">
        <v>374</v>
      </c>
      <c r="J1444" t="s">
        <v>1095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1436</v>
      </c>
      <c r="B1445" t="s">
        <v>1898</v>
      </c>
      <c r="C1445" t="s">
        <v>368</v>
      </c>
      <c r="D1445" t="s">
        <v>523</v>
      </c>
      <c r="E1445" t="s">
        <v>1909</v>
      </c>
      <c r="F1445" t="s">
        <v>1899</v>
      </c>
      <c r="G1445" t="s">
        <v>1436</v>
      </c>
      <c r="H1445" t="s">
        <v>458</v>
      </c>
      <c r="I1445" t="s">
        <v>374</v>
      </c>
      <c r="J1445" t="s">
        <v>1095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1436</v>
      </c>
      <c r="B1446" t="s">
        <v>1898</v>
      </c>
      <c r="C1446" t="s">
        <v>368</v>
      </c>
      <c r="D1446" t="s">
        <v>523</v>
      </c>
      <c r="E1446" t="s">
        <v>1910</v>
      </c>
      <c r="F1446" t="s">
        <v>1899</v>
      </c>
      <c r="G1446" t="s">
        <v>1436</v>
      </c>
      <c r="H1446" t="s">
        <v>458</v>
      </c>
      <c r="I1446" t="s">
        <v>374</v>
      </c>
      <c r="J1446" t="s">
        <v>1095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1436</v>
      </c>
      <c r="B1447" t="s">
        <v>1898</v>
      </c>
      <c r="C1447" t="s">
        <v>609</v>
      </c>
      <c r="D1447" t="s">
        <v>523</v>
      </c>
      <c r="E1447" t="s">
        <v>1911</v>
      </c>
      <c r="F1447" t="s">
        <v>1899</v>
      </c>
      <c r="G1447" t="s">
        <v>1436</v>
      </c>
      <c r="H1447" t="s">
        <v>458</v>
      </c>
      <c r="I1447" t="s">
        <v>374</v>
      </c>
      <c r="J1447" t="s">
        <v>1095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1436</v>
      </c>
      <c r="B1448" t="s">
        <v>1898</v>
      </c>
      <c r="C1448" t="s">
        <v>609</v>
      </c>
      <c r="D1448" t="s">
        <v>523</v>
      </c>
      <c r="E1448" t="s">
        <v>1912</v>
      </c>
      <c r="F1448" t="s">
        <v>1899</v>
      </c>
      <c r="G1448" t="s">
        <v>1436</v>
      </c>
      <c r="H1448" t="s">
        <v>458</v>
      </c>
      <c r="I1448" t="s">
        <v>374</v>
      </c>
      <c r="J1448" t="s">
        <v>1095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1436</v>
      </c>
      <c r="B1449" t="s">
        <v>1898</v>
      </c>
      <c r="C1449" t="s">
        <v>609</v>
      </c>
      <c r="D1449" t="s">
        <v>523</v>
      </c>
      <c r="E1449" t="s">
        <v>1913</v>
      </c>
      <c r="F1449" t="s">
        <v>1899</v>
      </c>
      <c r="G1449" t="s">
        <v>1436</v>
      </c>
      <c r="H1449" t="s">
        <v>458</v>
      </c>
      <c r="I1449" t="s">
        <v>374</v>
      </c>
      <c r="J1449" t="s">
        <v>1095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1436</v>
      </c>
      <c r="B1450" t="s">
        <v>1898</v>
      </c>
      <c r="C1450" t="s">
        <v>609</v>
      </c>
      <c r="D1450" t="s">
        <v>523</v>
      </c>
      <c r="E1450" t="s">
        <v>1914</v>
      </c>
      <c r="F1450" t="s">
        <v>1899</v>
      </c>
      <c r="G1450" t="s">
        <v>1436</v>
      </c>
      <c r="H1450" t="s">
        <v>458</v>
      </c>
      <c r="I1450" t="s">
        <v>374</v>
      </c>
      <c r="J1450" t="s">
        <v>1095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1436</v>
      </c>
      <c r="B1451" t="s">
        <v>1898</v>
      </c>
      <c r="C1451" t="s">
        <v>609</v>
      </c>
      <c r="D1451" t="s">
        <v>523</v>
      </c>
      <c r="E1451" t="s">
        <v>1915</v>
      </c>
      <c r="F1451" t="s">
        <v>1899</v>
      </c>
      <c r="G1451" t="s">
        <v>1436</v>
      </c>
      <c r="H1451" t="s">
        <v>458</v>
      </c>
      <c r="I1451" t="s">
        <v>374</v>
      </c>
      <c r="J1451" t="s">
        <v>1095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1436</v>
      </c>
      <c r="B1452" t="s">
        <v>1898</v>
      </c>
      <c r="C1452" t="s">
        <v>368</v>
      </c>
      <c r="D1452" t="s">
        <v>523</v>
      </c>
      <c r="E1452" t="s">
        <v>1916</v>
      </c>
      <c r="F1452" t="s">
        <v>1899</v>
      </c>
      <c r="G1452" t="s">
        <v>1436</v>
      </c>
      <c r="H1452" t="s">
        <v>458</v>
      </c>
      <c r="I1452" t="s">
        <v>374</v>
      </c>
      <c r="J1452" t="s">
        <v>1095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1436</v>
      </c>
      <c r="B1453" t="s">
        <v>1898</v>
      </c>
      <c r="C1453" t="s">
        <v>368</v>
      </c>
      <c r="D1453" t="s">
        <v>523</v>
      </c>
      <c r="E1453" t="s">
        <v>1917</v>
      </c>
      <c r="F1453" t="s">
        <v>1899</v>
      </c>
      <c r="G1453" t="s">
        <v>1436</v>
      </c>
      <c r="H1453" t="s">
        <v>458</v>
      </c>
      <c r="I1453" t="s">
        <v>374</v>
      </c>
      <c r="J1453" t="s">
        <v>1095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1436</v>
      </c>
      <c r="B1454" t="s">
        <v>1918</v>
      </c>
      <c r="C1454" t="s">
        <v>368</v>
      </c>
      <c r="D1454" t="s">
        <v>523</v>
      </c>
      <c r="E1454" t="s">
        <v>1919</v>
      </c>
      <c r="F1454" t="s">
        <v>1920</v>
      </c>
      <c r="G1454" t="s">
        <v>1436</v>
      </c>
      <c r="H1454" t="s">
        <v>458</v>
      </c>
      <c r="I1454" t="s">
        <v>374</v>
      </c>
      <c r="J1454" t="s">
        <v>1921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1436</v>
      </c>
      <c r="B1455" t="s">
        <v>1918</v>
      </c>
      <c r="C1455" t="s">
        <v>368</v>
      </c>
      <c r="D1455" t="s">
        <v>523</v>
      </c>
      <c r="E1455" t="s">
        <v>1922</v>
      </c>
      <c r="F1455" t="s">
        <v>1920</v>
      </c>
      <c r="G1455" t="s">
        <v>1436</v>
      </c>
      <c r="H1455" t="s">
        <v>458</v>
      </c>
      <c r="I1455" t="s">
        <v>374</v>
      </c>
      <c r="J1455" t="s">
        <v>1921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1436</v>
      </c>
      <c r="B1456" t="s">
        <v>1918</v>
      </c>
      <c r="C1456" t="s">
        <v>368</v>
      </c>
      <c r="D1456" t="s">
        <v>523</v>
      </c>
      <c r="E1456" t="s">
        <v>1923</v>
      </c>
      <c r="F1456" t="s">
        <v>1920</v>
      </c>
      <c r="G1456" t="s">
        <v>1436</v>
      </c>
      <c r="H1456" t="s">
        <v>458</v>
      </c>
      <c r="I1456" t="s">
        <v>374</v>
      </c>
      <c r="J1456" t="s">
        <v>1921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1436</v>
      </c>
      <c r="B1457" t="s">
        <v>1918</v>
      </c>
      <c r="C1457" t="s">
        <v>368</v>
      </c>
      <c r="D1457" t="s">
        <v>523</v>
      </c>
      <c r="E1457" t="s">
        <v>1924</v>
      </c>
      <c r="F1457" t="s">
        <v>1920</v>
      </c>
      <c r="G1457" t="s">
        <v>1436</v>
      </c>
      <c r="H1457" t="s">
        <v>458</v>
      </c>
      <c r="I1457" t="s">
        <v>374</v>
      </c>
      <c r="J1457" t="s">
        <v>1921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1436</v>
      </c>
      <c r="B1458" t="s">
        <v>1918</v>
      </c>
      <c r="C1458" t="s">
        <v>368</v>
      </c>
      <c r="D1458" t="s">
        <v>523</v>
      </c>
      <c r="E1458" t="s">
        <v>1925</v>
      </c>
      <c r="F1458" t="s">
        <v>1920</v>
      </c>
      <c r="G1458" t="s">
        <v>1436</v>
      </c>
      <c r="H1458" t="s">
        <v>458</v>
      </c>
      <c r="I1458" t="s">
        <v>374</v>
      </c>
      <c r="J1458" t="s">
        <v>1921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1436</v>
      </c>
      <c r="B1459" t="s">
        <v>1918</v>
      </c>
      <c r="C1459" t="s">
        <v>368</v>
      </c>
      <c r="D1459" t="s">
        <v>523</v>
      </c>
      <c r="E1459" t="s">
        <v>1926</v>
      </c>
      <c r="F1459" t="s">
        <v>1920</v>
      </c>
      <c r="G1459" t="s">
        <v>1436</v>
      </c>
      <c r="H1459" t="s">
        <v>458</v>
      </c>
      <c r="I1459" t="s">
        <v>374</v>
      </c>
      <c r="J1459" t="s">
        <v>1921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1436</v>
      </c>
      <c r="B1460" t="s">
        <v>1918</v>
      </c>
      <c r="C1460" t="s">
        <v>368</v>
      </c>
      <c r="D1460" t="s">
        <v>523</v>
      </c>
      <c r="E1460" t="s">
        <v>1927</v>
      </c>
      <c r="F1460" t="s">
        <v>1920</v>
      </c>
      <c r="G1460" t="s">
        <v>1436</v>
      </c>
      <c r="H1460" t="s">
        <v>458</v>
      </c>
      <c r="I1460" t="s">
        <v>374</v>
      </c>
      <c r="J1460" t="s">
        <v>1921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1436</v>
      </c>
      <c r="B1461" t="s">
        <v>1918</v>
      </c>
      <c r="C1461" t="s">
        <v>368</v>
      </c>
      <c r="D1461" t="s">
        <v>523</v>
      </c>
      <c r="E1461" t="s">
        <v>1928</v>
      </c>
      <c r="F1461" t="s">
        <v>1920</v>
      </c>
      <c r="G1461" t="s">
        <v>1436</v>
      </c>
      <c r="H1461" t="s">
        <v>458</v>
      </c>
      <c r="I1461" t="s">
        <v>374</v>
      </c>
      <c r="J1461" t="s">
        <v>1921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1436</v>
      </c>
      <c r="B1462" t="s">
        <v>1918</v>
      </c>
      <c r="C1462" t="s">
        <v>368</v>
      </c>
      <c r="D1462" t="s">
        <v>523</v>
      </c>
      <c r="E1462" t="s">
        <v>1929</v>
      </c>
      <c r="F1462" t="s">
        <v>1920</v>
      </c>
      <c r="G1462" t="s">
        <v>1436</v>
      </c>
      <c r="H1462" t="s">
        <v>458</v>
      </c>
      <c r="I1462" t="s">
        <v>374</v>
      </c>
      <c r="J1462" t="s">
        <v>1921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1436</v>
      </c>
      <c r="B1463" t="s">
        <v>1918</v>
      </c>
      <c r="C1463" t="s">
        <v>368</v>
      </c>
      <c r="D1463" t="s">
        <v>523</v>
      </c>
      <c r="E1463" t="s">
        <v>1930</v>
      </c>
      <c r="F1463" t="s">
        <v>1920</v>
      </c>
      <c r="G1463" t="s">
        <v>1436</v>
      </c>
      <c r="H1463" t="s">
        <v>458</v>
      </c>
      <c r="I1463" t="s">
        <v>374</v>
      </c>
      <c r="J1463" t="s">
        <v>1921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1436</v>
      </c>
      <c r="B1464" t="s">
        <v>1918</v>
      </c>
      <c r="C1464" t="s">
        <v>368</v>
      </c>
      <c r="D1464" t="s">
        <v>523</v>
      </c>
      <c r="E1464" t="s">
        <v>1931</v>
      </c>
      <c r="F1464" t="s">
        <v>1920</v>
      </c>
      <c r="G1464" t="s">
        <v>1436</v>
      </c>
      <c r="H1464" t="s">
        <v>458</v>
      </c>
      <c r="I1464" t="s">
        <v>374</v>
      </c>
      <c r="J1464" t="s">
        <v>1921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1436</v>
      </c>
      <c r="B1465" t="s">
        <v>1918</v>
      </c>
      <c r="C1465" t="s">
        <v>368</v>
      </c>
      <c r="D1465" t="s">
        <v>523</v>
      </c>
      <c r="E1465" t="s">
        <v>1932</v>
      </c>
      <c r="F1465" t="s">
        <v>1920</v>
      </c>
      <c r="G1465" t="s">
        <v>1436</v>
      </c>
      <c r="H1465" t="s">
        <v>458</v>
      </c>
      <c r="I1465" t="s">
        <v>374</v>
      </c>
      <c r="J1465" t="s">
        <v>1921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1436</v>
      </c>
      <c r="B1466" t="s">
        <v>1918</v>
      </c>
      <c r="C1466" t="s">
        <v>368</v>
      </c>
      <c r="D1466" t="s">
        <v>523</v>
      </c>
      <c r="E1466" t="s">
        <v>1933</v>
      </c>
      <c r="F1466" t="s">
        <v>1920</v>
      </c>
      <c r="G1466" t="s">
        <v>1436</v>
      </c>
      <c r="H1466" t="s">
        <v>458</v>
      </c>
      <c r="I1466" t="s">
        <v>374</v>
      </c>
      <c r="J1466" t="s">
        <v>1921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1436</v>
      </c>
      <c r="B1467" t="s">
        <v>1918</v>
      </c>
      <c r="C1467" t="s">
        <v>368</v>
      </c>
      <c r="D1467" t="s">
        <v>523</v>
      </c>
      <c r="E1467" t="s">
        <v>1934</v>
      </c>
      <c r="F1467" t="s">
        <v>1920</v>
      </c>
      <c r="G1467" t="s">
        <v>1436</v>
      </c>
      <c r="H1467" t="s">
        <v>458</v>
      </c>
      <c r="I1467" t="s">
        <v>374</v>
      </c>
      <c r="J1467" t="s">
        <v>1921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1436</v>
      </c>
      <c r="B1468" t="s">
        <v>1918</v>
      </c>
      <c r="C1468" t="s">
        <v>609</v>
      </c>
      <c r="D1468" t="s">
        <v>523</v>
      </c>
      <c r="E1468" t="s">
        <v>1935</v>
      </c>
      <c r="F1468" t="s">
        <v>1920</v>
      </c>
      <c r="G1468" t="s">
        <v>1436</v>
      </c>
      <c r="H1468" t="s">
        <v>458</v>
      </c>
      <c r="I1468" t="s">
        <v>374</v>
      </c>
      <c r="J1468" t="s">
        <v>1921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1436</v>
      </c>
      <c r="B1469" t="s">
        <v>1918</v>
      </c>
      <c r="C1469" t="s">
        <v>609</v>
      </c>
      <c r="D1469" t="s">
        <v>523</v>
      </c>
      <c r="E1469" t="s">
        <v>1936</v>
      </c>
      <c r="F1469" t="s">
        <v>1920</v>
      </c>
      <c r="G1469" t="s">
        <v>1436</v>
      </c>
      <c r="H1469" t="s">
        <v>458</v>
      </c>
      <c r="I1469" t="s">
        <v>374</v>
      </c>
      <c r="J1469" t="s">
        <v>1921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1436</v>
      </c>
      <c r="B1470" t="s">
        <v>1918</v>
      </c>
      <c r="C1470" t="s">
        <v>609</v>
      </c>
      <c r="D1470" t="s">
        <v>523</v>
      </c>
      <c r="E1470" t="s">
        <v>1937</v>
      </c>
      <c r="F1470" t="s">
        <v>1920</v>
      </c>
      <c r="G1470" t="s">
        <v>1436</v>
      </c>
      <c r="H1470" t="s">
        <v>458</v>
      </c>
      <c r="I1470" t="s">
        <v>374</v>
      </c>
      <c r="J1470" t="s">
        <v>1921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1436</v>
      </c>
      <c r="B1471" t="s">
        <v>1918</v>
      </c>
      <c r="C1471" t="s">
        <v>609</v>
      </c>
      <c r="D1471" t="s">
        <v>523</v>
      </c>
      <c r="E1471" t="s">
        <v>1938</v>
      </c>
      <c r="F1471" t="s">
        <v>1920</v>
      </c>
      <c r="G1471" t="s">
        <v>1436</v>
      </c>
      <c r="H1471" t="s">
        <v>458</v>
      </c>
      <c r="I1471" t="s">
        <v>374</v>
      </c>
      <c r="J1471" t="s">
        <v>1921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1436</v>
      </c>
      <c r="B1472" t="s">
        <v>1918</v>
      </c>
      <c r="C1472" t="s">
        <v>609</v>
      </c>
      <c r="D1472" t="s">
        <v>523</v>
      </c>
      <c r="E1472" t="s">
        <v>1939</v>
      </c>
      <c r="F1472" t="s">
        <v>1920</v>
      </c>
      <c r="G1472" t="s">
        <v>1436</v>
      </c>
      <c r="H1472" t="s">
        <v>458</v>
      </c>
      <c r="I1472" t="s">
        <v>374</v>
      </c>
      <c r="J1472" t="s">
        <v>1921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1436</v>
      </c>
      <c r="B1473" t="s">
        <v>1918</v>
      </c>
      <c r="C1473" t="s">
        <v>368</v>
      </c>
      <c r="D1473" t="s">
        <v>523</v>
      </c>
      <c r="E1473" t="s">
        <v>1940</v>
      </c>
      <c r="F1473" t="s">
        <v>1920</v>
      </c>
      <c r="G1473" t="s">
        <v>1436</v>
      </c>
      <c r="H1473" t="s">
        <v>458</v>
      </c>
      <c r="I1473" t="s">
        <v>374</v>
      </c>
      <c r="J1473" t="s">
        <v>1921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1436</v>
      </c>
      <c r="B1474" t="s">
        <v>1918</v>
      </c>
      <c r="C1474" t="s">
        <v>368</v>
      </c>
      <c r="D1474" t="s">
        <v>523</v>
      </c>
      <c r="E1474" t="s">
        <v>1941</v>
      </c>
      <c r="F1474" t="s">
        <v>1920</v>
      </c>
      <c r="G1474" t="s">
        <v>1436</v>
      </c>
      <c r="H1474" t="s">
        <v>458</v>
      </c>
      <c r="I1474" t="s">
        <v>374</v>
      </c>
      <c r="J1474" t="s">
        <v>1921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1436</v>
      </c>
      <c r="B1475" t="s">
        <v>1942</v>
      </c>
      <c r="C1475" t="s">
        <v>368</v>
      </c>
      <c r="D1475" t="s">
        <v>523</v>
      </c>
      <c r="E1475" t="s">
        <v>1943</v>
      </c>
      <c r="F1475" t="s">
        <v>1944</v>
      </c>
      <c r="G1475" t="s">
        <v>1436</v>
      </c>
      <c r="H1475" t="s">
        <v>458</v>
      </c>
      <c r="I1475" t="s">
        <v>374</v>
      </c>
      <c r="J1475" t="s">
        <v>1118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1436</v>
      </c>
      <c r="B1476" t="s">
        <v>1942</v>
      </c>
      <c r="C1476" t="s">
        <v>368</v>
      </c>
      <c r="D1476" t="s">
        <v>523</v>
      </c>
      <c r="E1476" t="s">
        <v>1945</v>
      </c>
      <c r="F1476" t="s">
        <v>1944</v>
      </c>
      <c r="G1476" t="s">
        <v>1436</v>
      </c>
      <c r="H1476" t="s">
        <v>458</v>
      </c>
      <c r="I1476" t="s">
        <v>374</v>
      </c>
      <c r="J1476" t="s">
        <v>1118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1436</v>
      </c>
      <c r="B1477" t="s">
        <v>1942</v>
      </c>
      <c r="C1477" t="s">
        <v>368</v>
      </c>
      <c r="D1477" t="s">
        <v>523</v>
      </c>
      <c r="E1477" t="s">
        <v>1946</v>
      </c>
      <c r="F1477" t="s">
        <v>1944</v>
      </c>
      <c r="G1477" t="s">
        <v>1436</v>
      </c>
      <c r="H1477" t="s">
        <v>458</v>
      </c>
      <c r="I1477" t="s">
        <v>374</v>
      </c>
      <c r="J1477" t="s">
        <v>1118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1436</v>
      </c>
      <c r="B1478" t="s">
        <v>1942</v>
      </c>
      <c r="C1478" t="s">
        <v>368</v>
      </c>
      <c r="D1478" t="s">
        <v>523</v>
      </c>
      <c r="E1478" t="s">
        <v>1947</v>
      </c>
      <c r="F1478" t="s">
        <v>1944</v>
      </c>
      <c r="G1478" t="s">
        <v>1436</v>
      </c>
      <c r="H1478" t="s">
        <v>458</v>
      </c>
      <c r="I1478" t="s">
        <v>374</v>
      </c>
      <c r="J1478" t="s">
        <v>1118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1436</v>
      </c>
      <c r="B1479" t="s">
        <v>1942</v>
      </c>
      <c r="C1479" t="s">
        <v>368</v>
      </c>
      <c r="D1479" t="s">
        <v>523</v>
      </c>
      <c r="E1479" t="s">
        <v>1948</v>
      </c>
      <c r="F1479" t="s">
        <v>1944</v>
      </c>
      <c r="G1479" t="s">
        <v>1436</v>
      </c>
      <c r="H1479" t="s">
        <v>458</v>
      </c>
      <c r="I1479" t="s">
        <v>374</v>
      </c>
      <c r="J1479" t="s">
        <v>1118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1436</v>
      </c>
      <c r="B1480" t="s">
        <v>1942</v>
      </c>
      <c r="C1480" t="s">
        <v>368</v>
      </c>
      <c r="D1480" t="s">
        <v>523</v>
      </c>
      <c r="E1480" t="s">
        <v>1949</v>
      </c>
      <c r="F1480" t="s">
        <v>1944</v>
      </c>
      <c r="G1480" t="s">
        <v>1436</v>
      </c>
      <c r="H1480" t="s">
        <v>458</v>
      </c>
      <c r="I1480" t="s">
        <v>374</v>
      </c>
      <c r="J1480" t="s">
        <v>1118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1436</v>
      </c>
      <c r="B1481" t="s">
        <v>1942</v>
      </c>
      <c r="C1481" t="s">
        <v>368</v>
      </c>
      <c r="D1481" t="s">
        <v>523</v>
      </c>
      <c r="E1481" t="s">
        <v>1950</v>
      </c>
      <c r="F1481" t="s">
        <v>1944</v>
      </c>
      <c r="G1481" t="s">
        <v>1436</v>
      </c>
      <c r="H1481" t="s">
        <v>458</v>
      </c>
      <c r="I1481" t="s">
        <v>374</v>
      </c>
      <c r="J1481" t="s">
        <v>1118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1436</v>
      </c>
      <c r="B1482" t="s">
        <v>1942</v>
      </c>
      <c r="C1482" t="s">
        <v>368</v>
      </c>
      <c r="D1482" t="s">
        <v>523</v>
      </c>
      <c r="E1482" t="s">
        <v>1951</v>
      </c>
      <c r="F1482" t="s">
        <v>1944</v>
      </c>
      <c r="G1482" t="s">
        <v>1436</v>
      </c>
      <c r="H1482" t="s">
        <v>458</v>
      </c>
      <c r="I1482" t="s">
        <v>374</v>
      </c>
      <c r="J1482" t="s">
        <v>1118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1436</v>
      </c>
      <c r="B1483" t="s">
        <v>1942</v>
      </c>
      <c r="C1483" t="s">
        <v>368</v>
      </c>
      <c r="D1483" t="s">
        <v>523</v>
      </c>
      <c r="E1483" t="s">
        <v>1952</v>
      </c>
      <c r="F1483" t="s">
        <v>1944</v>
      </c>
      <c r="G1483" t="s">
        <v>1436</v>
      </c>
      <c r="H1483" t="s">
        <v>458</v>
      </c>
      <c r="I1483" t="s">
        <v>374</v>
      </c>
      <c r="J1483" t="s">
        <v>1118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1436</v>
      </c>
      <c r="B1484" t="s">
        <v>1942</v>
      </c>
      <c r="C1484" t="s">
        <v>368</v>
      </c>
      <c r="D1484" t="s">
        <v>523</v>
      </c>
      <c r="E1484" t="s">
        <v>1953</v>
      </c>
      <c r="F1484" t="s">
        <v>1944</v>
      </c>
      <c r="G1484" t="s">
        <v>1436</v>
      </c>
      <c r="H1484" t="s">
        <v>458</v>
      </c>
      <c r="I1484" t="s">
        <v>374</v>
      </c>
      <c r="J1484" t="s">
        <v>1118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1436</v>
      </c>
      <c r="B1485" t="s">
        <v>1942</v>
      </c>
      <c r="C1485" t="s">
        <v>368</v>
      </c>
      <c r="D1485" t="s">
        <v>523</v>
      </c>
      <c r="E1485" t="s">
        <v>1954</v>
      </c>
      <c r="F1485" t="s">
        <v>1944</v>
      </c>
      <c r="G1485" t="s">
        <v>1436</v>
      </c>
      <c r="H1485" t="s">
        <v>458</v>
      </c>
      <c r="I1485" t="s">
        <v>374</v>
      </c>
      <c r="J1485" t="s">
        <v>1118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1436</v>
      </c>
      <c r="B1486" t="s">
        <v>1942</v>
      </c>
      <c r="C1486" t="s">
        <v>368</v>
      </c>
      <c r="D1486" t="s">
        <v>523</v>
      </c>
      <c r="E1486" t="s">
        <v>1955</v>
      </c>
      <c r="F1486" t="s">
        <v>1944</v>
      </c>
      <c r="G1486" t="s">
        <v>1436</v>
      </c>
      <c r="H1486" t="s">
        <v>458</v>
      </c>
      <c r="I1486" t="s">
        <v>374</v>
      </c>
      <c r="J1486" t="s">
        <v>1118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1436</v>
      </c>
      <c r="B1487" t="s">
        <v>1942</v>
      </c>
      <c r="C1487" t="s">
        <v>368</v>
      </c>
      <c r="D1487" t="s">
        <v>523</v>
      </c>
      <c r="E1487" t="s">
        <v>1956</v>
      </c>
      <c r="F1487" t="s">
        <v>1944</v>
      </c>
      <c r="G1487" t="s">
        <v>1436</v>
      </c>
      <c r="H1487" t="s">
        <v>458</v>
      </c>
      <c r="I1487" t="s">
        <v>374</v>
      </c>
      <c r="J1487" t="s">
        <v>1118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1436</v>
      </c>
      <c r="B1488" t="s">
        <v>1942</v>
      </c>
      <c r="C1488" t="s">
        <v>609</v>
      </c>
      <c r="D1488" t="s">
        <v>523</v>
      </c>
      <c r="E1488" t="s">
        <v>1957</v>
      </c>
      <c r="F1488" t="s">
        <v>1944</v>
      </c>
      <c r="G1488" t="s">
        <v>1436</v>
      </c>
      <c r="H1488" t="s">
        <v>458</v>
      </c>
      <c r="I1488" t="s">
        <v>374</v>
      </c>
      <c r="J1488" t="s">
        <v>1118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1436</v>
      </c>
      <c r="B1489" t="s">
        <v>1942</v>
      </c>
      <c r="C1489" t="s">
        <v>609</v>
      </c>
      <c r="D1489" t="s">
        <v>523</v>
      </c>
      <c r="E1489" t="s">
        <v>1958</v>
      </c>
      <c r="F1489" t="s">
        <v>1944</v>
      </c>
      <c r="G1489" t="s">
        <v>1436</v>
      </c>
      <c r="H1489" t="s">
        <v>458</v>
      </c>
      <c r="I1489" t="s">
        <v>374</v>
      </c>
      <c r="J1489" t="s">
        <v>1118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1436</v>
      </c>
      <c r="B1490" t="s">
        <v>1942</v>
      </c>
      <c r="C1490" t="s">
        <v>609</v>
      </c>
      <c r="D1490" t="s">
        <v>523</v>
      </c>
      <c r="E1490" t="s">
        <v>1959</v>
      </c>
      <c r="F1490" t="s">
        <v>1944</v>
      </c>
      <c r="G1490" t="s">
        <v>1436</v>
      </c>
      <c r="H1490" t="s">
        <v>458</v>
      </c>
      <c r="I1490" t="s">
        <v>374</v>
      </c>
      <c r="J1490" t="s">
        <v>1118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1436</v>
      </c>
      <c r="B1491" t="s">
        <v>1942</v>
      </c>
      <c r="C1491" t="s">
        <v>609</v>
      </c>
      <c r="D1491" t="s">
        <v>523</v>
      </c>
      <c r="E1491" t="s">
        <v>1960</v>
      </c>
      <c r="F1491" t="s">
        <v>1944</v>
      </c>
      <c r="G1491" t="s">
        <v>1436</v>
      </c>
      <c r="H1491" t="s">
        <v>458</v>
      </c>
      <c r="I1491" t="s">
        <v>374</v>
      </c>
      <c r="J1491" t="s">
        <v>1118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1436</v>
      </c>
      <c r="B1492" t="s">
        <v>1942</v>
      </c>
      <c r="C1492" t="s">
        <v>609</v>
      </c>
      <c r="D1492" t="s">
        <v>523</v>
      </c>
      <c r="E1492" t="s">
        <v>1961</v>
      </c>
      <c r="F1492" t="s">
        <v>1944</v>
      </c>
      <c r="G1492" t="s">
        <v>1436</v>
      </c>
      <c r="H1492" t="s">
        <v>458</v>
      </c>
      <c r="I1492" t="s">
        <v>374</v>
      </c>
      <c r="J1492" t="s">
        <v>1118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1436</v>
      </c>
      <c r="B1493" t="s">
        <v>1942</v>
      </c>
      <c r="C1493" t="s">
        <v>368</v>
      </c>
      <c r="D1493" t="s">
        <v>523</v>
      </c>
      <c r="E1493" t="s">
        <v>1962</v>
      </c>
      <c r="F1493" t="s">
        <v>1944</v>
      </c>
      <c r="G1493" t="s">
        <v>1436</v>
      </c>
      <c r="H1493" t="s">
        <v>458</v>
      </c>
      <c r="I1493" t="s">
        <v>374</v>
      </c>
      <c r="J1493" t="s">
        <v>1118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1436</v>
      </c>
      <c r="B1494" t="s">
        <v>1942</v>
      </c>
      <c r="C1494" t="s">
        <v>368</v>
      </c>
      <c r="D1494" t="s">
        <v>523</v>
      </c>
      <c r="E1494" t="s">
        <v>1963</v>
      </c>
      <c r="F1494" t="s">
        <v>1944</v>
      </c>
      <c r="G1494" t="s">
        <v>1436</v>
      </c>
      <c r="H1494" t="s">
        <v>458</v>
      </c>
      <c r="I1494" t="s">
        <v>374</v>
      </c>
      <c r="J1494" t="s">
        <v>1118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1436</v>
      </c>
      <c r="B1495" t="s">
        <v>1964</v>
      </c>
      <c r="C1495" t="s">
        <v>368</v>
      </c>
      <c r="D1495" t="s">
        <v>523</v>
      </c>
      <c r="E1495" t="s">
        <v>1965</v>
      </c>
      <c r="F1495" t="s">
        <v>1966</v>
      </c>
      <c r="G1495" t="s">
        <v>1436</v>
      </c>
      <c r="H1495" t="s">
        <v>458</v>
      </c>
      <c r="I1495" t="s">
        <v>374</v>
      </c>
      <c r="J1495" t="s">
        <v>1143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1436</v>
      </c>
      <c r="B1496" t="s">
        <v>1964</v>
      </c>
      <c r="C1496" t="s">
        <v>368</v>
      </c>
      <c r="D1496" t="s">
        <v>523</v>
      </c>
      <c r="E1496" t="s">
        <v>1967</v>
      </c>
      <c r="F1496" t="s">
        <v>1966</v>
      </c>
      <c r="G1496" t="s">
        <v>1436</v>
      </c>
      <c r="H1496" t="s">
        <v>458</v>
      </c>
      <c r="I1496" t="s">
        <v>374</v>
      </c>
      <c r="J1496" t="s">
        <v>1143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1436</v>
      </c>
      <c r="B1497" t="s">
        <v>1964</v>
      </c>
      <c r="C1497" t="s">
        <v>368</v>
      </c>
      <c r="D1497" t="s">
        <v>523</v>
      </c>
      <c r="E1497" t="s">
        <v>1968</v>
      </c>
      <c r="F1497" t="s">
        <v>1966</v>
      </c>
      <c r="G1497" t="s">
        <v>1436</v>
      </c>
      <c r="H1497" t="s">
        <v>458</v>
      </c>
      <c r="I1497" t="s">
        <v>374</v>
      </c>
      <c r="J1497" t="s">
        <v>1143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1436</v>
      </c>
      <c r="B1498" t="s">
        <v>1964</v>
      </c>
      <c r="C1498" t="s">
        <v>368</v>
      </c>
      <c r="D1498" t="s">
        <v>523</v>
      </c>
      <c r="E1498" t="s">
        <v>1969</v>
      </c>
      <c r="F1498" t="s">
        <v>1966</v>
      </c>
      <c r="G1498" t="s">
        <v>1436</v>
      </c>
      <c r="H1498" t="s">
        <v>458</v>
      </c>
      <c r="I1498" t="s">
        <v>374</v>
      </c>
      <c r="J1498" t="s">
        <v>1143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1436</v>
      </c>
      <c r="B1499" t="s">
        <v>1964</v>
      </c>
      <c r="C1499" t="s">
        <v>368</v>
      </c>
      <c r="D1499" t="s">
        <v>523</v>
      </c>
      <c r="E1499" t="s">
        <v>1970</v>
      </c>
      <c r="F1499" t="s">
        <v>1966</v>
      </c>
      <c r="G1499" t="s">
        <v>1436</v>
      </c>
      <c r="H1499" t="s">
        <v>458</v>
      </c>
      <c r="I1499" t="s">
        <v>374</v>
      </c>
      <c r="J1499" t="s">
        <v>1143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1436</v>
      </c>
      <c r="B1500" t="s">
        <v>1964</v>
      </c>
      <c r="C1500" t="s">
        <v>368</v>
      </c>
      <c r="D1500" t="s">
        <v>523</v>
      </c>
      <c r="E1500" t="s">
        <v>1971</v>
      </c>
      <c r="F1500" t="s">
        <v>1966</v>
      </c>
      <c r="G1500" t="s">
        <v>1436</v>
      </c>
      <c r="H1500" t="s">
        <v>458</v>
      </c>
      <c r="I1500" t="s">
        <v>374</v>
      </c>
      <c r="J1500" t="s">
        <v>1143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1436</v>
      </c>
      <c r="B1501" t="s">
        <v>1964</v>
      </c>
      <c r="C1501" t="s">
        <v>368</v>
      </c>
      <c r="D1501" t="s">
        <v>523</v>
      </c>
      <c r="E1501" t="s">
        <v>1972</v>
      </c>
      <c r="F1501" t="s">
        <v>1966</v>
      </c>
      <c r="G1501" t="s">
        <v>1436</v>
      </c>
      <c r="H1501" t="s">
        <v>458</v>
      </c>
      <c r="I1501" t="s">
        <v>374</v>
      </c>
      <c r="J1501" t="s">
        <v>1143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1436</v>
      </c>
      <c r="B1502" t="s">
        <v>1964</v>
      </c>
      <c r="C1502" t="s">
        <v>368</v>
      </c>
      <c r="D1502" t="s">
        <v>523</v>
      </c>
      <c r="E1502" t="s">
        <v>1973</v>
      </c>
      <c r="F1502" t="s">
        <v>1966</v>
      </c>
      <c r="G1502" t="s">
        <v>1436</v>
      </c>
      <c r="H1502" t="s">
        <v>458</v>
      </c>
      <c r="I1502" t="s">
        <v>374</v>
      </c>
      <c r="J1502" t="s">
        <v>1143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1436</v>
      </c>
      <c r="B1503" t="s">
        <v>1964</v>
      </c>
      <c r="C1503" t="s">
        <v>368</v>
      </c>
      <c r="D1503" t="s">
        <v>523</v>
      </c>
      <c r="E1503" t="s">
        <v>1974</v>
      </c>
      <c r="F1503" t="s">
        <v>1966</v>
      </c>
      <c r="G1503" t="s">
        <v>1436</v>
      </c>
      <c r="H1503" t="s">
        <v>458</v>
      </c>
      <c r="I1503" t="s">
        <v>374</v>
      </c>
      <c r="J1503" t="s">
        <v>1143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1436</v>
      </c>
      <c r="B1504" t="s">
        <v>1964</v>
      </c>
      <c r="C1504" t="s">
        <v>368</v>
      </c>
      <c r="D1504" t="s">
        <v>523</v>
      </c>
      <c r="E1504" t="s">
        <v>1975</v>
      </c>
      <c r="F1504" t="s">
        <v>1966</v>
      </c>
      <c r="G1504" t="s">
        <v>1436</v>
      </c>
      <c r="H1504" t="s">
        <v>458</v>
      </c>
      <c r="I1504" t="s">
        <v>374</v>
      </c>
      <c r="J1504" t="s">
        <v>1143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1436</v>
      </c>
      <c r="B1505" t="s">
        <v>1964</v>
      </c>
      <c r="C1505" t="s">
        <v>368</v>
      </c>
      <c r="D1505" t="s">
        <v>523</v>
      </c>
      <c r="E1505" t="s">
        <v>1976</v>
      </c>
      <c r="F1505" t="s">
        <v>1966</v>
      </c>
      <c r="G1505" t="s">
        <v>1436</v>
      </c>
      <c r="H1505" t="s">
        <v>458</v>
      </c>
      <c r="I1505" t="s">
        <v>374</v>
      </c>
      <c r="J1505" t="s">
        <v>1143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1436</v>
      </c>
      <c r="B1506" t="s">
        <v>1964</v>
      </c>
      <c r="C1506" t="s">
        <v>368</v>
      </c>
      <c r="D1506" t="s">
        <v>523</v>
      </c>
      <c r="E1506" t="s">
        <v>1977</v>
      </c>
      <c r="F1506" t="s">
        <v>1966</v>
      </c>
      <c r="G1506" t="s">
        <v>1436</v>
      </c>
      <c r="H1506" t="s">
        <v>458</v>
      </c>
      <c r="I1506" t="s">
        <v>374</v>
      </c>
      <c r="J1506" t="s">
        <v>1143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1436</v>
      </c>
      <c r="B1507" t="s">
        <v>1964</v>
      </c>
      <c r="C1507" t="s">
        <v>368</v>
      </c>
      <c r="D1507" t="s">
        <v>523</v>
      </c>
      <c r="E1507" t="s">
        <v>1978</v>
      </c>
      <c r="F1507" t="s">
        <v>1966</v>
      </c>
      <c r="G1507" t="s">
        <v>1436</v>
      </c>
      <c r="H1507" t="s">
        <v>458</v>
      </c>
      <c r="I1507" t="s">
        <v>374</v>
      </c>
      <c r="J1507" t="s">
        <v>1143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1436</v>
      </c>
      <c r="B1508" t="s">
        <v>1964</v>
      </c>
      <c r="C1508" t="s">
        <v>368</v>
      </c>
      <c r="D1508" t="s">
        <v>523</v>
      </c>
      <c r="E1508" t="s">
        <v>1979</v>
      </c>
      <c r="F1508" t="s">
        <v>1966</v>
      </c>
      <c r="G1508" t="s">
        <v>1436</v>
      </c>
      <c r="H1508" t="s">
        <v>458</v>
      </c>
      <c r="I1508" t="s">
        <v>374</v>
      </c>
      <c r="J1508" t="s">
        <v>1143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1436</v>
      </c>
      <c r="B1509" t="s">
        <v>1964</v>
      </c>
      <c r="C1509" t="s">
        <v>368</v>
      </c>
      <c r="D1509" t="s">
        <v>523</v>
      </c>
      <c r="E1509" t="s">
        <v>1980</v>
      </c>
      <c r="F1509" t="s">
        <v>1966</v>
      </c>
      <c r="G1509" t="s">
        <v>1436</v>
      </c>
      <c r="H1509" t="s">
        <v>458</v>
      </c>
      <c r="I1509" t="s">
        <v>374</v>
      </c>
      <c r="J1509" t="s">
        <v>1143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1436</v>
      </c>
      <c r="B1510" t="s">
        <v>1964</v>
      </c>
      <c r="C1510" t="s">
        <v>609</v>
      </c>
      <c r="D1510" t="s">
        <v>523</v>
      </c>
      <c r="E1510" t="s">
        <v>1981</v>
      </c>
      <c r="F1510" t="s">
        <v>1966</v>
      </c>
      <c r="G1510" t="s">
        <v>1436</v>
      </c>
      <c r="H1510" t="s">
        <v>458</v>
      </c>
      <c r="I1510" t="s">
        <v>374</v>
      </c>
      <c r="J1510" t="s">
        <v>1143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1436</v>
      </c>
      <c r="B1511" t="s">
        <v>1964</v>
      </c>
      <c r="C1511" t="s">
        <v>609</v>
      </c>
      <c r="D1511" t="s">
        <v>523</v>
      </c>
      <c r="E1511" t="s">
        <v>1982</v>
      </c>
      <c r="F1511" t="s">
        <v>1966</v>
      </c>
      <c r="G1511" t="s">
        <v>1436</v>
      </c>
      <c r="H1511" t="s">
        <v>458</v>
      </c>
      <c r="I1511" t="s">
        <v>374</v>
      </c>
      <c r="J1511" t="s">
        <v>1143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1436</v>
      </c>
      <c r="B1512" t="s">
        <v>1964</v>
      </c>
      <c r="C1512" t="s">
        <v>609</v>
      </c>
      <c r="D1512" t="s">
        <v>523</v>
      </c>
      <c r="E1512" t="s">
        <v>1983</v>
      </c>
      <c r="F1512" t="s">
        <v>1966</v>
      </c>
      <c r="G1512" t="s">
        <v>1436</v>
      </c>
      <c r="H1512" t="s">
        <v>458</v>
      </c>
      <c r="I1512" t="s">
        <v>374</v>
      </c>
      <c r="J1512" t="s">
        <v>1143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1436</v>
      </c>
      <c r="B1513" t="s">
        <v>1964</v>
      </c>
      <c r="C1513" t="s">
        <v>609</v>
      </c>
      <c r="D1513" t="s">
        <v>523</v>
      </c>
      <c r="E1513" t="s">
        <v>1984</v>
      </c>
      <c r="F1513" t="s">
        <v>1966</v>
      </c>
      <c r="G1513" t="s">
        <v>1436</v>
      </c>
      <c r="H1513" t="s">
        <v>458</v>
      </c>
      <c r="I1513" t="s">
        <v>374</v>
      </c>
      <c r="J1513" t="s">
        <v>1143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1436</v>
      </c>
      <c r="B1514" t="s">
        <v>1964</v>
      </c>
      <c r="C1514" t="s">
        <v>609</v>
      </c>
      <c r="D1514" t="s">
        <v>523</v>
      </c>
      <c r="E1514" t="s">
        <v>1985</v>
      </c>
      <c r="F1514" t="s">
        <v>1966</v>
      </c>
      <c r="G1514" t="s">
        <v>1436</v>
      </c>
      <c r="H1514" t="s">
        <v>458</v>
      </c>
      <c r="I1514" t="s">
        <v>374</v>
      </c>
      <c r="J1514" t="s">
        <v>1143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1436</v>
      </c>
      <c r="B1515" t="s">
        <v>1964</v>
      </c>
      <c r="C1515" t="s">
        <v>368</v>
      </c>
      <c r="D1515" t="s">
        <v>523</v>
      </c>
      <c r="E1515" t="s">
        <v>1986</v>
      </c>
      <c r="F1515" t="s">
        <v>1966</v>
      </c>
      <c r="G1515" t="s">
        <v>1436</v>
      </c>
      <c r="H1515" t="s">
        <v>458</v>
      </c>
      <c r="I1515" t="s">
        <v>374</v>
      </c>
      <c r="J1515" t="s">
        <v>1143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1436</v>
      </c>
      <c r="B1516" t="s">
        <v>1964</v>
      </c>
      <c r="C1516" t="s">
        <v>368</v>
      </c>
      <c r="D1516" t="s">
        <v>523</v>
      </c>
      <c r="E1516" t="s">
        <v>1987</v>
      </c>
      <c r="F1516" t="s">
        <v>1966</v>
      </c>
      <c r="G1516" t="s">
        <v>1436</v>
      </c>
      <c r="H1516" t="s">
        <v>458</v>
      </c>
      <c r="I1516" t="s">
        <v>374</v>
      </c>
      <c r="J1516" t="s">
        <v>1143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1436</v>
      </c>
      <c r="B1517" t="s">
        <v>1988</v>
      </c>
      <c r="C1517" t="s">
        <v>368</v>
      </c>
      <c r="D1517" t="s">
        <v>523</v>
      </c>
      <c r="E1517" t="s">
        <v>1989</v>
      </c>
      <c r="F1517" t="s">
        <v>1990</v>
      </c>
      <c r="G1517" t="s">
        <v>1436</v>
      </c>
      <c r="H1517" t="s">
        <v>458</v>
      </c>
      <c r="I1517" t="s">
        <v>374</v>
      </c>
      <c r="J1517" t="s">
        <v>1168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1436</v>
      </c>
      <c r="B1518" t="s">
        <v>1988</v>
      </c>
      <c r="C1518" t="s">
        <v>368</v>
      </c>
      <c r="D1518" t="s">
        <v>523</v>
      </c>
      <c r="E1518" t="s">
        <v>1991</v>
      </c>
      <c r="F1518" t="s">
        <v>1990</v>
      </c>
      <c r="G1518" t="s">
        <v>1436</v>
      </c>
      <c r="H1518" t="s">
        <v>458</v>
      </c>
      <c r="I1518" t="s">
        <v>374</v>
      </c>
      <c r="J1518" t="s">
        <v>1168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1436</v>
      </c>
      <c r="B1519" t="s">
        <v>1988</v>
      </c>
      <c r="C1519" t="s">
        <v>368</v>
      </c>
      <c r="D1519" t="s">
        <v>523</v>
      </c>
      <c r="E1519" t="s">
        <v>1992</v>
      </c>
      <c r="F1519" t="s">
        <v>1990</v>
      </c>
      <c r="G1519" t="s">
        <v>1436</v>
      </c>
      <c r="H1519" t="s">
        <v>458</v>
      </c>
      <c r="I1519" t="s">
        <v>374</v>
      </c>
      <c r="J1519" t="s">
        <v>1168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1436</v>
      </c>
      <c r="B1520" t="s">
        <v>1988</v>
      </c>
      <c r="C1520" t="s">
        <v>368</v>
      </c>
      <c r="D1520" t="s">
        <v>523</v>
      </c>
      <c r="E1520" t="s">
        <v>1993</v>
      </c>
      <c r="F1520" t="s">
        <v>1990</v>
      </c>
      <c r="G1520" t="s">
        <v>1436</v>
      </c>
      <c r="H1520" t="s">
        <v>458</v>
      </c>
      <c r="I1520" t="s">
        <v>374</v>
      </c>
      <c r="J1520" t="s">
        <v>1168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1436</v>
      </c>
      <c r="B1521" t="s">
        <v>1988</v>
      </c>
      <c r="C1521" t="s">
        <v>368</v>
      </c>
      <c r="D1521" t="s">
        <v>523</v>
      </c>
      <c r="E1521" t="s">
        <v>1994</v>
      </c>
      <c r="F1521" t="s">
        <v>1990</v>
      </c>
      <c r="G1521" t="s">
        <v>1436</v>
      </c>
      <c r="H1521" t="s">
        <v>458</v>
      </c>
      <c r="I1521" t="s">
        <v>374</v>
      </c>
      <c r="J1521" t="s">
        <v>1168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1436</v>
      </c>
      <c r="B1522" t="s">
        <v>1988</v>
      </c>
      <c r="C1522" t="s">
        <v>368</v>
      </c>
      <c r="D1522" t="s">
        <v>523</v>
      </c>
      <c r="E1522" t="s">
        <v>1995</v>
      </c>
      <c r="F1522" t="s">
        <v>1990</v>
      </c>
      <c r="G1522" t="s">
        <v>1436</v>
      </c>
      <c r="H1522" t="s">
        <v>458</v>
      </c>
      <c r="I1522" t="s">
        <v>374</v>
      </c>
      <c r="J1522" t="s">
        <v>1168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1436</v>
      </c>
      <c r="B1523" t="s">
        <v>1988</v>
      </c>
      <c r="C1523" t="s">
        <v>368</v>
      </c>
      <c r="D1523" t="s">
        <v>523</v>
      </c>
      <c r="E1523" t="s">
        <v>1996</v>
      </c>
      <c r="F1523" t="s">
        <v>1990</v>
      </c>
      <c r="G1523" t="s">
        <v>1436</v>
      </c>
      <c r="H1523" t="s">
        <v>458</v>
      </c>
      <c r="I1523" t="s">
        <v>374</v>
      </c>
      <c r="J1523" t="s">
        <v>1168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1436</v>
      </c>
      <c r="B1524" t="s">
        <v>1988</v>
      </c>
      <c r="C1524" t="s">
        <v>368</v>
      </c>
      <c r="D1524" t="s">
        <v>523</v>
      </c>
      <c r="E1524" t="s">
        <v>1997</v>
      </c>
      <c r="F1524" t="s">
        <v>1990</v>
      </c>
      <c r="G1524" t="s">
        <v>1436</v>
      </c>
      <c r="H1524" t="s">
        <v>458</v>
      </c>
      <c r="I1524" t="s">
        <v>374</v>
      </c>
      <c r="J1524" t="s">
        <v>1168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1436</v>
      </c>
      <c r="B1525" t="s">
        <v>1988</v>
      </c>
      <c r="C1525" t="s">
        <v>368</v>
      </c>
      <c r="D1525" t="s">
        <v>523</v>
      </c>
      <c r="E1525" t="s">
        <v>1998</v>
      </c>
      <c r="F1525" t="s">
        <v>1990</v>
      </c>
      <c r="G1525" t="s">
        <v>1436</v>
      </c>
      <c r="H1525" t="s">
        <v>458</v>
      </c>
      <c r="I1525" t="s">
        <v>374</v>
      </c>
      <c r="J1525" t="s">
        <v>1168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1436</v>
      </c>
      <c r="B1526" t="s">
        <v>1988</v>
      </c>
      <c r="C1526" t="s">
        <v>368</v>
      </c>
      <c r="D1526" t="s">
        <v>523</v>
      </c>
      <c r="E1526" t="s">
        <v>183</v>
      </c>
      <c r="F1526" t="s">
        <v>1990</v>
      </c>
      <c r="G1526" t="s">
        <v>1436</v>
      </c>
      <c r="H1526" t="s">
        <v>458</v>
      </c>
      <c r="I1526" t="s">
        <v>374</v>
      </c>
      <c r="J1526" t="s">
        <v>1168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1436</v>
      </c>
      <c r="B1527" t="s">
        <v>1988</v>
      </c>
      <c r="C1527" t="s">
        <v>368</v>
      </c>
      <c r="D1527" t="s">
        <v>523</v>
      </c>
      <c r="E1527" t="s">
        <v>1999</v>
      </c>
      <c r="F1527" t="s">
        <v>1990</v>
      </c>
      <c r="G1527" t="s">
        <v>1436</v>
      </c>
      <c r="H1527" t="s">
        <v>458</v>
      </c>
      <c r="I1527" t="s">
        <v>374</v>
      </c>
      <c r="J1527" t="s">
        <v>1168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1436</v>
      </c>
      <c r="B1528" t="s">
        <v>1988</v>
      </c>
      <c r="C1528" t="s">
        <v>368</v>
      </c>
      <c r="D1528" t="s">
        <v>523</v>
      </c>
      <c r="E1528" t="s">
        <v>2000</v>
      </c>
      <c r="F1528" t="s">
        <v>1990</v>
      </c>
      <c r="G1528" t="s">
        <v>1436</v>
      </c>
      <c r="H1528" t="s">
        <v>458</v>
      </c>
      <c r="I1528" t="s">
        <v>374</v>
      </c>
      <c r="J1528" t="s">
        <v>1168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1436</v>
      </c>
      <c r="B1529" t="s">
        <v>1988</v>
      </c>
      <c r="C1529" t="s">
        <v>368</v>
      </c>
      <c r="D1529" t="s">
        <v>523</v>
      </c>
      <c r="E1529" t="s">
        <v>2001</v>
      </c>
      <c r="F1529" t="s">
        <v>1990</v>
      </c>
      <c r="G1529" t="s">
        <v>1436</v>
      </c>
      <c r="H1529" t="s">
        <v>458</v>
      </c>
      <c r="I1529" t="s">
        <v>374</v>
      </c>
      <c r="J1529" t="s">
        <v>1168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1436</v>
      </c>
      <c r="B1530" t="s">
        <v>1988</v>
      </c>
      <c r="C1530" t="s">
        <v>368</v>
      </c>
      <c r="D1530" t="s">
        <v>523</v>
      </c>
      <c r="E1530" t="s">
        <v>2002</v>
      </c>
      <c r="F1530" t="s">
        <v>1990</v>
      </c>
      <c r="G1530" t="s">
        <v>1436</v>
      </c>
      <c r="H1530" t="s">
        <v>458</v>
      </c>
      <c r="I1530" t="s">
        <v>374</v>
      </c>
      <c r="J1530" t="s">
        <v>1168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1436</v>
      </c>
      <c r="B1531" t="s">
        <v>1988</v>
      </c>
      <c r="C1531" t="s">
        <v>368</v>
      </c>
      <c r="D1531" t="s">
        <v>523</v>
      </c>
      <c r="E1531" t="s">
        <v>2003</v>
      </c>
      <c r="F1531" t="s">
        <v>1990</v>
      </c>
      <c r="G1531" t="s">
        <v>1436</v>
      </c>
      <c r="H1531" t="s">
        <v>458</v>
      </c>
      <c r="I1531" t="s">
        <v>374</v>
      </c>
      <c r="J1531" t="s">
        <v>1168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1436</v>
      </c>
      <c r="B1532" t="s">
        <v>1988</v>
      </c>
      <c r="C1532" t="s">
        <v>368</v>
      </c>
      <c r="D1532" t="s">
        <v>523</v>
      </c>
      <c r="E1532" t="s">
        <v>2004</v>
      </c>
      <c r="F1532" t="s">
        <v>1990</v>
      </c>
      <c r="G1532" t="s">
        <v>1436</v>
      </c>
      <c r="H1532" t="s">
        <v>458</v>
      </c>
      <c r="I1532" t="s">
        <v>374</v>
      </c>
      <c r="J1532" t="s">
        <v>1168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1436</v>
      </c>
      <c r="B1533" t="s">
        <v>1988</v>
      </c>
      <c r="C1533" t="s">
        <v>368</v>
      </c>
      <c r="D1533" t="s">
        <v>523</v>
      </c>
      <c r="E1533" t="s">
        <v>2005</v>
      </c>
      <c r="F1533" t="s">
        <v>1990</v>
      </c>
      <c r="G1533" t="s">
        <v>1436</v>
      </c>
      <c r="H1533" t="s">
        <v>458</v>
      </c>
      <c r="I1533" t="s">
        <v>374</v>
      </c>
      <c r="J1533" t="s">
        <v>1168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1436</v>
      </c>
      <c r="B1534" t="s">
        <v>1988</v>
      </c>
      <c r="C1534" t="s">
        <v>368</v>
      </c>
      <c r="D1534" t="s">
        <v>523</v>
      </c>
      <c r="E1534" t="s">
        <v>2006</v>
      </c>
      <c r="F1534" t="s">
        <v>1990</v>
      </c>
      <c r="G1534" t="s">
        <v>1436</v>
      </c>
      <c r="H1534" t="s">
        <v>458</v>
      </c>
      <c r="I1534" t="s">
        <v>374</v>
      </c>
      <c r="J1534" t="s">
        <v>1168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1436</v>
      </c>
      <c r="B1535" t="s">
        <v>1988</v>
      </c>
      <c r="C1535" t="s">
        <v>368</v>
      </c>
      <c r="D1535" t="s">
        <v>523</v>
      </c>
      <c r="E1535" t="s">
        <v>2007</v>
      </c>
      <c r="F1535" t="s">
        <v>1990</v>
      </c>
      <c r="G1535" t="s">
        <v>1436</v>
      </c>
      <c r="H1535" t="s">
        <v>458</v>
      </c>
      <c r="I1535" t="s">
        <v>374</v>
      </c>
      <c r="J1535" t="s">
        <v>1168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1436</v>
      </c>
      <c r="B1536" t="s">
        <v>1988</v>
      </c>
      <c r="C1536" t="s">
        <v>368</v>
      </c>
      <c r="D1536" t="s">
        <v>523</v>
      </c>
      <c r="E1536" t="s">
        <v>2008</v>
      </c>
      <c r="F1536" t="s">
        <v>1990</v>
      </c>
      <c r="G1536" t="s">
        <v>1436</v>
      </c>
      <c r="H1536" t="s">
        <v>458</v>
      </c>
      <c r="I1536" t="s">
        <v>374</v>
      </c>
      <c r="J1536" t="s">
        <v>1168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1436</v>
      </c>
      <c r="B1537" t="s">
        <v>1988</v>
      </c>
      <c r="C1537" t="s">
        <v>368</v>
      </c>
      <c r="D1537" t="s">
        <v>523</v>
      </c>
      <c r="E1537" t="s">
        <v>2009</v>
      </c>
      <c r="F1537" t="s">
        <v>1990</v>
      </c>
      <c r="G1537" t="s">
        <v>1436</v>
      </c>
      <c r="H1537" t="s">
        <v>458</v>
      </c>
      <c r="I1537" t="s">
        <v>374</v>
      </c>
      <c r="J1537" t="s">
        <v>1168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1436</v>
      </c>
      <c r="B1538" t="s">
        <v>1988</v>
      </c>
      <c r="C1538" t="s">
        <v>368</v>
      </c>
      <c r="D1538" t="s">
        <v>523</v>
      </c>
      <c r="E1538" t="s">
        <v>2010</v>
      </c>
      <c r="F1538" t="s">
        <v>1990</v>
      </c>
      <c r="G1538" t="s">
        <v>1436</v>
      </c>
      <c r="H1538" t="s">
        <v>458</v>
      </c>
      <c r="I1538" t="s">
        <v>374</v>
      </c>
      <c r="J1538" t="s">
        <v>1168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1436</v>
      </c>
      <c r="B1539" t="s">
        <v>1988</v>
      </c>
      <c r="C1539" t="s">
        <v>368</v>
      </c>
      <c r="D1539" t="s">
        <v>523</v>
      </c>
      <c r="E1539" t="s">
        <v>2011</v>
      </c>
      <c r="F1539" t="s">
        <v>1990</v>
      </c>
      <c r="G1539" t="s">
        <v>1436</v>
      </c>
      <c r="H1539" t="s">
        <v>458</v>
      </c>
      <c r="I1539" t="s">
        <v>374</v>
      </c>
      <c r="J1539" t="s">
        <v>1168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1436</v>
      </c>
      <c r="B1540" t="s">
        <v>1988</v>
      </c>
      <c r="C1540" t="s">
        <v>368</v>
      </c>
      <c r="D1540" t="s">
        <v>523</v>
      </c>
      <c r="E1540" t="s">
        <v>2012</v>
      </c>
      <c r="F1540" t="s">
        <v>1990</v>
      </c>
      <c r="G1540" t="s">
        <v>1436</v>
      </c>
      <c r="H1540" t="s">
        <v>458</v>
      </c>
      <c r="I1540" t="s">
        <v>374</v>
      </c>
      <c r="J1540" t="s">
        <v>1168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1436</v>
      </c>
      <c r="B1541" t="s">
        <v>1988</v>
      </c>
      <c r="C1541" t="s">
        <v>368</v>
      </c>
      <c r="D1541" t="s">
        <v>523</v>
      </c>
      <c r="E1541" t="s">
        <v>2013</v>
      </c>
      <c r="F1541" t="s">
        <v>1990</v>
      </c>
      <c r="G1541" t="s">
        <v>1436</v>
      </c>
      <c r="H1541" t="s">
        <v>458</v>
      </c>
      <c r="I1541" t="s">
        <v>374</v>
      </c>
      <c r="J1541" t="s">
        <v>1168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1436</v>
      </c>
      <c r="B1542" t="s">
        <v>1988</v>
      </c>
      <c r="C1542" t="s">
        <v>368</v>
      </c>
      <c r="D1542" t="s">
        <v>523</v>
      </c>
      <c r="E1542" t="s">
        <v>2014</v>
      </c>
      <c r="F1542" t="s">
        <v>1990</v>
      </c>
      <c r="G1542" t="s">
        <v>1436</v>
      </c>
      <c r="H1542" t="s">
        <v>458</v>
      </c>
      <c r="I1542" t="s">
        <v>374</v>
      </c>
      <c r="J1542" t="s">
        <v>1168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1436</v>
      </c>
      <c r="B1543" t="s">
        <v>1988</v>
      </c>
      <c r="C1543" t="s">
        <v>609</v>
      </c>
      <c r="D1543" t="s">
        <v>523</v>
      </c>
      <c r="E1543" t="s">
        <v>2015</v>
      </c>
      <c r="F1543" t="s">
        <v>1990</v>
      </c>
      <c r="G1543" t="s">
        <v>1436</v>
      </c>
      <c r="H1543" t="s">
        <v>458</v>
      </c>
      <c r="I1543" t="s">
        <v>374</v>
      </c>
      <c r="J1543" t="s">
        <v>1168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1436</v>
      </c>
      <c r="B1544" t="s">
        <v>1988</v>
      </c>
      <c r="C1544" t="s">
        <v>609</v>
      </c>
      <c r="D1544" t="s">
        <v>523</v>
      </c>
      <c r="E1544" t="s">
        <v>2016</v>
      </c>
      <c r="F1544" t="s">
        <v>1990</v>
      </c>
      <c r="G1544" t="s">
        <v>1436</v>
      </c>
      <c r="H1544" t="s">
        <v>458</v>
      </c>
      <c r="I1544" t="s">
        <v>374</v>
      </c>
      <c r="J1544" t="s">
        <v>1168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1436</v>
      </c>
      <c r="B1545" t="s">
        <v>1988</v>
      </c>
      <c r="C1545" t="s">
        <v>609</v>
      </c>
      <c r="D1545" t="s">
        <v>523</v>
      </c>
      <c r="E1545" t="s">
        <v>2017</v>
      </c>
      <c r="F1545" t="s">
        <v>1990</v>
      </c>
      <c r="G1545" t="s">
        <v>1436</v>
      </c>
      <c r="H1545" t="s">
        <v>458</v>
      </c>
      <c r="I1545" t="s">
        <v>374</v>
      </c>
      <c r="J1545" t="s">
        <v>1168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1436</v>
      </c>
      <c r="B1546" t="s">
        <v>1988</v>
      </c>
      <c r="C1546" t="s">
        <v>609</v>
      </c>
      <c r="D1546" t="s">
        <v>523</v>
      </c>
      <c r="E1546" t="s">
        <v>2018</v>
      </c>
      <c r="F1546" t="s">
        <v>1990</v>
      </c>
      <c r="G1546" t="s">
        <v>1436</v>
      </c>
      <c r="H1546" t="s">
        <v>458</v>
      </c>
      <c r="I1546" t="s">
        <v>374</v>
      </c>
      <c r="J1546" t="s">
        <v>1168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1436</v>
      </c>
      <c r="B1547" t="s">
        <v>1988</v>
      </c>
      <c r="C1547" t="s">
        <v>609</v>
      </c>
      <c r="D1547" t="s">
        <v>523</v>
      </c>
      <c r="E1547" t="s">
        <v>2019</v>
      </c>
      <c r="F1547" t="s">
        <v>1990</v>
      </c>
      <c r="G1547" t="s">
        <v>1436</v>
      </c>
      <c r="H1547" t="s">
        <v>458</v>
      </c>
      <c r="I1547" t="s">
        <v>374</v>
      </c>
      <c r="J1547" t="s">
        <v>1168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1436</v>
      </c>
      <c r="B1548" t="s">
        <v>1988</v>
      </c>
      <c r="C1548" t="s">
        <v>609</v>
      </c>
      <c r="D1548" t="s">
        <v>523</v>
      </c>
      <c r="E1548" t="s">
        <v>2020</v>
      </c>
      <c r="F1548" t="s">
        <v>1990</v>
      </c>
      <c r="G1548" t="s">
        <v>1436</v>
      </c>
      <c r="H1548" t="s">
        <v>458</v>
      </c>
      <c r="I1548" t="s">
        <v>374</v>
      </c>
      <c r="J1548" t="s">
        <v>1168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1436</v>
      </c>
      <c r="B1549" t="s">
        <v>1988</v>
      </c>
      <c r="C1549" t="s">
        <v>609</v>
      </c>
      <c r="D1549" t="s">
        <v>523</v>
      </c>
      <c r="E1549" t="s">
        <v>2021</v>
      </c>
      <c r="F1549" t="s">
        <v>1990</v>
      </c>
      <c r="G1549" t="s">
        <v>1436</v>
      </c>
      <c r="H1549" t="s">
        <v>458</v>
      </c>
      <c r="I1549" t="s">
        <v>374</v>
      </c>
      <c r="J1549" t="s">
        <v>1168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1436</v>
      </c>
      <c r="B1550" t="s">
        <v>1988</v>
      </c>
      <c r="C1550" t="s">
        <v>609</v>
      </c>
      <c r="D1550" t="s">
        <v>523</v>
      </c>
      <c r="E1550" t="s">
        <v>2022</v>
      </c>
      <c r="F1550" t="s">
        <v>1990</v>
      </c>
      <c r="G1550" t="s">
        <v>1436</v>
      </c>
      <c r="H1550" t="s">
        <v>458</v>
      </c>
      <c r="I1550" t="s">
        <v>374</v>
      </c>
      <c r="J1550" t="s">
        <v>1168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1436</v>
      </c>
      <c r="B1551" t="s">
        <v>1988</v>
      </c>
      <c r="C1551" t="s">
        <v>609</v>
      </c>
      <c r="D1551" t="s">
        <v>523</v>
      </c>
      <c r="E1551" t="s">
        <v>2023</v>
      </c>
      <c r="F1551" t="s">
        <v>1990</v>
      </c>
      <c r="G1551" t="s">
        <v>1436</v>
      </c>
      <c r="H1551" t="s">
        <v>458</v>
      </c>
      <c r="I1551" t="s">
        <v>374</v>
      </c>
      <c r="J1551" t="s">
        <v>1168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1436</v>
      </c>
      <c r="B1552" t="s">
        <v>1988</v>
      </c>
      <c r="C1552" t="s">
        <v>609</v>
      </c>
      <c r="D1552" t="s">
        <v>523</v>
      </c>
      <c r="E1552" t="s">
        <v>2024</v>
      </c>
      <c r="F1552" t="s">
        <v>1990</v>
      </c>
      <c r="G1552" t="s">
        <v>1436</v>
      </c>
      <c r="H1552" t="s">
        <v>458</v>
      </c>
      <c r="I1552" t="s">
        <v>374</v>
      </c>
      <c r="J1552" t="s">
        <v>1168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1436</v>
      </c>
      <c r="B1553" t="s">
        <v>1988</v>
      </c>
      <c r="C1553" t="s">
        <v>368</v>
      </c>
      <c r="D1553" t="s">
        <v>523</v>
      </c>
      <c r="E1553" t="s">
        <v>2025</v>
      </c>
      <c r="F1553" t="s">
        <v>1990</v>
      </c>
      <c r="G1553" t="s">
        <v>1436</v>
      </c>
      <c r="H1553" t="s">
        <v>458</v>
      </c>
      <c r="I1553" t="s">
        <v>374</v>
      </c>
      <c r="J1553" t="s">
        <v>1168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1436</v>
      </c>
      <c r="B1554" t="s">
        <v>1988</v>
      </c>
      <c r="C1554" t="s">
        <v>368</v>
      </c>
      <c r="D1554" t="s">
        <v>523</v>
      </c>
      <c r="E1554" t="s">
        <v>2026</v>
      </c>
      <c r="F1554" t="s">
        <v>1990</v>
      </c>
      <c r="G1554" t="s">
        <v>1436</v>
      </c>
      <c r="H1554" t="s">
        <v>458</v>
      </c>
      <c r="I1554" t="s">
        <v>374</v>
      </c>
      <c r="J1554" t="s">
        <v>1168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1436</v>
      </c>
      <c r="B1555" t="s">
        <v>1988</v>
      </c>
      <c r="C1555" t="s">
        <v>368</v>
      </c>
      <c r="D1555" t="s">
        <v>523</v>
      </c>
      <c r="E1555" t="s">
        <v>2027</v>
      </c>
      <c r="F1555" t="s">
        <v>1990</v>
      </c>
      <c r="G1555" t="s">
        <v>1436</v>
      </c>
      <c r="H1555" t="s">
        <v>458</v>
      </c>
      <c r="I1555" t="s">
        <v>374</v>
      </c>
      <c r="J1555" t="s">
        <v>1168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1436</v>
      </c>
      <c r="B1556" t="s">
        <v>1988</v>
      </c>
      <c r="C1556" t="s">
        <v>368</v>
      </c>
      <c r="D1556" t="s">
        <v>523</v>
      </c>
      <c r="E1556" t="s">
        <v>2028</v>
      </c>
      <c r="F1556" t="s">
        <v>1990</v>
      </c>
      <c r="G1556" t="s">
        <v>1436</v>
      </c>
      <c r="H1556" t="s">
        <v>458</v>
      </c>
      <c r="I1556" t="s">
        <v>374</v>
      </c>
      <c r="J1556" t="s">
        <v>1168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1436</v>
      </c>
      <c r="B1557" t="s">
        <v>2029</v>
      </c>
      <c r="C1557" t="s">
        <v>368</v>
      </c>
      <c r="D1557" t="s">
        <v>523</v>
      </c>
      <c r="E1557" t="s">
        <v>2030</v>
      </c>
      <c r="F1557" t="s">
        <v>2031</v>
      </c>
      <c r="G1557" t="s">
        <v>1436</v>
      </c>
      <c r="H1557" t="s">
        <v>458</v>
      </c>
      <c r="I1557" t="s">
        <v>374</v>
      </c>
      <c r="J1557" t="s">
        <v>2032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1436</v>
      </c>
      <c r="B1558" t="s">
        <v>2029</v>
      </c>
      <c r="C1558" t="s">
        <v>368</v>
      </c>
      <c r="D1558" t="s">
        <v>523</v>
      </c>
      <c r="E1558" t="s">
        <v>2033</v>
      </c>
      <c r="F1558" t="s">
        <v>2031</v>
      </c>
      <c r="G1558" t="s">
        <v>1436</v>
      </c>
      <c r="H1558" t="s">
        <v>458</v>
      </c>
      <c r="I1558" t="s">
        <v>374</v>
      </c>
      <c r="J1558" t="s">
        <v>2032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1436</v>
      </c>
      <c r="B1559" t="s">
        <v>2029</v>
      </c>
      <c r="C1559" t="s">
        <v>368</v>
      </c>
      <c r="D1559" t="s">
        <v>523</v>
      </c>
      <c r="E1559" t="s">
        <v>2034</v>
      </c>
      <c r="F1559" t="s">
        <v>2031</v>
      </c>
      <c r="G1559" t="s">
        <v>1436</v>
      </c>
      <c r="H1559" t="s">
        <v>458</v>
      </c>
      <c r="I1559" t="s">
        <v>374</v>
      </c>
      <c r="J1559" t="s">
        <v>2032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1436</v>
      </c>
      <c r="B1560" t="s">
        <v>2029</v>
      </c>
      <c r="C1560" t="s">
        <v>368</v>
      </c>
      <c r="D1560" t="s">
        <v>523</v>
      </c>
      <c r="E1560" t="s">
        <v>2035</v>
      </c>
      <c r="F1560" t="s">
        <v>2031</v>
      </c>
      <c r="G1560" t="s">
        <v>1436</v>
      </c>
      <c r="H1560" t="s">
        <v>458</v>
      </c>
      <c r="I1560" t="s">
        <v>374</v>
      </c>
      <c r="J1560" t="s">
        <v>2032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1436</v>
      </c>
      <c r="B1561" t="s">
        <v>2029</v>
      </c>
      <c r="C1561" t="s">
        <v>368</v>
      </c>
      <c r="D1561" t="s">
        <v>523</v>
      </c>
      <c r="E1561" t="s">
        <v>2036</v>
      </c>
      <c r="F1561" t="s">
        <v>2031</v>
      </c>
      <c r="G1561" t="s">
        <v>1436</v>
      </c>
      <c r="H1561" t="s">
        <v>458</v>
      </c>
      <c r="I1561" t="s">
        <v>374</v>
      </c>
      <c r="J1561" t="s">
        <v>2032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1436</v>
      </c>
      <c r="B1562" t="s">
        <v>2029</v>
      </c>
      <c r="C1562" t="s">
        <v>368</v>
      </c>
      <c r="D1562" t="s">
        <v>523</v>
      </c>
      <c r="E1562" t="s">
        <v>2037</v>
      </c>
      <c r="F1562" t="s">
        <v>2031</v>
      </c>
      <c r="G1562" t="s">
        <v>1436</v>
      </c>
      <c r="H1562" t="s">
        <v>458</v>
      </c>
      <c r="I1562" t="s">
        <v>374</v>
      </c>
      <c r="J1562" t="s">
        <v>2032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1436</v>
      </c>
      <c r="B1563" t="s">
        <v>2029</v>
      </c>
      <c r="C1563" t="s">
        <v>368</v>
      </c>
      <c r="D1563" t="s">
        <v>523</v>
      </c>
      <c r="E1563" t="s">
        <v>2038</v>
      </c>
      <c r="F1563" t="s">
        <v>2031</v>
      </c>
      <c r="G1563" t="s">
        <v>1436</v>
      </c>
      <c r="H1563" t="s">
        <v>458</v>
      </c>
      <c r="I1563" t="s">
        <v>374</v>
      </c>
      <c r="J1563" t="s">
        <v>2032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1436</v>
      </c>
      <c r="B1564" t="s">
        <v>2029</v>
      </c>
      <c r="C1564" t="s">
        <v>368</v>
      </c>
      <c r="D1564" t="s">
        <v>523</v>
      </c>
      <c r="E1564" t="s">
        <v>2039</v>
      </c>
      <c r="F1564" t="s">
        <v>2031</v>
      </c>
      <c r="G1564" t="s">
        <v>1436</v>
      </c>
      <c r="H1564" t="s">
        <v>458</v>
      </c>
      <c r="I1564" t="s">
        <v>374</v>
      </c>
      <c r="J1564" t="s">
        <v>2032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1436</v>
      </c>
      <c r="B1565" t="s">
        <v>2029</v>
      </c>
      <c r="C1565" t="s">
        <v>368</v>
      </c>
      <c r="D1565" t="s">
        <v>523</v>
      </c>
      <c r="E1565" t="s">
        <v>2040</v>
      </c>
      <c r="F1565" t="s">
        <v>2031</v>
      </c>
      <c r="G1565" t="s">
        <v>1436</v>
      </c>
      <c r="H1565" t="s">
        <v>458</v>
      </c>
      <c r="I1565" t="s">
        <v>374</v>
      </c>
      <c r="J1565" t="s">
        <v>2032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1436</v>
      </c>
      <c r="B1566" t="s">
        <v>2029</v>
      </c>
      <c r="C1566" t="s">
        <v>368</v>
      </c>
      <c r="D1566" t="s">
        <v>523</v>
      </c>
      <c r="E1566" t="s">
        <v>2041</v>
      </c>
      <c r="F1566" t="s">
        <v>2031</v>
      </c>
      <c r="G1566" t="s">
        <v>1436</v>
      </c>
      <c r="H1566" t="s">
        <v>458</v>
      </c>
      <c r="I1566" t="s">
        <v>374</v>
      </c>
      <c r="J1566" t="s">
        <v>2032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1436</v>
      </c>
      <c r="B1567" t="s">
        <v>2029</v>
      </c>
      <c r="C1567" t="s">
        <v>368</v>
      </c>
      <c r="D1567" t="s">
        <v>523</v>
      </c>
      <c r="E1567" t="s">
        <v>2042</v>
      </c>
      <c r="F1567" t="s">
        <v>2031</v>
      </c>
      <c r="G1567" t="s">
        <v>1436</v>
      </c>
      <c r="H1567" t="s">
        <v>458</v>
      </c>
      <c r="I1567" t="s">
        <v>374</v>
      </c>
      <c r="J1567" t="s">
        <v>2032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1436</v>
      </c>
      <c r="B1568" t="s">
        <v>2029</v>
      </c>
      <c r="C1568" t="s">
        <v>609</v>
      </c>
      <c r="D1568" t="s">
        <v>523</v>
      </c>
      <c r="E1568" t="s">
        <v>2043</v>
      </c>
      <c r="F1568" t="s">
        <v>2031</v>
      </c>
      <c r="G1568" t="s">
        <v>1436</v>
      </c>
      <c r="H1568" t="s">
        <v>458</v>
      </c>
      <c r="I1568" t="s">
        <v>374</v>
      </c>
      <c r="J1568" t="s">
        <v>2032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1436</v>
      </c>
      <c r="B1569" t="s">
        <v>2029</v>
      </c>
      <c r="C1569" t="s">
        <v>609</v>
      </c>
      <c r="D1569" t="s">
        <v>523</v>
      </c>
      <c r="E1569" t="s">
        <v>2044</v>
      </c>
      <c r="F1569" t="s">
        <v>2031</v>
      </c>
      <c r="G1569" t="s">
        <v>1436</v>
      </c>
      <c r="H1569" t="s">
        <v>458</v>
      </c>
      <c r="I1569" t="s">
        <v>374</v>
      </c>
      <c r="J1569" t="s">
        <v>2032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1436</v>
      </c>
      <c r="B1570" t="s">
        <v>2029</v>
      </c>
      <c r="C1570" t="s">
        <v>609</v>
      </c>
      <c r="D1570" t="s">
        <v>523</v>
      </c>
      <c r="E1570" t="s">
        <v>2045</v>
      </c>
      <c r="F1570" t="s">
        <v>2031</v>
      </c>
      <c r="G1570" t="s">
        <v>1436</v>
      </c>
      <c r="H1570" t="s">
        <v>458</v>
      </c>
      <c r="I1570" t="s">
        <v>374</v>
      </c>
      <c r="J1570" t="s">
        <v>2032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1436</v>
      </c>
      <c r="B1571" t="s">
        <v>2029</v>
      </c>
      <c r="C1571" t="s">
        <v>609</v>
      </c>
      <c r="D1571" t="s">
        <v>523</v>
      </c>
      <c r="E1571" t="s">
        <v>2046</v>
      </c>
      <c r="F1571" t="s">
        <v>2031</v>
      </c>
      <c r="G1571" t="s">
        <v>1436</v>
      </c>
      <c r="H1571" t="s">
        <v>458</v>
      </c>
      <c r="I1571" t="s">
        <v>374</v>
      </c>
      <c r="J1571" t="s">
        <v>2032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1436</v>
      </c>
      <c r="B1572" t="s">
        <v>2029</v>
      </c>
      <c r="C1572" t="s">
        <v>609</v>
      </c>
      <c r="D1572" t="s">
        <v>523</v>
      </c>
      <c r="E1572" t="s">
        <v>2047</v>
      </c>
      <c r="F1572" t="s">
        <v>2031</v>
      </c>
      <c r="G1572" t="s">
        <v>1436</v>
      </c>
      <c r="H1572" t="s">
        <v>458</v>
      </c>
      <c r="I1572" t="s">
        <v>374</v>
      </c>
      <c r="J1572" t="s">
        <v>2032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1436</v>
      </c>
      <c r="B1573" t="s">
        <v>2029</v>
      </c>
      <c r="C1573" t="s">
        <v>368</v>
      </c>
      <c r="D1573" t="s">
        <v>523</v>
      </c>
      <c r="E1573" t="s">
        <v>2048</v>
      </c>
      <c r="F1573" t="s">
        <v>2031</v>
      </c>
      <c r="G1573" t="s">
        <v>1436</v>
      </c>
      <c r="H1573" t="s">
        <v>458</v>
      </c>
      <c r="I1573" t="s">
        <v>374</v>
      </c>
      <c r="J1573" t="s">
        <v>2032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1436</v>
      </c>
      <c r="B1574" t="s">
        <v>2029</v>
      </c>
      <c r="C1574" t="s">
        <v>368</v>
      </c>
      <c r="D1574" t="s">
        <v>523</v>
      </c>
      <c r="E1574" t="s">
        <v>2049</v>
      </c>
      <c r="F1574" t="s">
        <v>2031</v>
      </c>
      <c r="G1574" t="s">
        <v>1436</v>
      </c>
      <c r="H1574" t="s">
        <v>458</v>
      </c>
      <c r="I1574" t="s">
        <v>374</v>
      </c>
      <c r="J1574" t="s">
        <v>2032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1436</v>
      </c>
      <c r="B1575" t="s">
        <v>2050</v>
      </c>
      <c r="C1575" t="s">
        <v>368</v>
      </c>
      <c r="D1575" t="s">
        <v>523</v>
      </c>
      <c r="E1575" t="s">
        <v>2051</v>
      </c>
      <c r="F1575" t="s">
        <v>2052</v>
      </c>
      <c r="G1575" t="s">
        <v>1436</v>
      </c>
      <c r="H1575" t="s">
        <v>458</v>
      </c>
      <c r="I1575" t="s">
        <v>374</v>
      </c>
      <c r="J1575" t="s">
        <v>2053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1436</v>
      </c>
      <c r="B1576" t="s">
        <v>2050</v>
      </c>
      <c r="C1576" t="s">
        <v>368</v>
      </c>
      <c r="D1576" t="s">
        <v>523</v>
      </c>
      <c r="E1576" t="s">
        <v>2054</v>
      </c>
      <c r="F1576" t="s">
        <v>2055</v>
      </c>
      <c r="G1576" t="s">
        <v>1436</v>
      </c>
      <c r="H1576" t="s">
        <v>409</v>
      </c>
      <c r="I1576" t="s">
        <v>374</v>
      </c>
      <c r="J1576" t="s">
        <v>2053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1436</v>
      </c>
      <c r="B1577" t="s">
        <v>2050</v>
      </c>
      <c r="C1577" t="s">
        <v>368</v>
      </c>
      <c r="D1577" t="s">
        <v>523</v>
      </c>
      <c r="E1577" t="s">
        <v>2056</v>
      </c>
      <c r="F1577" t="s">
        <v>2052</v>
      </c>
      <c r="G1577" t="s">
        <v>1436</v>
      </c>
      <c r="H1577" t="s">
        <v>458</v>
      </c>
      <c r="I1577" t="s">
        <v>374</v>
      </c>
      <c r="J1577" t="s">
        <v>2053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1436</v>
      </c>
      <c r="B1578" t="s">
        <v>2050</v>
      </c>
      <c r="C1578" t="s">
        <v>368</v>
      </c>
      <c r="D1578" t="s">
        <v>523</v>
      </c>
      <c r="E1578" t="s">
        <v>2057</v>
      </c>
      <c r="F1578" t="s">
        <v>2055</v>
      </c>
      <c r="G1578" t="s">
        <v>1436</v>
      </c>
      <c r="H1578" t="s">
        <v>409</v>
      </c>
      <c r="I1578" t="s">
        <v>374</v>
      </c>
      <c r="J1578" t="s">
        <v>2053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1436</v>
      </c>
      <c r="B1579" t="s">
        <v>2050</v>
      </c>
      <c r="C1579" t="s">
        <v>368</v>
      </c>
      <c r="D1579" t="s">
        <v>523</v>
      </c>
      <c r="E1579" t="s">
        <v>2058</v>
      </c>
      <c r="F1579" t="s">
        <v>2052</v>
      </c>
      <c r="G1579" t="s">
        <v>1436</v>
      </c>
      <c r="H1579" t="s">
        <v>458</v>
      </c>
      <c r="I1579" t="s">
        <v>374</v>
      </c>
      <c r="J1579" t="s">
        <v>2053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1436</v>
      </c>
      <c r="B1580" t="s">
        <v>2050</v>
      </c>
      <c r="C1580" t="s">
        <v>368</v>
      </c>
      <c r="D1580" t="s">
        <v>523</v>
      </c>
      <c r="E1580" t="s">
        <v>2059</v>
      </c>
      <c r="F1580" t="s">
        <v>2055</v>
      </c>
      <c r="G1580" t="s">
        <v>1436</v>
      </c>
      <c r="H1580" t="s">
        <v>409</v>
      </c>
      <c r="I1580" t="s">
        <v>374</v>
      </c>
      <c r="J1580" t="s">
        <v>2053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1436</v>
      </c>
      <c r="B1581" t="s">
        <v>2050</v>
      </c>
      <c r="C1581" t="s">
        <v>368</v>
      </c>
      <c r="D1581" t="s">
        <v>523</v>
      </c>
      <c r="E1581" t="s">
        <v>2060</v>
      </c>
      <c r="F1581" t="s">
        <v>2052</v>
      </c>
      <c r="G1581" t="s">
        <v>1436</v>
      </c>
      <c r="H1581" t="s">
        <v>458</v>
      </c>
      <c r="I1581" t="s">
        <v>374</v>
      </c>
      <c r="J1581" t="s">
        <v>2053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1436</v>
      </c>
      <c r="B1582" t="s">
        <v>2050</v>
      </c>
      <c r="C1582" t="s">
        <v>368</v>
      </c>
      <c r="D1582" t="s">
        <v>523</v>
      </c>
      <c r="E1582" t="s">
        <v>2061</v>
      </c>
      <c r="F1582" t="s">
        <v>2055</v>
      </c>
      <c r="G1582" t="s">
        <v>1436</v>
      </c>
      <c r="H1582" t="s">
        <v>409</v>
      </c>
      <c r="I1582" t="s">
        <v>374</v>
      </c>
      <c r="J1582" t="s">
        <v>2053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1436</v>
      </c>
      <c r="B1583" t="s">
        <v>2050</v>
      </c>
      <c r="C1583" t="s">
        <v>368</v>
      </c>
      <c r="D1583" t="s">
        <v>523</v>
      </c>
      <c r="E1583" t="s">
        <v>65</v>
      </c>
      <c r="F1583" t="s">
        <v>2052</v>
      </c>
      <c r="G1583" t="s">
        <v>1436</v>
      </c>
      <c r="H1583" t="s">
        <v>458</v>
      </c>
      <c r="I1583" t="s">
        <v>374</v>
      </c>
      <c r="J1583" t="s">
        <v>2053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1436</v>
      </c>
      <c r="B1584" t="s">
        <v>2050</v>
      </c>
      <c r="C1584" t="s">
        <v>368</v>
      </c>
      <c r="D1584" t="s">
        <v>523</v>
      </c>
      <c r="E1584" t="s">
        <v>2062</v>
      </c>
      <c r="F1584" t="s">
        <v>2055</v>
      </c>
      <c r="G1584" t="s">
        <v>1436</v>
      </c>
      <c r="H1584" t="s">
        <v>409</v>
      </c>
      <c r="I1584" t="s">
        <v>374</v>
      </c>
      <c r="J1584" t="s">
        <v>2053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1436</v>
      </c>
      <c r="B1585" t="s">
        <v>2050</v>
      </c>
      <c r="C1585" t="s">
        <v>368</v>
      </c>
      <c r="D1585" t="s">
        <v>523</v>
      </c>
      <c r="E1585" t="s">
        <v>2063</v>
      </c>
      <c r="F1585" t="s">
        <v>2052</v>
      </c>
      <c r="G1585" t="s">
        <v>1436</v>
      </c>
      <c r="H1585" t="s">
        <v>458</v>
      </c>
      <c r="I1585" t="s">
        <v>374</v>
      </c>
      <c r="J1585" t="s">
        <v>2053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1436</v>
      </c>
      <c r="B1586" t="s">
        <v>2050</v>
      </c>
      <c r="C1586" t="s">
        <v>368</v>
      </c>
      <c r="D1586" t="s">
        <v>523</v>
      </c>
      <c r="E1586" t="s">
        <v>2064</v>
      </c>
      <c r="F1586" t="s">
        <v>2055</v>
      </c>
      <c r="G1586" t="s">
        <v>1436</v>
      </c>
      <c r="H1586" t="s">
        <v>409</v>
      </c>
      <c r="I1586" t="s">
        <v>374</v>
      </c>
      <c r="J1586" t="s">
        <v>2053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1436</v>
      </c>
      <c r="B1587" t="s">
        <v>2050</v>
      </c>
      <c r="C1587" t="s">
        <v>368</v>
      </c>
      <c r="D1587" t="s">
        <v>523</v>
      </c>
      <c r="E1587" t="s">
        <v>2065</v>
      </c>
      <c r="F1587" t="s">
        <v>2052</v>
      </c>
      <c r="G1587" t="s">
        <v>1436</v>
      </c>
      <c r="H1587" t="s">
        <v>458</v>
      </c>
      <c r="I1587" t="s">
        <v>374</v>
      </c>
      <c r="J1587" t="s">
        <v>2053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1436</v>
      </c>
      <c r="B1588" t="s">
        <v>2050</v>
      </c>
      <c r="C1588" t="s">
        <v>368</v>
      </c>
      <c r="D1588" t="s">
        <v>523</v>
      </c>
      <c r="E1588" t="s">
        <v>2066</v>
      </c>
      <c r="F1588" t="s">
        <v>2055</v>
      </c>
      <c r="G1588" t="s">
        <v>1436</v>
      </c>
      <c r="H1588" t="s">
        <v>409</v>
      </c>
      <c r="I1588" t="s">
        <v>374</v>
      </c>
      <c r="J1588" t="s">
        <v>2053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1436</v>
      </c>
      <c r="B1589" t="s">
        <v>2050</v>
      </c>
      <c r="C1589" t="s">
        <v>368</v>
      </c>
      <c r="D1589" t="s">
        <v>523</v>
      </c>
      <c r="E1589" t="s">
        <v>2067</v>
      </c>
      <c r="F1589" t="s">
        <v>2052</v>
      </c>
      <c r="G1589" t="s">
        <v>1436</v>
      </c>
      <c r="H1589" t="s">
        <v>458</v>
      </c>
      <c r="I1589" t="s">
        <v>374</v>
      </c>
      <c r="J1589" t="s">
        <v>2053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1436</v>
      </c>
      <c r="B1590" t="s">
        <v>2050</v>
      </c>
      <c r="C1590" t="s">
        <v>368</v>
      </c>
      <c r="D1590" t="s">
        <v>523</v>
      </c>
      <c r="E1590" t="s">
        <v>2068</v>
      </c>
      <c r="F1590" t="s">
        <v>2055</v>
      </c>
      <c r="G1590" t="s">
        <v>1436</v>
      </c>
      <c r="H1590" t="s">
        <v>409</v>
      </c>
      <c r="I1590" t="s">
        <v>374</v>
      </c>
      <c r="J1590" t="s">
        <v>2053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1436</v>
      </c>
      <c r="B1591" t="s">
        <v>2050</v>
      </c>
      <c r="C1591" t="s">
        <v>368</v>
      </c>
      <c r="D1591" t="s">
        <v>523</v>
      </c>
      <c r="E1591" t="s">
        <v>2069</v>
      </c>
      <c r="F1591" t="s">
        <v>2052</v>
      </c>
      <c r="G1591" t="s">
        <v>1436</v>
      </c>
      <c r="H1591" t="s">
        <v>458</v>
      </c>
      <c r="I1591" t="s">
        <v>374</v>
      </c>
      <c r="J1591" t="s">
        <v>2053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1436</v>
      </c>
      <c r="B1592" t="s">
        <v>2050</v>
      </c>
      <c r="C1592" t="s">
        <v>368</v>
      </c>
      <c r="D1592" t="s">
        <v>523</v>
      </c>
      <c r="E1592" t="s">
        <v>2070</v>
      </c>
      <c r="F1592" t="s">
        <v>2055</v>
      </c>
      <c r="G1592" t="s">
        <v>1436</v>
      </c>
      <c r="H1592" t="s">
        <v>409</v>
      </c>
      <c r="I1592" t="s">
        <v>374</v>
      </c>
      <c r="J1592" t="s">
        <v>2053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1436</v>
      </c>
      <c r="B1593" t="s">
        <v>2050</v>
      </c>
      <c r="C1593" t="s">
        <v>368</v>
      </c>
      <c r="D1593" t="s">
        <v>523</v>
      </c>
      <c r="E1593" t="s">
        <v>2071</v>
      </c>
      <c r="F1593" t="s">
        <v>2052</v>
      </c>
      <c r="G1593" t="s">
        <v>1436</v>
      </c>
      <c r="H1593" t="s">
        <v>458</v>
      </c>
      <c r="I1593" t="s">
        <v>374</v>
      </c>
      <c r="J1593" t="s">
        <v>2053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1436</v>
      </c>
      <c r="B1594" t="s">
        <v>2050</v>
      </c>
      <c r="C1594" t="s">
        <v>368</v>
      </c>
      <c r="D1594" t="s">
        <v>523</v>
      </c>
      <c r="E1594" t="s">
        <v>2072</v>
      </c>
      <c r="F1594" t="s">
        <v>2055</v>
      </c>
      <c r="G1594" t="s">
        <v>1436</v>
      </c>
      <c r="H1594" t="s">
        <v>409</v>
      </c>
      <c r="I1594" t="s">
        <v>374</v>
      </c>
      <c r="J1594" t="s">
        <v>2053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1436</v>
      </c>
      <c r="B1595" t="s">
        <v>2050</v>
      </c>
      <c r="C1595" t="s">
        <v>368</v>
      </c>
      <c r="D1595" t="s">
        <v>523</v>
      </c>
      <c r="E1595" t="s">
        <v>2073</v>
      </c>
      <c r="F1595" t="s">
        <v>2052</v>
      </c>
      <c r="G1595" t="s">
        <v>1436</v>
      </c>
      <c r="H1595" t="s">
        <v>458</v>
      </c>
      <c r="I1595" t="s">
        <v>374</v>
      </c>
      <c r="J1595" t="s">
        <v>2053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1436</v>
      </c>
      <c r="B1596" t="s">
        <v>2050</v>
      </c>
      <c r="C1596" t="s">
        <v>368</v>
      </c>
      <c r="D1596" t="s">
        <v>523</v>
      </c>
      <c r="E1596" t="s">
        <v>2074</v>
      </c>
      <c r="F1596" t="s">
        <v>2055</v>
      </c>
      <c r="G1596" t="s">
        <v>1436</v>
      </c>
      <c r="H1596" t="s">
        <v>409</v>
      </c>
      <c r="I1596" t="s">
        <v>374</v>
      </c>
      <c r="J1596" t="s">
        <v>2053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1436</v>
      </c>
      <c r="B1597" t="s">
        <v>2050</v>
      </c>
      <c r="C1597" t="s">
        <v>368</v>
      </c>
      <c r="D1597" t="s">
        <v>523</v>
      </c>
      <c r="E1597" t="s">
        <v>2075</v>
      </c>
      <c r="F1597" t="s">
        <v>2052</v>
      </c>
      <c r="G1597" t="s">
        <v>1436</v>
      </c>
      <c r="H1597" t="s">
        <v>458</v>
      </c>
      <c r="I1597" t="s">
        <v>374</v>
      </c>
      <c r="J1597" t="s">
        <v>2053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1436</v>
      </c>
      <c r="B1598" t="s">
        <v>2050</v>
      </c>
      <c r="C1598" t="s">
        <v>368</v>
      </c>
      <c r="D1598" t="s">
        <v>523</v>
      </c>
      <c r="E1598" t="s">
        <v>2076</v>
      </c>
      <c r="F1598" t="s">
        <v>2055</v>
      </c>
      <c r="G1598" t="s">
        <v>1436</v>
      </c>
      <c r="H1598" t="s">
        <v>409</v>
      </c>
      <c r="I1598" t="s">
        <v>374</v>
      </c>
      <c r="J1598" t="s">
        <v>2053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1436</v>
      </c>
      <c r="B1599" t="s">
        <v>2050</v>
      </c>
      <c r="C1599" t="s">
        <v>368</v>
      </c>
      <c r="D1599" t="s">
        <v>523</v>
      </c>
      <c r="E1599" t="s">
        <v>2077</v>
      </c>
      <c r="F1599" t="s">
        <v>2052</v>
      </c>
      <c r="G1599" t="s">
        <v>1436</v>
      </c>
      <c r="H1599" t="s">
        <v>458</v>
      </c>
      <c r="I1599" t="s">
        <v>374</v>
      </c>
      <c r="J1599" t="s">
        <v>2053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1436</v>
      </c>
      <c r="B1600" t="s">
        <v>2050</v>
      </c>
      <c r="C1600" t="s">
        <v>368</v>
      </c>
      <c r="D1600" t="s">
        <v>523</v>
      </c>
      <c r="E1600" t="s">
        <v>2078</v>
      </c>
      <c r="F1600" t="s">
        <v>2055</v>
      </c>
      <c r="G1600" t="s">
        <v>1436</v>
      </c>
      <c r="H1600" t="s">
        <v>409</v>
      </c>
      <c r="I1600" t="s">
        <v>374</v>
      </c>
      <c r="J1600" t="s">
        <v>2053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1436</v>
      </c>
      <c r="B1601" t="s">
        <v>2050</v>
      </c>
      <c r="C1601" t="s">
        <v>609</v>
      </c>
      <c r="D1601" t="s">
        <v>523</v>
      </c>
      <c r="E1601" t="s">
        <v>2079</v>
      </c>
      <c r="F1601" t="s">
        <v>2052</v>
      </c>
      <c r="G1601" t="s">
        <v>1436</v>
      </c>
      <c r="H1601" t="s">
        <v>458</v>
      </c>
      <c r="I1601" t="s">
        <v>374</v>
      </c>
      <c r="J1601" t="s">
        <v>2053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1436</v>
      </c>
      <c r="B1602" t="s">
        <v>2050</v>
      </c>
      <c r="C1602" t="s">
        <v>609</v>
      </c>
      <c r="D1602" t="s">
        <v>523</v>
      </c>
      <c r="E1602" t="s">
        <v>2080</v>
      </c>
      <c r="F1602" t="s">
        <v>2055</v>
      </c>
      <c r="G1602" t="s">
        <v>1436</v>
      </c>
      <c r="H1602" t="s">
        <v>409</v>
      </c>
      <c r="I1602" t="s">
        <v>374</v>
      </c>
      <c r="J1602" t="s">
        <v>2053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1436</v>
      </c>
      <c r="B1603" t="s">
        <v>2050</v>
      </c>
      <c r="C1603" t="s">
        <v>609</v>
      </c>
      <c r="D1603" t="s">
        <v>523</v>
      </c>
      <c r="E1603" t="s">
        <v>2081</v>
      </c>
      <c r="F1603" t="s">
        <v>2052</v>
      </c>
      <c r="G1603" t="s">
        <v>1436</v>
      </c>
      <c r="H1603" t="s">
        <v>458</v>
      </c>
      <c r="I1603" t="s">
        <v>374</v>
      </c>
      <c r="J1603" t="s">
        <v>2053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1436</v>
      </c>
      <c r="B1604" t="s">
        <v>2050</v>
      </c>
      <c r="C1604" t="s">
        <v>609</v>
      </c>
      <c r="D1604" t="s">
        <v>523</v>
      </c>
      <c r="E1604" t="s">
        <v>2082</v>
      </c>
      <c r="F1604" t="s">
        <v>2055</v>
      </c>
      <c r="G1604" t="s">
        <v>1436</v>
      </c>
      <c r="H1604" t="s">
        <v>409</v>
      </c>
      <c r="I1604" t="s">
        <v>374</v>
      </c>
      <c r="J1604" t="s">
        <v>2053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1436</v>
      </c>
      <c r="B1605" t="s">
        <v>2050</v>
      </c>
      <c r="C1605" t="s">
        <v>609</v>
      </c>
      <c r="D1605" t="s">
        <v>523</v>
      </c>
      <c r="E1605" t="s">
        <v>2083</v>
      </c>
      <c r="F1605" t="s">
        <v>2052</v>
      </c>
      <c r="G1605" t="s">
        <v>1436</v>
      </c>
      <c r="H1605" t="s">
        <v>458</v>
      </c>
      <c r="I1605" t="s">
        <v>374</v>
      </c>
      <c r="J1605" t="s">
        <v>2053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1436</v>
      </c>
      <c r="B1606" t="s">
        <v>2050</v>
      </c>
      <c r="C1606" t="s">
        <v>609</v>
      </c>
      <c r="D1606" t="s">
        <v>523</v>
      </c>
      <c r="E1606" t="s">
        <v>2084</v>
      </c>
      <c r="F1606" t="s">
        <v>2055</v>
      </c>
      <c r="G1606" t="s">
        <v>1436</v>
      </c>
      <c r="H1606" t="s">
        <v>409</v>
      </c>
      <c r="I1606" t="s">
        <v>374</v>
      </c>
      <c r="J1606" t="s">
        <v>2053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1436</v>
      </c>
      <c r="B1607" t="s">
        <v>2050</v>
      </c>
      <c r="C1607" t="s">
        <v>609</v>
      </c>
      <c r="D1607" t="s">
        <v>523</v>
      </c>
      <c r="E1607" t="s">
        <v>2085</v>
      </c>
      <c r="F1607" t="s">
        <v>2052</v>
      </c>
      <c r="G1607" t="s">
        <v>1436</v>
      </c>
      <c r="H1607" t="s">
        <v>458</v>
      </c>
      <c r="I1607" t="s">
        <v>374</v>
      </c>
      <c r="J1607" t="s">
        <v>2053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1436</v>
      </c>
      <c r="B1608" t="s">
        <v>2050</v>
      </c>
      <c r="C1608" t="s">
        <v>609</v>
      </c>
      <c r="D1608" t="s">
        <v>523</v>
      </c>
      <c r="E1608" t="s">
        <v>2086</v>
      </c>
      <c r="F1608" t="s">
        <v>2055</v>
      </c>
      <c r="G1608" t="s">
        <v>1436</v>
      </c>
      <c r="H1608" t="s">
        <v>409</v>
      </c>
      <c r="I1608" t="s">
        <v>374</v>
      </c>
      <c r="J1608" t="s">
        <v>2053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1436</v>
      </c>
      <c r="B1609" t="s">
        <v>2050</v>
      </c>
      <c r="C1609" t="s">
        <v>609</v>
      </c>
      <c r="D1609" t="s">
        <v>523</v>
      </c>
      <c r="E1609" t="s">
        <v>2087</v>
      </c>
      <c r="F1609" t="s">
        <v>2052</v>
      </c>
      <c r="G1609" t="s">
        <v>1436</v>
      </c>
      <c r="H1609" t="s">
        <v>458</v>
      </c>
      <c r="I1609" t="s">
        <v>374</v>
      </c>
      <c r="J1609" t="s">
        <v>2053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1436</v>
      </c>
      <c r="B1610" t="s">
        <v>2050</v>
      </c>
      <c r="C1610" t="s">
        <v>609</v>
      </c>
      <c r="D1610" t="s">
        <v>523</v>
      </c>
      <c r="E1610" t="s">
        <v>2088</v>
      </c>
      <c r="F1610" t="s">
        <v>2055</v>
      </c>
      <c r="G1610" t="s">
        <v>1436</v>
      </c>
      <c r="H1610" t="s">
        <v>409</v>
      </c>
      <c r="I1610" t="s">
        <v>374</v>
      </c>
      <c r="J1610" t="s">
        <v>2053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1436</v>
      </c>
      <c r="B1611" t="s">
        <v>2050</v>
      </c>
      <c r="C1611" t="s">
        <v>368</v>
      </c>
      <c r="D1611" t="s">
        <v>523</v>
      </c>
      <c r="E1611" t="s">
        <v>2089</v>
      </c>
      <c r="F1611" t="s">
        <v>2052</v>
      </c>
      <c r="G1611" t="s">
        <v>1436</v>
      </c>
      <c r="H1611" t="s">
        <v>458</v>
      </c>
      <c r="I1611" t="s">
        <v>374</v>
      </c>
      <c r="J1611" t="s">
        <v>2053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1436</v>
      </c>
      <c r="B1612" t="s">
        <v>2050</v>
      </c>
      <c r="C1612" t="s">
        <v>368</v>
      </c>
      <c r="D1612" t="s">
        <v>523</v>
      </c>
      <c r="E1612" t="s">
        <v>2090</v>
      </c>
      <c r="F1612" t="s">
        <v>2055</v>
      </c>
      <c r="G1612" t="s">
        <v>1436</v>
      </c>
      <c r="H1612" t="s">
        <v>409</v>
      </c>
      <c r="I1612" t="s">
        <v>374</v>
      </c>
      <c r="J1612" t="s">
        <v>2053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1436</v>
      </c>
      <c r="B1613" t="s">
        <v>2050</v>
      </c>
      <c r="C1613" t="s">
        <v>368</v>
      </c>
      <c r="D1613" t="s">
        <v>523</v>
      </c>
      <c r="E1613" t="s">
        <v>2091</v>
      </c>
      <c r="F1613" t="s">
        <v>2052</v>
      </c>
      <c r="G1613" t="s">
        <v>1436</v>
      </c>
      <c r="H1613" t="s">
        <v>458</v>
      </c>
      <c r="I1613" t="s">
        <v>374</v>
      </c>
      <c r="J1613" t="s">
        <v>2053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1436</v>
      </c>
      <c r="B1614" t="s">
        <v>2050</v>
      </c>
      <c r="C1614" t="s">
        <v>368</v>
      </c>
      <c r="D1614" t="s">
        <v>523</v>
      </c>
      <c r="E1614" t="s">
        <v>2092</v>
      </c>
      <c r="F1614" t="s">
        <v>2055</v>
      </c>
      <c r="G1614" t="s">
        <v>1436</v>
      </c>
      <c r="H1614" t="s">
        <v>409</v>
      </c>
      <c r="I1614" t="s">
        <v>374</v>
      </c>
      <c r="J1614" t="s">
        <v>2053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1436</v>
      </c>
      <c r="B1615" t="s">
        <v>1437</v>
      </c>
      <c r="C1615" t="s">
        <v>368</v>
      </c>
      <c r="D1615" t="s">
        <v>523</v>
      </c>
      <c r="E1615" t="s">
        <v>72</v>
      </c>
      <c r="F1615" t="s">
        <v>2093</v>
      </c>
      <c r="G1615" t="s">
        <v>1436</v>
      </c>
      <c r="H1615" t="s">
        <v>458</v>
      </c>
      <c r="I1615" t="s">
        <v>374</v>
      </c>
      <c r="J1615" t="s">
        <v>386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1436</v>
      </c>
      <c r="B1616" t="s">
        <v>1437</v>
      </c>
      <c r="C1616" t="s">
        <v>368</v>
      </c>
      <c r="D1616" t="s">
        <v>523</v>
      </c>
      <c r="E1616" t="s">
        <v>313</v>
      </c>
      <c r="F1616" t="s">
        <v>2094</v>
      </c>
      <c r="G1616" t="s">
        <v>1436</v>
      </c>
      <c r="H1616" t="s">
        <v>409</v>
      </c>
      <c r="I1616" t="s">
        <v>374</v>
      </c>
      <c r="J1616" t="s">
        <v>386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1436</v>
      </c>
      <c r="B1617" t="s">
        <v>1437</v>
      </c>
      <c r="C1617" t="s">
        <v>368</v>
      </c>
      <c r="D1617" t="s">
        <v>523</v>
      </c>
      <c r="E1617" t="s">
        <v>2095</v>
      </c>
      <c r="F1617" t="s">
        <v>2096</v>
      </c>
      <c r="G1617" t="s">
        <v>1436</v>
      </c>
      <c r="H1617" t="s">
        <v>2097</v>
      </c>
      <c r="I1617" t="s">
        <v>374</v>
      </c>
      <c r="J1617" t="s">
        <v>386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1436</v>
      </c>
      <c r="B1618" t="s">
        <v>2098</v>
      </c>
      <c r="C1618" t="s">
        <v>368</v>
      </c>
      <c r="D1618" t="s">
        <v>523</v>
      </c>
      <c r="E1618" t="s">
        <v>275</v>
      </c>
      <c r="F1618" t="s">
        <v>2099</v>
      </c>
      <c r="G1618" t="s">
        <v>1436</v>
      </c>
      <c r="H1618" t="s">
        <v>2100</v>
      </c>
      <c r="I1618" t="s">
        <v>374</v>
      </c>
      <c r="J1618" t="s">
        <v>2101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1436</v>
      </c>
      <c r="B1619" t="s">
        <v>1437</v>
      </c>
      <c r="C1619" t="s">
        <v>368</v>
      </c>
      <c r="D1619" t="s">
        <v>523</v>
      </c>
      <c r="E1619" t="s">
        <v>2102</v>
      </c>
      <c r="F1619" t="s">
        <v>2093</v>
      </c>
      <c r="G1619" t="s">
        <v>1436</v>
      </c>
      <c r="H1619" t="s">
        <v>458</v>
      </c>
      <c r="I1619" t="s">
        <v>374</v>
      </c>
      <c r="J1619" t="s">
        <v>386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1436</v>
      </c>
      <c r="B1620" t="s">
        <v>1437</v>
      </c>
      <c r="C1620" t="s">
        <v>368</v>
      </c>
      <c r="D1620" t="s">
        <v>523</v>
      </c>
      <c r="E1620" t="s">
        <v>2103</v>
      </c>
      <c r="F1620" t="s">
        <v>2094</v>
      </c>
      <c r="G1620" t="s">
        <v>1436</v>
      </c>
      <c r="H1620" t="s">
        <v>409</v>
      </c>
      <c r="I1620" t="s">
        <v>374</v>
      </c>
      <c r="J1620" t="s">
        <v>386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1436</v>
      </c>
      <c r="B1621" t="s">
        <v>1437</v>
      </c>
      <c r="C1621" t="s">
        <v>368</v>
      </c>
      <c r="D1621" t="s">
        <v>523</v>
      </c>
      <c r="E1621" t="s">
        <v>2104</v>
      </c>
      <c r="F1621" t="s">
        <v>2096</v>
      </c>
      <c r="G1621" t="s">
        <v>1436</v>
      </c>
      <c r="H1621" t="s">
        <v>2097</v>
      </c>
      <c r="I1621" t="s">
        <v>374</v>
      </c>
      <c r="J1621" t="s">
        <v>386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1436</v>
      </c>
      <c r="B1622" t="s">
        <v>2098</v>
      </c>
      <c r="C1622" t="s">
        <v>368</v>
      </c>
      <c r="D1622" t="s">
        <v>523</v>
      </c>
      <c r="E1622" t="s">
        <v>2105</v>
      </c>
      <c r="F1622" t="s">
        <v>2099</v>
      </c>
      <c r="G1622" t="s">
        <v>1436</v>
      </c>
      <c r="H1622" t="s">
        <v>2100</v>
      </c>
      <c r="I1622" t="s">
        <v>374</v>
      </c>
      <c r="J1622" t="s">
        <v>2101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1436</v>
      </c>
      <c r="B1623" t="s">
        <v>1437</v>
      </c>
      <c r="C1623" t="s">
        <v>368</v>
      </c>
      <c r="D1623" t="s">
        <v>523</v>
      </c>
      <c r="E1623" t="s">
        <v>271</v>
      </c>
      <c r="F1623" t="s">
        <v>2093</v>
      </c>
      <c r="G1623" t="s">
        <v>1436</v>
      </c>
      <c r="H1623" t="s">
        <v>458</v>
      </c>
      <c r="I1623" t="s">
        <v>374</v>
      </c>
      <c r="J1623" t="s">
        <v>386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1436</v>
      </c>
      <c r="B1624" t="s">
        <v>1437</v>
      </c>
      <c r="C1624" t="s">
        <v>368</v>
      </c>
      <c r="D1624" t="s">
        <v>523</v>
      </c>
      <c r="E1624" t="s">
        <v>279</v>
      </c>
      <c r="F1624" t="s">
        <v>2094</v>
      </c>
      <c r="G1624" t="s">
        <v>1436</v>
      </c>
      <c r="H1624" t="s">
        <v>409</v>
      </c>
      <c r="I1624" t="s">
        <v>374</v>
      </c>
      <c r="J1624" t="s">
        <v>386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1436</v>
      </c>
      <c r="B1625" t="s">
        <v>1437</v>
      </c>
      <c r="C1625" t="s">
        <v>368</v>
      </c>
      <c r="D1625" t="s">
        <v>523</v>
      </c>
      <c r="E1625" t="s">
        <v>2106</v>
      </c>
      <c r="F1625" t="s">
        <v>2096</v>
      </c>
      <c r="G1625" t="s">
        <v>1436</v>
      </c>
      <c r="H1625" t="s">
        <v>2097</v>
      </c>
      <c r="I1625" t="s">
        <v>374</v>
      </c>
      <c r="J1625" t="s">
        <v>386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1436</v>
      </c>
      <c r="B1626" t="s">
        <v>2098</v>
      </c>
      <c r="C1626" t="s">
        <v>368</v>
      </c>
      <c r="D1626" t="s">
        <v>523</v>
      </c>
      <c r="E1626" t="s">
        <v>2107</v>
      </c>
      <c r="F1626" t="s">
        <v>2099</v>
      </c>
      <c r="G1626" t="s">
        <v>1436</v>
      </c>
      <c r="H1626" t="s">
        <v>2100</v>
      </c>
      <c r="I1626" t="s">
        <v>374</v>
      </c>
      <c r="J1626" t="s">
        <v>2101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1436</v>
      </c>
      <c r="B1627" t="s">
        <v>1437</v>
      </c>
      <c r="C1627" t="s">
        <v>368</v>
      </c>
      <c r="D1627" t="s">
        <v>523</v>
      </c>
      <c r="E1627" t="s">
        <v>2108</v>
      </c>
      <c r="F1627" t="s">
        <v>2093</v>
      </c>
      <c r="G1627" t="s">
        <v>1436</v>
      </c>
      <c r="H1627" t="s">
        <v>458</v>
      </c>
      <c r="I1627" t="s">
        <v>374</v>
      </c>
      <c r="J1627" t="s">
        <v>386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1436</v>
      </c>
      <c r="B1628" t="s">
        <v>1437</v>
      </c>
      <c r="C1628" t="s">
        <v>368</v>
      </c>
      <c r="D1628" t="s">
        <v>523</v>
      </c>
      <c r="E1628" t="s">
        <v>2109</v>
      </c>
      <c r="F1628" t="s">
        <v>2094</v>
      </c>
      <c r="G1628" t="s">
        <v>1436</v>
      </c>
      <c r="H1628" t="s">
        <v>409</v>
      </c>
      <c r="I1628" t="s">
        <v>374</v>
      </c>
      <c r="J1628" t="s">
        <v>386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1436</v>
      </c>
      <c r="B1629" t="s">
        <v>1437</v>
      </c>
      <c r="C1629" t="s">
        <v>368</v>
      </c>
      <c r="D1629" t="s">
        <v>523</v>
      </c>
      <c r="E1629" t="s">
        <v>2110</v>
      </c>
      <c r="F1629" t="s">
        <v>2096</v>
      </c>
      <c r="G1629" t="s">
        <v>1436</v>
      </c>
      <c r="H1629" t="s">
        <v>2097</v>
      </c>
      <c r="I1629" t="s">
        <v>374</v>
      </c>
      <c r="J1629" t="s">
        <v>386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1436</v>
      </c>
      <c r="B1630" t="s">
        <v>2098</v>
      </c>
      <c r="C1630" t="s">
        <v>368</v>
      </c>
      <c r="D1630" t="s">
        <v>523</v>
      </c>
      <c r="E1630" t="s">
        <v>2111</v>
      </c>
      <c r="F1630" t="s">
        <v>2099</v>
      </c>
      <c r="G1630" t="s">
        <v>1436</v>
      </c>
      <c r="H1630" t="s">
        <v>2100</v>
      </c>
      <c r="I1630" t="s">
        <v>374</v>
      </c>
      <c r="J1630" t="s">
        <v>2101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1436</v>
      </c>
      <c r="B1631" t="s">
        <v>1437</v>
      </c>
      <c r="C1631" t="s">
        <v>368</v>
      </c>
      <c r="D1631" t="s">
        <v>523</v>
      </c>
      <c r="E1631" t="s">
        <v>270</v>
      </c>
      <c r="F1631" t="s">
        <v>2093</v>
      </c>
      <c r="G1631" t="s">
        <v>1436</v>
      </c>
      <c r="H1631" t="s">
        <v>458</v>
      </c>
      <c r="I1631" t="s">
        <v>374</v>
      </c>
      <c r="J1631" t="s">
        <v>386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1436</v>
      </c>
      <c r="B1632" t="s">
        <v>1437</v>
      </c>
      <c r="C1632" t="s">
        <v>368</v>
      </c>
      <c r="D1632" t="s">
        <v>523</v>
      </c>
      <c r="E1632" t="s">
        <v>314</v>
      </c>
      <c r="F1632" t="s">
        <v>2094</v>
      </c>
      <c r="G1632" t="s">
        <v>1436</v>
      </c>
      <c r="H1632" t="s">
        <v>409</v>
      </c>
      <c r="I1632" t="s">
        <v>374</v>
      </c>
      <c r="J1632" t="s">
        <v>386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1436</v>
      </c>
      <c r="B1633" t="s">
        <v>1437</v>
      </c>
      <c r="C1633" t="s">
        <v>368</v>
      </c>
      <c r="D1633" t="s">
        <v>523</v>
      </c>
      <c r="E1633" t="s">
        <v>2112</v>
      </c>
      <c r="F1633" t="s">
        <v>2096</v>
      </c>
      <c r="G1633" t="s">
        <v>1436</v>
      </c>
      <c r="H1633" t="s">
        <v>2097</v>
      </c>
      <c r="I1633" t="s">
        <v>374</v>
      </c>
      <c r="J1633" t="s">
        <v>386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1436</v>
      </c>
      <c r="B1634" t="s">
        <v>2098</v>
      </c>
      <c r="C1634" t="s">
        <v>368</v>
      </c>
      <c r="D1634" t="s">
        <v>523</v>
      </c>
      <c r="E1634" t="s">
        <v>2113</v>
      </c>
      <c r="F1634" t="s">
        <v>2099</v>
      </c>
      <c r="G1634" t="s">
        <v>1436</v>
      </c>
      <c r="H1634" t="s">
        <v>2100</v>
      </c>
      <c r="I1634" t="s">
        <v>374</v>
      </c>
      <c r="J1634" t="s">
        <v>2101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1436</v>
      </c>
      <c r="B1635" t="s">
        <v>1437</v>
      </c>
      <c r="C1635" t="s">
        <v>368</v>
      </c>
      <c r="D1635" t="s">
        <v>523</v>
      </c>
      <c r="E1635" t="s">
        <v>2114</v>
      </c>
      <c r="F1635" t="s">
        <v>2093</v>
      </c>
      <c r="G1635" t="s">
        <v>1436</v>
      </c>
      <c r="H1635" t="s">
        <v>458</v>
      </c>
      <c r="I1635" t="s">
        <v>374</v>
      </c>
      <c r="J1635" t="s">
        <v>386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1436</v>
      </c>
      <c r="B1636" t="s">
        <v>1437</v>
      </c>
      <c r="C1636" t="s">
        <v>368</v>
      </c>
      <c r="D1636" t="s">
        <v>523</v>
      </c>
      <c r="E1636" t="s">
        <v>2115</v>
      </c>
      <c r="F1636" t="s">
        <v>2094</v>
      </c>
      <c r="G1636" t="s">
        <v>1436</v>
      </c>
      <c r="H1636" t="s">
        <v>409</v>
      </c>
      <c r="I1636" t="s">
        <v>374</v>
      </c>
      <c r="J1636" t="s">
        <v>386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1436</v>
      </c>
      <c r="B1637" t="s">
        <v>1437</v>
      </c>
      <c r="C1637" t="s">
        <v>368</v>
      </c>
      <c r="D1637" t="s">
        <v>523</v>
      </c>
      <c r="E1637" t="s">
        <v>2116</v>
      </c>
      <c r="F1637" t="s">
        <v>2096</v>
      </c>
      <c r="G1637" t="s">
        <v>1436</v>
      </c>
      <c r="H1637" t="s">
        <v>2097</v>
      </c>
      <c r="I1637" t="s">
        <v>374</v>
      </c>
      <c r="J1637" t="s">
        <v>386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1436</v>
      </c>
      <c r="B1638" t="s">
        <v>2098</v>
      </c>
      <c r="C1638" t="s">
        <v>368</v>
      </c>
      <c r="D1638" t="s">
        <v>523</v>
      </c>
      <c r="E1638" t="s">
        <v>2117</v>
      </c>
      <c r="F1638" t="s">
        <v>2099</v>
      </c>
      <c r="G1638" t="s">
        <v>1436</v>
      </c>
      <c r="H1638" t="s">
        <v>2100</v>
      </c>
      <c r="I1638" t="s">
        <v>374</v>
      </c>
      <c r="J1638" t="s">
        <v>2101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1436</v>
      </c>
      <c r="B1639" t="s">
        <v>1437</v>
      </c>
      <c r="C1639" t="s">
        <v>368</v>
      </c>
      <c r="D1639" t="s">
        <v>523</v>
      </c>
      <c r="E1639" t="s">
        <v>272</v>
      </c>
      <c r="F1639" t="s">
        <v>2093</v>
      </c>
      <c r="G1639" t="s">
        <v>1436</v>
      </c>
      <c r="H1639" t="s">
        <v>458</v>
      </c>
      <c r="I1639" t="s">
        <v>374</v>
      </c>
      <c r="J1639" t="s">
        <v>386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1436</v>
      </c>
      <c r="B1640" t="s">
        <v>1437</v>
      </c>
      <c r="C1640" t="s">
        <v>368</v>
      </c>
      <c r="D1640" t="s">
        <v>523</v>
      </c>
      <c r="E1640" t="s">
        <v>280</v>
      </c>
      <c r="F1640" t="s">
        <v>2094</v>
      </c>
      <c r="G1640" t="s">
        <v>1436</v>
      </c>
      <c r="H1640" t="s">
        <v>409</v>
      </c>
      <c r="I1640" t="s">
        <v>374</v>
      </c>
      <c r="J1640" t="s">
        <v>386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1436</v>
      </c>
      <c r="B1641" t="s">
        <v>1437</v>
      </c>
      <c r="C1641" t="s">
        <v>368</v>
      </c>
      <c r="D1641" t="s">
        <v>523</v>
      </c>
      <c r="E1641" t="s">
        <v>2118</v>
      </c>
      <c r="F1641" t="s">
        <v>2096</v>
      </c>
      <c r="G1641" t="s">
        <v>1436</v>
      </c>
      <c r="H1641" t="s">
        <v>2097</v>
      </c>
      <c r="I1641" t="s">
        <v>374</v>
      </c>
      <c r="J1641" t="s">
        <v>386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1436</v>
      </c>
      <c r="B1642" t="s">
        <v>2098</v>
      </c>
      <c r="C1642" t="s">
        <v>368</v>
      </c>
      <c r="D1642" t="s">
        <v>523</v>
      </c>
      <c r="E1642" t="s">
        <v>2119</v>
      </c>
      <c r="F1642" t="s">
        <v>2099</v>
      </c>
      <c r="G1642" t="s">
        <v>1436</v>
      </c>
      <c r="H1642" t="s">
        <v>2100</v>
      </c>
      <c r="I1642" t="s">
        <v>374</v>
      </c>
      <c r="J1642" t="s">
        <v>2101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1436</v>
      </c>
      <c r="B1643" t="s">
        <v>1437</v>
      </c>
      <c r="C1643" t="s">
        <v>368</v>
      </c>
      <c r="D1643" t="s">
        <v>523</v>
      </c>
      <c r="E1643" t="s">
        <v>2120</v>
      </c>
      <c r="F1643" t="s">
        <v>2093</v>
      </c>
      <c r="G1643" t="s">
        <v>1436</v>
      </c>
      <c r="H1643" t="s">
        <v>458</v>
      </c>
      <c r="I1643" t="s">
        <v>374</v>
      </c>
      <c r="J1643" t="s">
        <v>386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1436</v>
      </c>
      <c r="B1644" t="s">
        <v>1437</v>
      </c>
      <c r="C1644" t="s">
        <v>368</v>
      </c>
      <c r="D1644" t="s">
        <v>523</v>
      </c>
      <c r="E1644" t="s">
        <v>2121</v>
      </c>
      <c r="F1644" t="s">
        <v>2094</v>
      </c>
      <c r="G1644" t="s">
        <v>1436</v>
      </c>
      <c r="H1644" t="s">
        <v>409</v>
      </c>
      <c r="I1644" t="s">
        <v>374</v>
      </c>
      <c r="J1644" t="s">
        <v>386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1436</v>
      </c>
      <c r="B1645" t="s">
        <v>1437</v>
      </c>
      <c r="C1645" t="s">
        <v>368</v>
      </c>
      <c r="D1645" t="s">
        <v>523</v>
      </c>
      <c r="E1645" t="s">
        <v>2122</v>
      </c>
      <c r="F1645" t="s">
        <v>2096</v>
      </c>
      <c r="G1645" t="s">
        <v>1436</v>
      </c>
      <c r="H1645" t="s">
        <v>2097</v>
      </c>
      <c r="I1645" t="s">
        <v>374</v>
      </c>
      <c r="J1645" t="s">
        <v>386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1436</v>
      </c>
      <c r="B1646" t="s">
        <v>2098</v>
      </c>
      <c r="C1646" t="s">
        <v>368</v>
      </c>
      <c r="D1646" t="s">
        <v>523</v>
      </c>
      <c r="E1646" t="s">
        <v>2123</v>
      </c>
      <c r="F1646" t="s">
        <v>2099</v>
      </c>
      <c r="G1646" t="s">
        <v>1436</v>
      </c>
      <c r="H1646" t="s">
        <v>2100</v>
      </c>
      <c r="I1646" t="s">
        <v>374</v>
      </c>
      <c r="J1646" t="s">
        <v>2101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1436</v>
      </c>
      <c r="B1647" t="s">
        <v>1437</v>
      </c>
      <c r="C1647" t="s">
        <v>368</v>
      </c>
      <c r="D1647" t="s">
        <v>523</v>
      </c>
      <c r="E1647" t="s">
        <v>278</v>
      </c>
      <c r="F1647" t="s">
        <v>2093</v>
      </c>
      <c r="G1647" t="s">
        <v>1436</v>
      </c>
      <c r="H1647" t="s">
        <v>458</v>
      </c>
      <c r="I1647" t="s">
        <v>374</v>
      </c>
      <c r="J1647" t="s">
        <v>386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1436</v>
      </c>
      <c r="B1648" t="s">
        <v>1437</v>
      </c>
      <c r="C1648" t="s">
        <v>368</v>
      </c>
      <c r="D1648" t="s">
        <v>523</v>
      </c>
      <c r="E1648" t="s">
        <v>281</v>
      </c>
      <c r="F1648" t="s">
        <v>2094</v>
      </c>
      <c r="G1648" t="s">
        <v>1436</v>
      </c>
      <c r="H1648" t="s">
        <v>409</v>
      </c>
      <c r="I1648" t="s">
        <v>374</v>
      </c>
      <c r="J1648" t="s">
        <v>386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1436</v>
      </c>
      <c r="B1649" t="s">
        <v>1437</v>
      </c>
      <c r="C1649" t="s">
        <v>368</v>
      </c>
      <c r="D1649" t="s">
        <v>523</v>
      </c>
      <c r="E1649" t="s">
        <v>2124</v>
      </c>
      <c r="F1649" t="s">
        <v>2096</v>
      </c>
      <c r="G1649" t="s">
        <v>1436</v>
      </c>
      <c r="H1649" t="s">
        <v>2097</v>
      </c>
      <c r="I1649" t="s">
        <v>374</v>
      </c>
      <c r="J1649" t="s">
        <v>386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1436</v>
      </c>
      <c r="B1650" t="s">
        <v>2098</v>
      </c>
      <c r="C1650" t="s">
        <v>368</v>
      </c>
      <c r="D1650" t="s">
        <v>523</v>
      </c>
      <c r="E1650" t="s">
        <v>2125</v>
      </c>
      <c r="F1650" t="s">
        <v>2099</v>
      </c>
      <c r="G1650" t="s">
        <v>1436</v>
      </c>
      <c r="H1650" t="s">
        <v>2100</v>
      </c>
      <c r="I1650" t="s">
        <v>374</v>
      </c>
      <c r="J1650" t="s">
        <v>2101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1436</v>
      </c>
      <c r="B1651" t="s">
        <v>1437</v>
      </c>
      <c r="C1651" t="s">
        <v>368</v>
      </c>
      <c r="D1651" t="s">
        <v>523</v>
      </c>
      <c r="E1651" t="s">
        <v>2126</v>
      </c>
      <c r="F1651" t="s">
        <v>2093</v>
      </c>
      <c r="G1651" t="s">
        <v>1436</v>
      </c>
      <c r="H1651" t="s">
        <v>458</v>
      </c>
      <c r="I1651" t="s">
        <v>374</v>
      </c>
      <c r="J1651" t="s">
        <v>386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1436</v>
      </c>
      <c r="B1652" t="s">
        <v>1437</v>
      </c>
      <c r="C1652" t="s">
        <v>368</v>
      </c>
      <c r="D1652" t="s">
        <v>523</v>
      </c>
      <c r="E1652" t="s">
        <v>2127</v>
      </c>
      <c r="F1652" t="s">
        <v>2094</v>
      </c>
      <c r="G1652" t="s">
        <v>1436</v>
      </c>
      <c r="H1652" t="s">
        <v>409</v>
      </c>
      <c r="I1652" t="s">
        <v>374</v>
      </c>
      <c r="J1652" t="s">
        <v>386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1436</v>
      </c>
      <c r="B1653" t="s">
        <v>1437</v>
      </c>
      <c r="C1653" t="s">
        <v>368</v>
      </c>
      <c r="D1653" t="s">
        <v>523</v>
      </c>
      <c r="E1653" t="s">
        <v>2128</v>
      </c>
      <c r="F1653" t="s">
        <v>2096</v>
      </c>
      <c r="G1653" t="s">
        <v>1436</v>
      </c>
      <c r="H1653" t="s">
        <v>2097</v>
      </c>
      <c r="I1653" t="s">
        <v>374</v>
      </c>
      <c r="J1653" t="s">
        <v>386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1436</v>
      </c>
      <c r="B1654" t="s">
        <v>2098</v>
      </c>
      <c r="C1654" t="s">
        <v>368</v>
      </c>
      <c r="D1654" t="s">
        <v>523</v>
      </c>
      <c r="E1654" t="s">
        <v>2129</v>
      </c>
      <c r="F1654" t="s">
        <v>2099</v>
      </c>
      <c r="G1654" t="s">
        <v>1436</v>
      </c>
      <c r="H1654" t="s">
        <v>2100</v>
      </c>
      <c r="I1654" t="s">
        <v>374</v>
      </c>
      <c r="J1654" t="s">
        <v>2101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1436</v>
      </c>
      <c r="B1655" t="s">
        <v>1437</v>
      </c>
      <c r="C1655" t="s">
        <v>368</v>
      </c>
      <c r="D1655" t="s">
        <v>523</v>
      </c>
      <c r="E1655" t="s">
        <v>273</v>
      </c>
      <c r="F1655" t="s">
        <v>2093</v>
      </c>
      <c r="G1655" t="s">
        <v>1436</v>
      </c>
      <c r="H1655" t="s">
        <v>458</v>
      </c>
      <c r="I1655" t="s">
        <v>374</v>
      </c>
      <c r="J1655" t="s">
        <v>386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1436</v>
      </c>
      <c r="B1656" t="s">
        <v>1437</v>
      </c>
      <c r="C1656" t="s">
        <v>368</v>
      </c>
      <c r="D1656" t="s">
        <v>523</v>
      </c>
      <c r="E1656" t="s">
        <v>315</v>
      </c>
      <c r="F1656" t="s">
        <v>2094</v>
      </c>
      <c r="G1656" t="s">
        <v>1436</v>
      </c>
      <c r="H1656" t="s">
        <v>409</v>
      </c>
      <c r="I1656" t="s">
        <v>374</v>
      </c>
      <c r="J1656" t="s">
        <v>386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1436</v>
      </c>
      <c r="B1657" t="s">
        <v>1437</v>
      </c>
      <c r="C1657" t="s">
        <v>368</v>
      </c>
      <c r="D1657" t="s">
        <v>523</v>
      </c>
      <c r="E1657" t="s">
        <v>2130</v>
      </c>
      <c r="F1657" t="s">
        <v>2096</v>
      </c>
      <c r="G1657" t="s">
        <v>1436</v>
      </c>
      <c r="H1657" t="s">
        <v>2097</v>
      </c>
      <c r="I1657" t="s">
        <v>374</v>
      </c>
      <c r="J1657" t="s">
        <v>386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1436</v>
      </c>
      <c r="B1658" t="s">
        <v>2098</v>
      </c>
      <c r="C1658" t="s">
        <v>368</v>
      </c>
      <c r="D1658" t="s">
        <v>523</v>
      </c>
      <c r="E1658" t="s">
        <v>2131</v>
      </c>
      <c r="F1658" t="s">
        <v>2099</v>
      </c>
      <c r="G1658" t="s">
        <v>1436</v>
      </c>
      <c r="H1658" t="s">
        <v>2100</v>
      </c>
      <c r="I1658" t="s">
        <v>374</v>
      </c>
      <c r="J1658" t="s">
        <v>2101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1436</v>
      </c>
      <c r="B1659" t="s">
        <v>1437</v>
      </c>
      <c r="C1659" t="s">
        <v>368</v>
      </c>
      <c r="D1659" t="s">
        <v>523</v>
      </c>
      <c r="E1659" t="s">
        <v>2132</v>
      </c>
      <c r="F1659" t="s">
        <v>2093</v>
      </c>
      <c r="G1659" t="s">
        <v>1436</v>
      </c>
      <c r="H1659" t="s">
        <v>458</v>
      </c>
      <c r="I1659" t="s">
        <v>374</v>
      </c>
      <c r="J1659" t="s">
        <v>386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1436</v>
      </c>
      <c r="B1660" t="s">
        <v>1437</v>
      </c>
      <c r="C1660" t="s">
        <v>368</v>
      </c>
      <c r="D1660" t="s">
        <v>523</v>
      </c>
      <c r="E1660" t="s">
        <v>2133</v>
      </c>
      <c r="F1660" t="s">
        <v>2094</v>
      </c>
      <c r="G1660" t="s">
        <v>1436</v>
      </c>
      <c r="H1660" t="s">
        <v>409</v>
      </c>
      <c r="I1660" t="s">
        <v>374</v>
      </c>
      <c r="J1660" t="s">
        <v>386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1436</v>
      </c>
      <c r="B1661" t="s">
        <v>1437</v>
      </c>
      <c r="C1661" t="s">
        <v>368</v>
      </c>
      <c r="D1661" t="s">
        <v>523</v>
      </c>
      <c r="E1661" t="s">
        <v>2134</v>
      </c>
      <c r="F1661" t="s">
        <v>2096</v>
      </c>
      <c r="G1661" t="s">
        <v>1436</v>
      </c>
      <c r="H1661" t="s">
        <v>2097</v>
      </c>
      <c r="I1661" t="s">
        <v>374</v>
      </c>
      <c r="J1661" t="s">
        <v>386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1436</v>
      </c>
      <c r="B1662" t="s">
        <v>2098</v>
      </c>
      <c r="C1662" t="s">
        <v>368</v>
      </c>
      <c r="D1662" t="s">
        <v>523</v>
      </c>
      <c r="E1662" t="s">
        <v>2135</v>
      </c>
      <c r="F1662" t="s">
        <v>2099</v>
      </c>
      <c r="G1662" t="s">
        <v>1436</v>
      </c>
      <c r="H1662" t="s">
        <v>2100</v>
      </c>
      <c r="I1662" t="s">
        <v>374</v>
      </c>
      <c r="J1662" t="s">
        <v>2101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1436</v>
      </c>
      <c r="B1663" t="s">
        <v>1437</v>
      </c>
      <c r="C1663" t="s">
        <v>368</v>
      </c>
      <c r="D1663" t="s">
        <v>523</v>
      </c>
      <c r="E1663" t="s">
        <v>2136</v>
      </c>
      <c r="F1663" t="s">
        <v>2093</v>
      </c>
      <c r="G1663" t="s">
        <v>1436</v>
      </c>
      <c r="H1663" t="s">
        <v>458</v>
      </c>
      <c r="I1663" t="s">
        <v>374</v>
      </c>
      <c r="J1663" t="s">
        <v>386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1436</v>
      </c>
      <c r="B1664" t="s">
        <v>1437</v>
      </c>
      <c r="C1664" t="s">
        <v>368</v>
      </c>
      <c r="D1664" t="s">
        <v>523</v>
      </c>
      <c r="E1664" t="s">
        <v>316</v>
      </c>
      <c r="F1664" t="s">
        <v>2094</v>
      </c>
      <c r="G1664" t="s">
        <v>1436</v>
      </c>
      <c r="H1664" t="s">
        <v>409</v>
      </c>
      <c r="I1664" t="s">
        <v>374</v>
      </c>
      <c r="J1664" t="s">
        <v>386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1436</v>
      </c>
      <c r="B1665" t="s">
        <v>1437</v>
      </c>
      <c r="C1665" t="s">
        <v>368</v>
      </c>
      <c r="D1665" t="s">
        <v>523</v>
      </c>
      <c r="E1665" t="s">
        <v>2137</v>
      </c>
      <c r="F1665" t="s">
        <v>2096</v>
      </c>
      <c r="G1665" t="s">
        <v>1436</v>
      </c>
      <c r="H1665" t="s">
        <v>2097</v>
      </c>
      <c r="I1665" t="s">
        <v>374</v>
      </c>
      <c r="J1665" t="s">
        <v>386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1436</v>
      </c>
      <c r="B1666" t="s">
        <v>2098</v>
      </c>
      <c r="C1666" t="s">
        <v>368</v>
      </c>
      <c r="D1666" t="s">
        <v>523</v>
      </c>
      <c r="E1666" t="s">
        <v>2138</v>
      </c>
      <c r="F1666" t="s">
        <v>2099</v>
      </c>
      <c r="G1666" t="s">
        <v>1436</v>
      </c>
      <c r="H1666" t="s">
        <v>2100</v>
      </c>
      <c r="I1666" t="s">
        <v>374</v>
      </c>
      <c r="J1666" t="s">
        <v>2101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1436</v>
      </c>
      <c r="B1667" t="s">
        <v>1437</v>
      </c>
      <c r="C1667" t="s">
        <v>609</v>
      </c>
      <c r="D1667" t="s">
        <v>523</v>
      </c>
      <c r="E1667" t="s">
        <v>2139</v>
      </c>
      <c r="F1667" t="s">
        <v>2093</v>
      </c>
      <c r="G1667" t="s">
        <v>1436</v>
      </c>
      <c r="H1667" t="s">
        <v>458</v>
      </c>
      <c r="I1667" t="s">
        <v>374</v>
      </c>
      <c r="J1667" t="s">
        <v>386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1436</v>
      </c>
      <c r="B1668" t="s">
        <v>1437</v>
      </c>
      <c r="C1668" t="s">
        <v>609</v>
      </c>
      <c r="D1668" t="s">
        <v>523</v>
      </c>
      <c r="E1668" t="s">
        <v>2140</v>
      </c>
      <c r="F1668" t="s">
        <v>2094</v>
      </c>
      <c r="G1668" t="s">
        <v>1436</v>
      </c>
      <c r="H1668" t="s">
        <v>409</v>
      </c>
      <c r="I1668" t="s">
        <v>374</v>
      </c>
      <c r="J1668" t="s">
        <v>386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1436</v>
      </c>
      <c r="B1669" t="s">
        <v>1437</v>
      </c>
      <c r="C1669" t="s">
        <v>609</v>
      </c>
      <c r="D1669" t="s">
        <v>523</v>
      </c>
      <c r="E1669" t="s">
        <v>2141</v>
      </c>
      <c r="F1669" t="s">
        <v>2096</v>
      </c>
      <c r="G1669" t="s">
        <v>1436</v>
      </c>
      <c r="H1669" t="s">
        <v>2097</v>
      </c>
      <c r="I1669" t="s">
        <v>374</v>
      </c>
      <c r="J1669" t="s">
        <v>386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1436</v>
      </c>
      <c r="B1670" t="s">
        <v>2098</v>
      </c>
      <c r="C1670" t="s">
        <v>609</v>
      </c>
      <c r="D1670" t="s">
        <v>523</v>
      </c>
      <c r="E1670" t="s">
        <v>2142</v>
      </c>
      <c r="F1670" t="s">
        <v>2099</v>
      </c>
      <c r="G1670" t="s">
        <v>1436</v>
      </c>
      <c r="H1670" t="s">
        <v>2100</v>
      </c>
      <c r="I1670" t="s">
        <v>374</v>
      </c>
      <c r="J1670" t="s">
        <v>2101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1436</v>
      </c>
      <c r="B1671" t="s">
        <v>1437</v>
      </c>
      <c r="C1671" t="s">
        <v>609</v>
      </c>
      <c r="D1671" t="s">
        <v>523</v>
      </c>
      <c r="E1671" t="s">
        <v>2143</v>
      </c>
      <c r="F1671" t="s">
        <v>2093</v>
      </c>
      <c r="G1671" t="s">
        <v>1436</v>
      </c>
      <c r="H1671" t="s">
        <v>458</v>
      </c>
      <c r="I1671" t="s">
        <v>374</v>
      </c>
      <c r="J1671" t="s">
        <v>386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1436</v>
      </c>
      <c r="B1672" t="s">
        <v>1437</v>
      </c>
      <c r="C1672" t="s">
        <v>609</v>
      </c>
      <c r="D1672" t="s">
        <v>523</v>
      </c>
      <c r="E1672" t="s">
        <v>2144</v>
      </c>
      <c r="F1672" t="s">
        <v>2094</v>
      </c>
      <c r="G1672" t="s">
        <v>1436</v>
      </c>
      <c r="H1672" t="s">
        <v>409</v>
      </c>
      <c r="I1672" t="s">
        <v>374</v>
      </c>
      <c r="J1672" t="s">
        <v>386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1436</v>
      </c>
      <c r="B1673" t="s">
        <v>1437</v>
      </c>
      <c r="C1673" t="s">
        <v>609</v>
      </c>
      <c r="D1673" t="s">
        <v>523</v>
      </c>
      <c r="E1673" t="s">
        <v>2145</v>
      </c>
      <c r="F1673" t="s">
        <v>2096</v>
      </c>
      <c r="G1673" t="s">
        <v>1436</v>
      </c>
      <c r="H1673" t="s">
        <v>2097</v>
      </c>
      <c r="I1673" t="s">
        <v>374</v>
      </c>
      <c r="J1673" t="s">
        <v>386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1436</v>
      </c>
      <c r="B1674" t="s">
        <v>2098</v>
      </c>
      <c r="C1674" t="s">
        <v>609</v>
      </c>
      <c r="D1674" t="s">
        <v>523</v>
      </c>
      <c r="E1674" t="s">
        <v>2146</v>
      </c>
      <c r="F1674" t="s">
        <v>2099</v>
      </c>
      <c r="G1674" t="s">
        <v>1436</v>
      </c>
      <c r="H1674" t="s">
        <v>2100</v>
      </c>
      <c r="I1674" t="s">
        <v>374</v>
      </c>
      <c r="J1674" t="s">
        <v>2101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1436</v>
      </c>
      <c r="B1675" t="s">
        <v>1437</v>
      </c>
      <c r="C1675" t="s">
        <v>609</v>
      </c>
      <c r="D1675" t="s">
        <v>523</v>
      </c>
      <c r="E1675" t="s">
        <v>2147</v>
      </c>
      <c r="F1675" t="s">
        <v>2093</v>
      </c>
      <c r="G1675" t="s">
        <v>1436</v>
      </c>
      <c r="H1675" t="s">
        <v>458</v>
      </c>
      <c r="I1675" t="s">
        <v>374</v>
      </c>
      <c r="J1675" t="s">
        <v>386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1436</v>
      </c>
      <c r="B1676" t="s">
        <v>1437</v>
      </c>
      <c r="C1676" t="s">
        <v>609</v>
      </c>
      <c r="D1676" t="s">
        <v>523</v>
      </c>
      <c r="E1676" t="s">
        <v>2148</v>
      </c>
      <c r="F1676" t="s">
        <v>2094</v>
      </c>
      <c r="G1676" t="s">
        <v>1436</v>
      </c>
      <c r="H1676" t="s">
        <v>409</v>
      </c>
      <c r="I1676" t="s">
        <v>374</v>
      </c>
      <c r="J1676" t="s">
        <v>386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1436</v>
      </c>
      <c r="B1677" t="s">
        <v>1437</v>
      </c>
      <c r="C1677" t="s">
        <v>609</v>
      </c>
      <c r="D1677" t="s">
        <v>523</v>
      </c>
      <c r="E1677" t="s">
        <v>2149</v>
      </c>
      <c r="F1677" t="s">
        <v>2096</v>
      </c>
      <c r="G1677" t="s">
        <v>1436</v>
      </c>
      <c r="H1677" t="s">
        <v>2097</v>
      </c>
      <c r="I1677" t="s">
        <v>374</v>
      </c>
      <c r="J1677" t="s">
        <v>386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1436</v>
      </c>
      <c r="B1678" t="s">
        <v>2098</v>
      </c>
      <c r="C1678" t="s">
        <v>609</v>
      </c>
      <c r="D1678" t="s">
        <v>523</v>
      </c>
      <c r="E1678" t="s">
        <v>2150</v>
      </c>
      <c r="F1678" t="s">
        <v>2099</v>
      </c>
      <c r="G1678" t="s">
        <v>1436</v>
      </c>
      <c r="H1678" t="s">
        <v>2100</v>
      </c>
      <c r="I1678" t="s">
        <v>374</v>
      </c>
      <c r="J1678" t="s">
        <v>2101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1436</v>
      </c>
      <c r="B1679" t="s">
        <v>1437</v>
      </c>
      <c r="C1679" t="s">
        <v>609</v>
      </c>
      <c r="D1679" t="s">
        <v>523</v>
      </c>
      <c r="E1679" t="s">
        <v>2151</v>
      </c>
      <c r="F1679" t="s">
        <v>2093</v>
      </c>
      <c r="G1679" t="s">
        <v>1436</v>
      </c>
      <c r="H1679" t="s">
        <v>458</v>
      </c>
      <c r="I1679" t="s">
        <v>374</v>
      </c>
      <c r="J1679" t="s">
        <v>386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1436</v>
      </c>
      <c r="B1680" t="s">
        <v>1437</v>
      </c>
      <c r="C1680" t="s">
        <v>609</v>
      </c>
      <c r="D1680" t="s">
        <v>523</v>
      </c>
      <c r="E1680" t="s">
        <v>175</v>
      </c>
      <c r="F1680" t="s">
        <v>2094</v>
      </c>
      <c r="G1680" t="s">
        <v>1436</v>
      </c>
      <c r="H1680" t="s">
        <v>409</v>
      </c>
      <c r="I1680" t="s">
        <v>374</v>
      </c>
      <c r="J1680" t="s">
        <v>386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1436</v>
      </c>
      <c r="B1681" t="s">
        <v>1437</v>
      </c>
      <c r="C1681" t="s">
        <v>609</v>
      </c>
      <c r="D1681" t="s">
        <v>523</v>
      </c>
      <c r="E1681" t="s">
        <v>2152</v>
      </c>
      <c r="F1681" t="s">
        <v>2096</v>
      </c>
      <c r="G1681" t="s">
        <v>1436</v>
      </c>
      <c r="H1681" t="s">
        <v>2097</v>
      </c>
      <c r="I1681" t="s">
        <v>374</v>
      </c>
      <c r="J1681" t="s">
        <v>386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1436</v>
      </c>
      <c r="B1682" t="s">
        <v>2098</v>
      </c>
      <c r="C1682" t="s">
        <v>609</v>
      </c>
      <c r="D1682" t="s">
        <v>523</v>
      </c>
      <c r="E1682" t="s">
        <v>2153</v>
      </c>
      <c r="F1682" t="s">
        <v>2099</v>
      </c>
      <c r="G1682" t="s">
        <v>1436</v>
      </c>
      <c r="H1682" t="s">
        <v>2100</v>
      </c>
      <c r="I1682" t="s">
        <v>374</v>
      </c>
      <c r="J1682" t="s">
        <v>2101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1436</v>
      </c>
      <c r="B1683" t="s">
        <v>1437</v>
      </c>
      <c r="C1683" t="s">
        <v>609</v>
      </c>
      <c r="D1683" t="s">
        <v>523</v>
      </c>
      <c r="E1683" t="s">
        <v>2154</v>
      </c>
      <c r="F1683" t="s">
        <v>2093</v>
      </c>
      <c r="G1683" t="s">
        <v>1436</v>
      </c>
      <c r="H1683" t="s">
        <v>458</v>
      </c>
      <c r="I1683" t="s">
        <v>374</v>
      </c>
      <c r="J1683" t="s">
        <v>386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1436</v>
      </c>
      <c r="B1684" t="s">
        <v>1437</v>
      </c>
      <c r="C1684" t="s">
        <v>609</v>
      </c>
      <c r="D1684" t="s">
        <v>523</v>
      </c>
      <c r="E1684" t="s">
        <v>2155</v>
      </c>
      <c r="F1684" t="s">
        <v>2094</v>
      </c>
      <c r="G1684" t="s">
        <v>1436</v>
      </c>
      <c r="H1684" t="s">
        <v>409</v>
      </c>
      <c r="I1684" t="s">
        <v>374</v>
      </c>
      <c r="J1684" t="s">
        <v>386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1436</v>
      </c>
      <c r="B1685" t="s">
        <v>1437</v>
      </c>
      <c r="C1685" t="s">
        <v>609</v>
      </c>
      <c r="D1685" t="s">
        <v>523</v>
      </c>
      <c r="E1685" t="s">
        <v>2156</v>
      </c>
      <c r="F1685" t="s">
        <v>2096</v>
      </c>
      <c r="G1685" t="s">
        <v>1436</v>
      </c>
      <c r="H1685" t="s">
        <v>2097</v>
      </c>
      <c r="I1685" t="s">
        <v>374</v>
      </c>
      <c r="J1685" t="s">
        <v>386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1436</v>
      </c>
      <c r="B1686" t="s">
        <v>2098</v>
      </c>
      <c r="C1686" t="s">
        <v>609</v>
      </c>
      <c r="D1686" t="s">
        <v>523</v>
      </c>
      <c r="E1686" t="s">
        <v>2157</v>
      </c>
      <c r="F1686" t="s">
        <v>2099</v>
      </c>
      <c r="G1686" t="s">
        <v>1436</v>
      </c>
      <c r="H1686" t="s">
        <v>2100</v>
      </c>
      <c r="I1686" t="s">
        <v>374</v>
      </c>
      <c r="J1686" t="s">
        <v>2101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1436</v>
      </c>
      <c r="B1687" t="s">
        <v>1437</v>
      </c>
      <c r="C1687" t="s">
        <v>368</v>
      </c>
      <c r="D1687" t="s">
        <v>523</v>
      </c>
      <c r="E1687" t="s">
        <v>311</v>
      </c>
      <c r="F1687" t="s">
        <v>2093</v>
      </c>
      <c r="G1687" t="s">
        <v>1436</v>
      </c>
      <c r="H1687" t="s">
        <v>458</v>
      </c>
      <c r="I1687" t="s">
        <v>374</v>
      </c>
      <c r="J1687" t="s">
        <v>386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1436</v>
      </c>
      <c r="B1688" t="s">
        <v>1437</v>
      </c>
      <c r="C1688" t="s">
        <v>368</v>
      </c>
      <c r="D1688" t="s">
        <v>523</v>
      </c>
      <c r="E1688" t="s">
        <v>312</v>
      </c>
      <c r="F1688" t="s">
        <v>2094</v>
      </c>
      <c r="G1688" t="s">
        <v>1436</v>
      </c>
      <c r="H1688" t="s">
        <v>409</v>
      </c>
      <c r="I1688" t="s">
        <v>374</v>
      </c>
      <c r="J1688" t="s">
        <v>386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1436</v>
      </c>
      <c r="B1689" t="s">
        <v>1437</v>
      </c>
      <c r="C1689" t="s">
        <v>368</v>
      </c>
      <c r="D1689" t="s">
        <v>523</v>
      </c>
      <c r="E1689" t="s">
        <v>2158</v>
      </c>
      <c r="F1689" t="s">
        <v>2096</v>
      </c>
      <c r="G1689" t="s">
        <v>1436</v>
      </c>
      <c r="H1689" t="s">
        <v>2097</v>
      </c>
      <c r="I1689" t="s">
        <v>374</v>
      </c>
      <c r="J1689" t="s">
        <v>386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1436</v>
      </c>
      <c r="B1690" t="s">
        <v>2098</v>
      </c>
      <c r="C1690" t="s">
        <v>368</v>
      </c>
      <c r="D1690" t="s">
        <v>523</v>
      </c>
      <c r="E1690" t="s">
        <v>274</v>
      </c>
      <c r="F1690" t="s">
        <v>2099</v>
      </c>
      <c r="G1690" t="s">
        <v>1436</v>
      </c>
      <c r="H1690" t="s">
        <v>2100</v>
      </c>
      <c r="I1690" t="s">
        <v>374</v>
      </c>
      <c r="J1690" t="s">
        <v>2101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1436</v>
      </c>
      <c r="B1691" t="s">
        <v>1437</v>
      </c>
      <c r="C1691" t="s">
        <v>368</v>
      </c>
      <c r="D1691" t="s">
        <v>523</v>
      </c>
      <c r="E1691" t="s">
        <v>2159</v>
      </c>
      <c r="F1691" t="s">
        <v>2093</v>
      </c>
      <c r="G1691" t="s">
        <v>1436</v>
      </c>
      <c r="H1691" t="s">
        <v>458</v>
      </c>
      <c r="I1691" t="s">
        <v>374</v>
      </c>
      <c r="J1691" t="s">
        <v>386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1436</v>
      </c>
      <c r="B1692" t="s">
        <v>1437</v>
      </c>
      <c r="C1692" t="s">
        <v>368</v>
      </c>
      <c r="D1692" t="s">
        <v>523</v>
      </c>
      <c r="E1692" t="s">
        <v>2160</v>
      </c>
      <c r="F1692" t="s">
        <v>2094</v>
      </c>
      <c r="G1692" t="s">
        <v>1436</v>
      </c>
      <c r="H1692" t="s">
        <v>409</v>
      </c>
      <c r="I1692" t="s">
        <v>374</v>
      </c>
      <c r="J1692" t="s">
        <v>386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1436</v>
      </c>
      <c r="B1693" t="s">
        <v>1437</v>
      </c>
      <c r="C1693" t="s">
        <v>368</v>
      </c>
      <c r="D1693" t="s">
        <v>523</v>
      </c>
      <c r="E1693" t="s">
        <v>2161</v>
      </c>
      <c r="F1693" t="s">
        <v>2096</v>
      </c>
      <c r="G1693" t="s">
        <v>1436</v>
      </c>
      <c r="H1693" t="s">
        <v>2097</v>
      </c>
      <c r="I1693" t="s">
        <v>374</v>
      </c>
      <c r="J1693" t="s">
        <v>386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1436</v>
      </c>
      <c r="B1694" t="s">
        <v>2098</v>
      </c>
      <c r="C1694" t="s">
        <v>368</v>
      </c>
      <c r="D1694" t="s">
        <v>523</v>
      </c>
      <c r="E1694" t="s">
        <v>2162</v>
      </c>
      <c r="F1694" t="s">
        <v>2099</v>
      </c>
      <c r="G1694" t="s">
        <v>1436</v>
      </c>
      <c r="H1694" t="s">
        <v>2100</v>
      </c>
      <c r="I1694" t="s">
        <v>374</v>
      </c>
      <c r="J1694" t="s">
        <v>2101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1436</v>
      </c>
      <c r="B1695" t="s">
        <v>2163</v>
      </c>
      <c r="C1695" t="s">
        <v>368</v>
      </c>
      <c r="D1695" t="s">
        <v>523</v>
      </c>
      <c r="E1695" t="s">
        <v>2164</v>
      </c>
      <c r="F1695" t="s">
        <v>2165</v>
      </c>
      <c r="G1695" t="s">
        <v>1436</v>
      </c>
      <c r="H1695" t="s">
        <v>458</v>
      </c>
      <c r="I1695" t="s">
        <v>374</v>
      </c>
      <c r="J1695" t="s">
        <v>1211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1436</v>
      </c>
      <c r="B1696" t="s">
        <v>2163</v>
      </c>
      <c r="C1696" t="s">
        <v>368</v>
      </c>
      <c r="D1696" t="s">
        <v>523</v>
      </c>
      <c r="E1696" t="s">
        <v>2166</v>
      </c>
      <c r="F1696" t="s">
        <v>2165</v>
      </c>
      <c r="G1696" t="s">
        <v>1436</v>
      </c>
      <c r="H1696" t="s">
        <v>458</v>
      </c>
      <c r="I1696" t="s">
        <v>374</v>
      </c>
      <c r="J1696" t="s">
        <v>1211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1436</v>
      </c>
      <c r="B1697" t="s">
        <v>2163</v>
      </c>
      <c r="C1697" t="s">
        <v>368</v>
      </c>
      <c r="D1697" t="s">
        <v>523</v>
      </c>
      <c r="E1697" t="s">
        <v>2167</v>
      </c>
      <c r="F1697" t="s">
        <v>2165</v>
      </c>
      <c r="G1697" t="s">
        <v>1436</v>
      </c>
      <c r="H1697" t="s">
        <v>458</v>
      </c>
      <c r="I1697" t="s">
        <v>374</v>
      </c>
      <c r="J1697" t="s">
        <v>1211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1436</v>
      </c>
      <c r="B1698" t="s">
        <v>2163</v>
      </c>
      <c r="C1698" t="s">
        <v>368</v>
      </c>
      <c r="D1698" t="s">
        <v>523</v>
      </c>
      <c r="E1698" t="s">
        <v>2168</v>
      </c>
      <c r="F1698" t="s">
        <v>2165</v>
      </c>
      <c r="G1698" t="s">
        <v>1436</v>
      </c>
      <c r="H1698" t="s">
        <v>458</v>
      </c>
      <c r="I1698" t="s">
        <v>374</v>
      </c>
      <c r="J1698" t="s">
        <v>1211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1436</v>
      </c>
      <c r="B1699" t="s">
        <v>2163</v>
      </c>
      <c r="C1699" t="s">
        <v>368</v>
      </c>
      <c r="D1699" t="s">
        <v>523</v>
      </c>
      <c r="E1699" t="s">
        <v>2169</v>
      </c>
      <c r="F1699" t="s">
        <v>2165</v>
      </c>
      <c r="G1699" t="s">
        <v>1436</v>
      </c>
      <c r="H1699" t="s">
        <v>458</v>
      </c>
      <c r="I1699" t="s">
        <v>374</v>
      </c>
      <c r="J1699" t="s">
        <v>1211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1436</v>
      </c>
      <c r="B1700" t="s">
        <v>2163</v>
      </c>
      <c r="C1700" t="s">
        <v>368</v>
      </c>
      <c r="D1700" t="s">
        <v>523</v>
      </c>
      <c r="E1700" t="s">
        <v>2170</v>
      </c>
      <c r="F1700" t="s">
        <v>2165</v>
      </c>
      <c r="G1700" t="s">
        <v>1436</v>
      </c>
      <c r="H1700" t="s">
        <v>458</v>
      </c>
      <c r="I1700" t="s">
        <v>374</v>
      </c>
      <c r="J1700" t="s">
        <v>1211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1436</v>
      </c>
      <c r="B1701" t="s">
        <v>2163</v>
      </c>
      <c r="C1701" t="s">
        <v>368</v>
      </c>
      <c r="D1701" t="s">
        <v>523</v>
      </c>
      <c r="E1701" t="s">
        <v>2171</v>
      </c>
      <c r="F1701" t="s">
        <v>2165</v>
      </c>
      <c r="G1701" t="s">
        <v>1436</v>
      </c>
      <c r="H1701" t="s">
        <v>458</v>
      </c>
      <c r="I1701" t="s">
        <v>374</v>
      </c>
      <c r="J1701" t="s">
        <v>1211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1436</v>
      </c>
      <c r="B1702" t="s">
        <v>2163</v>
      </c>
      <c r="C1702" t="s">
        <v>368</v>
      </c>
      <c r="D1702" t="s">
        <v>523</v>
      </c>
      <c r="E1702" t="s">
        <v>2172</v>
      </c>
      <c r="F1702" t="s">
        <v>2165</v>
      </c>
      <c r="G1702" t="s">
        <v>1436</v>
      </c>
      <c r="H1702" t="s">
        <v>458</v>
      </c>
      <c r="I1702" t="s">
        <v>374</v>
      </c>
      <c r="J1702" t="s">
        <v>1211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1436</v>
      </c>
      <c r="B1703" t="s">
        <v>2163</v>
      </c>
      <c r="C1703" t="s">
        <v>368</v>
      </c>
      <c r="D1703" t="s">
        <v>523</v>
      </c>
      <c r="E1703" t="s">
        <v>2173</v>
      </c>
      <c r="F1703" t="s">
        <v>2165</v>
      </c>
      <c r="G1703" t="s">
        <v>1436</v>
      </c>
      <c r="H1703" t="s">
        <v>458</v>
      </c>
      <c r="I1703" t="s">
        <v>374</v>
      </c>
      <c r="J1703" t="s">
        <v>1211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1436</v>
      </c>
      <c r="B1704" t="s">
        <v>2163</v>
      </c>
      <c r="C1704" t="s">
        <v>368</v>
      </c>
      <c r="D1704" t="s">
        <v>523</v>
      </c>
      <c r="E1704" t="s">
        <v>2174</v>
      </c>
      <c r="F1704" t="s">
        <v>2165</v>
      </c>
      <c r="G1704" t="s">
        <v>1436</v>
      </c>
      <c r="H1704" t="s">
        <v>458</v>
      </c>
      <c r="I1704" t="s">
        <v>374</v>
      </c>
      <c r="J1704" t="s">
        <v>1211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1436</v>
      </c>
      <c r="B1705" t="s">
        <v>2163</v>
      </c>
      <c r="C1705" t="s">
        <v>368</v>
      </c>
      <c r="D1705" t="s">
        <v>523</v>
      </c>
      <c r="E1705" t="s">
        <v>2175</v>
      </c>
      <c r="F1705" t="s">
        <v>2165</v>
      </c>
      <c r="G1705" t="s">
        <v>1436</v>
      </c>
      <c r="H1705" t="s">
        <v>458</v>
      </c>
      <c r="I1705" t="s">
        <v>374</v>
      </c>
      <c r="J1705" t="s">
        <v>1211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1436</v>
      </c>
      <c r="B1706" t="s">
        <v>2163</v>
      </c>
      <c r="C1706" t="s">
        <v>368</v>
      </c>
      <c r="D1706" t="s">
        <v>523</v>
      </c>
      <c r="E1706" t="s">
        <v>2176</v>
      </c>
      <c r="F1706" t="s">
        <v>2165</v>
      </c>
      <c r="G1706" t="s">
        <v>1436</v>
      </c>
      <c r="H1706" t="s">
        <v>458</v>
      </c>
      <c r="I1706" t="s">
        <v>374</v>
      </c>
      <c r="J1706" t="s">
        <v>1211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1436</v>
      </c>
      <c r="B1707" t="s">
        <v>2163</v>
      </c>
      <c r="C1707" t="s">
        <v>368</v>
      </c>
      <c r="D1707" t="s">
        <v>523</v>
      </c>
      <c r="E1707" t="s">
        <v>2177</v>
      </c>
      <c r="F1707" t="s">
        <v>2165</v>
      </c>
      <c r="G1707" t="s">
        <v>1436</v>
      </c>
      <c r="H1707" t="s">
        <v>458</v>
      </c>
      <c r="I1707" t="s">
        <v>374</v>
      </c>
      <c r="J1707" t="s">
        <v>1211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1436</v>
      </c>
      <c r="B1708" t="s">
        <v>2163</v>
      </c>
      <c r="C1708" t="s">
        <v>368</v>
      </c>
      <c r="D1708" t="s">
        <v>523</v>
      </c>
      <c r="E1708" t="s">
        <v>2178</v>
      </c>
      <c r="F1708" t="s">
        <v>2165</v>
      </c>
      <c r="G1708" t="s">
        <v>1436</v>
      </c>
      <c r="H1708" t="s">
        <v>458</v>
      </c>
      <c r="I1708" t="s">
        <v>374</v>
      </c>
      <c r="J1708" t="s">
        <v>1211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1436</v>
      </c>
      <c r="B1709" t="s">
        <v>2163</v>
      </c>
      <c r="C1709" t="s">
        <v>368</v>
      </c>
      <c r="D1709" t="s">
        <v>523</v>
      </c>
      <c r="E1709" t="s">
        <v>2179</v>
      </c>
      <c r="F1709" t="s">
        <v>2165</v>
      </c>
      <c r="G1709" t="s">
        <v>1436</v>
      </c>
      <c r="H1709" t="s">
        <v>458</v>
      </c>
      <c r="I1709" t="s">
        <v>374</v>
      </c>
      <c r="J1709" t="s">
        <v>1211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1436</v>
      </c>
      <c r="B1710" t="s">
        <v>2163</v>
      </c>
      <c r="C1710" t="s">
        <v>609</v>
      </c>
      <c r="D1710" t="s">
        <v>523</v>
      </c>
      <c r="E1710" t="s">
        <v>2180</v>
      </c>
      <c r="F1710" t="s">
        <v>2165</v>
      </c>
      <c r="G1710" t="s">
        <v>1436</v>
      </c>
      <c r="H1710" t="s">
        <v>458</v>
      </c>
      <c r="I1710" t="s">
        <v>374</v>
      </c>
      <c r="J1710" t="s">
        <v>1211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1436</v>
      </c>
      <c r="B1711" t="s">
        <v>2163</v>
      </c>
      <c r="C1711" t="s">
        <v>609</v>
      </c>
      <c r="D1711" t="s">
        <v>523</v>
      </c>
      <c r="E1711" t="s">
        <v>2181</v>
      </c>
      <c r="F1711" t="s">
        <v>2165</v>
      </c>
      <c r="G1711" t="s">
        <v>1436</v>
      </c>
      <c r="H1711" t="s">
        <v>458</v>
      </c>
      <c r="I1711" t="s">
        <v>374</v>
      </c>
      <c r="J1711" t="s">
        <v>1211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1436</v>
      </c>
      <c r="B1712" t="s">
        <v>2163</v>
      </c>
      <c r="C1712" t="s">
        <v>609</v>
      </c>
      <c r="D1712" t="s">
        <v>523</v>
      </c>
      <c r="E1712" t="s">
        <v>2182</v>
      </c>
      <c r="F1712" t="s">
        <v>2165</v>
      </c>
      <c r="G1712" t="s">
        <v>1436</v>
      </c>
      <c r="H1712" t="s">
        <v>458</v>
      </c>
      <c r="I1712" t="s">
        <v>374</v>
      </c>
      <c r="J1712" t="s">
        <v>1211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1436</v>
      </c>
      <c r="B1713" t="s">
        <v>2163</v>
      </c>
      <c r="C1713" t="s">
        <v>609</v>
      </c>
      <c r="D1713" t="s">
        <v>523</v>
      </c>
      <c r="E1713" t="s">
        <v>2183</v>
      </c>
      <c r="F1713" t="s">
        <v>2165</v>
      </c>
      <c r="G1713" t="s">
        <v>1436</v>
      </c>
      <c r="H1713" t="s">
        <v>458</v>
      </c>
      <c r="I1713" t="s">
        <v>374</v>
      </c>
      <c r="J1713" t="s">
        <v>1211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1436</v>
      </c>
      <c r="B1714" t="s">
        <v>2163</v>
      </c>
      <c r="C1714" t="s">
        <v>609</v>
      </c>
      <c r="D1714" t="s">
        <v>523</v>
      </c>
      <c r="E1714" t="s">
        <v>2184</v>
      </c>
      <c r="F1714" t="s">
        <v>2165</v>
      </c>
      <c r="G1714" t="s">
        <v>1436</v>
      </c>
      <c r="H1714" t="s">
        <v>458</v>
      </c>
      <c r="I1714" t="s">
        <v>374</v>
      </c>
      <c r="J1714" t="s">
        <v>1211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1436</v>
      </c>
      <c r="B1715" t="s">
        <v>2163</v>
      </c>
      <c r="C1715" t="s">
        <v>368</v>
      </c>
      <c r="D1715" t="s">
        <v>523</v>
      </c>
      <c r="E1715" t="s">
        <v>2185</v>
      </c>
      <c r="F1715" t="s">
        <v>2165</v>
      </c>
      <c r="G1715" t="s">
        <v>1436</v>
      </c>
      <c r="H1715" t="s">
        <v>458</v>
      </c>
      <c r="I1715" t="s">
        <v>374</v>
      </c>
      <c r="J1715" t="s">
        <v>1211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1436</v>
      </c>
      <c r="B1716" t="s">
        <v>2163</v>
      </c>
      <c r="C1716" t="s">
        <v>368</v>
      </c>
      <c r="D1716" t="s">
        <v>523</v>
      </c>
      <c r="E1716" t="s">
        <v>2186</v>
      </c>
      <c r="F1716" t="s">
        <v>2165</v>
      </c>
      <c r="G1716" t="s">
        <v>1436</v>
      </c>
      <c r="H1716" t="s">
        <v>458</v>
      </c>
      <c r="I1716" t="s">
        <v>374</v>
      </c>
      <c r="J1716" t="s">
        <v>1211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1436</v>
      </c>
      <c r="B1717" t="s">
        <v>2187</v>
      </c>
      <c r="C1717" t="s">
        <v>368</v>
      </c>
      <c r="D1717" t="s">
        <v>523</v>
      </c>
      <c r="E1717" t="s">
        <v>2188</v>
      </c>
      <c r="F1717" t="s">
        <v>2189</v>
      </c>
      <c r="G1717" t="s">
        <v>1436</v>
      </c>
      <c r="H1717" t="s">
        <v>458</v>
      </c>
      <c r="I1717" t="s">
        <v>374</v>
      </c>
      <c r="J1717" t="s">
        <v>1240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1436</v>
      </c>
      <c r="B1718" t="s">
        <v>2187</v>
      </c>
      <c r="C1718" t="s">
        <v>368</v>
      </c>
      <c r="D1718" t="s">
        <v>523</v>
      </c>
      <c r="E1718" t="s">
        <v>2190</v>
      </c>
      <c r="F1718" t="s">
        <v>2189</v>
      </c>
      <c r="G1718" t="s">
        <v>1436</v>
      </c>
      <c r="H1718" t="s">
        <v>458</v>
      </c>
      <c r="I1718" t="s">
        <v>374</v>
      </c>
      <c r="J1718" t="s">
        <v>1240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1436</v>
      </c>
      <c r="B1719" t="s">
        <v>2187</v>
      </c>
      <c r="C1719" t="s">
        <v>368</v>
      </c>
      <c r="D1719" t="s">
        <v>523</v>
      </c>
      <c r="E1719" t="s">
        <v>2191</v>
      </c>
      <c r="F1719" t="s">
        <v>2189</v>
      </c>
      <c r="G1719" t="s">
        <v>1436</v>
      </c>
      <c r="H1719" t="s">
        <v>458</v>
      </c>
      <c r="I1719" t="s">
        <v>374</v>
      </c>
      <c r="J1719" t="s">
        <v>1240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1436</v>
      </c>
      <c r="B1720" t="s">
        <v>2187</v>
      </c>
      <c r="C1720" t="s">
        <v>368</v>
      </c>
      <c r="D1720" t="s">
        <v>523</v>
      </c>
      <c r="E1720" t="s">
        <v>2192</v>
      </c>
      <c r="F1720" t="s">
        <v>2189</v>
      </c>
      <c r="G1720" t="s">
        <v>1436</v>
      </c>
      <c r="H1720" t="s">
        <v>458</v>
      </c>
      <c r="I1720" t="s">
        <v>374</v>
      </c>
      <c r="J1720" t="s">
        <v>1240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1436</v>
      </c>
      <c r="B1721" t="s">
        <v>2187</v>
      </c>
      <c r="C1721" t="s">
        <v>368</v>
      </c>
      <c r="D1721" t="s">
        <v>523</v>
      </c>
      <c r="E1721" t="s">
        <v>2193</v>
      </c>
      <c r="F1721" t="s">
        <v>2189</v>
      </c>
      <c r="G1721" t="s">
        <v>1436</v>
      </c>
      <c r="H1721" t="s">
        <v>458</v>
      </c>
      <c r="I1721" t="s">
        <v>374</v>
      </c>
      <c r="J1721" t="s">
        <v>1240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1436</v>
      </c>
      <c r="B1722" t="s">
        <v>2187</v>
      </c>
      <c r="C1722" t="s">
        <v>368</v>
      </c>
      <c r="D1722" t="s">
        <v>523</v>
      </c>
      <c r="E1722" t="s">
        <v>2194</v>
      </c>
      <c r="F1722" t="s">
        <v>2189</v>
      </c>
      <c r="G1722" t="s">
        <v>1436</v>
      </c>
      <c r="H1722" t="s">
        <v>458</v>
      </c>
      <c r="I1722" t="s">
        <v>374</v>
      </c>
      <c r="J1722" t="s">
        <v>1240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1436</v>
      </c>
      <c r="B1723" t="s">
        <v>2187</v>
      </c>
      <c r="C1723" t="s">
        <v>368</v>
      </c>
      <c r="D1723" t="s">
        <v>523</v>
      </c>
      <c r="E1723" t="s">
        <v>2195</v>
      </c>
      <c r="F1723" t="s">
        <v>2189</v>
      </c>
      <c r="G1723" t="s">
        <v>1436</v>
      </c>
      <c r="H1723" t="s">
        <v>458</v>
      </c>
      <c r="I1723" t="s">
        <v>374</v>
      </c>
      <c r="J1723" t="s">
        <v>1240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1436</v>
      </c>
      <c r="B1724" t="s">
        <v>2187</v>
      </c>
      <c r="C1724" t="s">
        <v>368</v>
      </c>
      <c r="D1724" t="s">
        <v>523</v>
      </c>
      <c r="E1724" t="s">
        <v>2196</v>
      </c>
      <c r="F1724" t="s">
        <v>2189</v>
      </c>
      <c r="G1724" t="s">
        <v>1436</v>
      </c>
      <c r="H1724" t="s">
        <v>458</v>
      </c>
      <c r="I1724" t="s">
        <v>374</v>
      </c>
      <c r="J1724" t="s">
        <v>1240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1436</v>
      </c>
      <c r="B1725" t="s">
        <v>2187</v>
      </c>
      <c r="C1725" t="s">
        <v>368</v>
      </c>
      <c r="D1725" t="s">
        <v>523</v>
      </c>
      <c r="E1725" t="s">
        <v>2197</v>
      </c>
      <c r="F1725" t="s">
        <v>2189</v>
      </c>
      <c r="G1725" t="s">
        <v>1436</v>
      </c>
      <c r="H1725" t="s">
        <v>458</v>
      </c>
      <c r="I1725" t="s">
        <v>374</v>
      </c>
      <c r="J1725" t="s">
        <v>1240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1436</v>
      </c>
      <c r="B1726" t="s">
        <v>2187</v>
      </c>
      <c r="C1726" t="s">
        <v>368</v>
      </c>
      <c r="D1726" t="s">
        <v>523</v>
      </c>
      <c r="E1726" t="s">
        <v>2198</v>
      </c>
      <c r="F1726" t="s">
        <v>2189</v>
      </c>
      <c r="G1726" t="s">
        <v>1436</v>
      </c>
      <c r="H1726" t="s">
        <v>458</v>
      </c>
      <c r="I1726" t="s">
        <v>374</v>
      </c>
      <c r="J1726" t="s">
        <v>1240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1436</v>
      </c>
      <c r="B1727" t="s">
        <v>2187</v>
      </c>
      <c r="C1727" t="s">
        <v>368</v>
      </c>
      <c r="D1727" t="s">
        <v>523</v>
      </c>
      <c r="E1727" t="s">
        <v>2199</v>
      </c>
      <c r="F1727" t="s">
        <v>2189</v>
      </c>
      <c r="G1727" t="s">
        <v>1436</v>
      </c>
      <c r="H1727" t="s">
        <v>458</v>
      </c>
      <c r="I1727" t="s">
        <v>374</v>
      </c>
      <c r="J1727" t="s">
        <v>1240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1436</v>
      </c>
      <c r="B1728" t="s">
        <v>2187</v>
      </c>
      <c r="C1728" t="s">
        <v>368</v>
      </c>
      <c r="D1728" t="s">
        <v>523</v>
      </c>
      <c r="E1728" t="s">
        <v>2200</v>
      </c>
      <c r="F1728" t="s">
        <v>2189</v>
      </c>
      <c r="G1728" t="s">
        <v>1436</v>
      </c>
      <c r="H1728" t="s">
        <v>458</v>
      </c>
      <c r="I1728" t="s">
        <v>374</v>
      </c>
      <c r="J1728" t="s">
        <v>1240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1436</v>
      </c>
      <c r="B1729" t="s">
        <v>2187</v>
      </c>
      <c r="C1729" t="s">
        <v>368</v>
      </c>
      <c r="D1729" t="s">
        <v>523</v>
      </c>
      <c r="E1729" t="s">
        <v>2201</v>
      </c>
      <c r="F1729" t="s">
        <v>2189</v>
      </c>
      <c r="G1729" t="s">
        <v>1436</v>
      </c>
      <c r="H1729" t="s">
        <v>458</v>
      </c>
      <c r="I1729" t="s">
        <v>374</v>
      </c>
      <c r="J1729" t="s">
        <v>1240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1436</v>
      </c>
      <c r="B1730" t="s">
        <v>2187</v>
      </c>
      <c r="C1730" t="s">
        <v>609</v>
      </c>
      <c r="D1730" t="s">
        <v>523</v>
      </c>
      <c r="E1730" t="s">
        <v>2202</v>
      </c>
      <c r="F1730" t="s">
        <v>2189</v>
      </c>
      <c r="G1730" t="s">
        <v>1436</v>
      </c>
      <c r="H1730" t="s">
        <v>458</v>
      </c>
      <c r="I1730" t="s">
        <v>374</v>
      </c>
      <c r="J1730" t="s">
        <v>1240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1436</v>
      </c>
      <c r="B1731" t="s">
        <v>2187</v>
      </c>
      <c r="C1731" t="s">
        <v>609</v>
      </c>
      <c r="D1731" t="s">
        <v>523</v>
      </c>
      <c r="E1731" t="s">
        <v>2203</v>
      </c>
      <c r="F1731" t="s">
        <v>2189</v>
      </c>
      <c r="G1731" t="s">
        <v>1436</v>
      </c>
      <c r="H1731" t="s">
        <v>458</v>
      </c>
      <c r="I1731" t="s">
        <v>374</v>
      </c>
      <c r="J1731" t="s">
        <v>1240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1436</v>
      </c>
      <c r="B1732" t="s">
        <v>2187</v>
      </c>
      <c r="C1732" t="s">
        <v>609</v>
      </c>
      <c r="D1732" t="s">
        <v>523</v>
      </c>
      <c r="E1732" t="s">
        <v>2204</v>
      </c>
      <c r="F1732" t="s">
        <v>2189</v>
      </c>
      <c r="G1732" t="s">
        <v>1436</v>
      </c>
      <c r="H1732" t="s">
        <v>458</v>
      </c>
      <c r="I1732" t="s">
        <v>374</v>
      </c>
      <c r="J1732" t="s">
        <v>1240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1436</v>
      </c>
      <c r="B1733" t="s">
        <v>2187</v>
      </c>
      <c r="C1733" t="s">
        <v>609</v>
      </c>
      <c r="D1733" t="s">
        <v>523</v>
      </c>
      <c r="E1733" t="s">
        <v>2205</v>
      </c>
      <c r="F1733" t="s">
        <v>2189</v>
      </c>
      <c r="G1733" t="s">
        <v>1436</v>
      </c>
      <c r="H1733" t="s">
        <v>458</v>
      </c>
      <c r="I1733" t="s">
        <v>374</v>
      </c>
      <c r="J1733" t="s">
        <v>1240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1436</v>
      </c>
      <c r="B1734" t="s">
        <v>2187</v>
      </c>
      <c r="C1734" t="s">
        <v>609</v>
      </c>
      <c r="D1734" t="s">
        <v>523</v>
      </c>
      <c r="E1734" t="s">
        <v>2206</v>
      </c>
      <c r="F1734" t="s">
        <v>2189</v>
      </c>
      <c r="G1734" t="s">
        <v>1436</v>
      </c>
      <c r="H1734" t="s">
        <v>458</v>
      </c>
      <c r="I1734" t="s">
        <v>374</v>
      </c>
      <c r="J1734" t="s">
        <v>1240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1436</v>
      </c>
      <c r="B1735" t="s">
        <v>2187</v>
      </c>
      <c r="C1735" t="s">
        <v>368</v>
      </c>
      <c r="D1735" t="s">
        <v>523</v>
      </c>
      <c r="E1735" t="s">
        <v>2207</v>
      </c>
      <c r="F1735" t="s">
        <v>2189</v>
      </c>
      <c r="G1735" t="s">
        <v>1436</v>
      </c>
      <c r="H1735" t="s">
        <v>458</v>
      </c>
      <c r="I1735" t="s">
        <v>374</v>
      </c>
      <c r="J1735" t="s">
        <v>1240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1436</v>
      </c>
      <c r="B1736" t="s">
        <v>2187</v>
      </c>
      <c r="C1736" t="s">
        <v>368</v>
      </c>
      <c r="D1736" t="s">
        <v>523</v>
      </c>
      <c r="E1736" t="s">
        <v>2208</v>
      </c>
      <c r="F1736" t="s">
        <v>2189</v>
      </c>
      <c r="G1736" t="s">
        <v>1436</v>
      </c>
      <c r="H1736" t="s">
        <v>458</v>
      </c>
      <c r="I1736" t="s">
        <v>374</v>
      </c>
      <c r="J1736" t="s">
        <v>1240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1436</v>
      </c>
      <c r="B1737" t="s">
        <v>2209</v>
      </c>
      <c r="C1737" t="s">
        <v>368</v>
      </c>
      <c r="D1737" t="s">
        <v>523</v>
      </c>
      <c r="E1737" t="s">
        <v>2210</v>
      </c>
      <c r="F1737" t="s">
        <v>2211</v>
      </c>
      <c r="G1737" t="s">
        <v>1436</v>
      </c>
      <c r="H1737" t="s">
        <v>458</v>
      </c>
      <c r="I1737" t="s">
        <v>374</v>
      </c>
      <c r="J1737" t="s">
        <v>1265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1436</v>
      </c>
      <c r="B1738" t="s">
        <v>2209</v>
      </c>
      <c r="C1738" t="s">
        <v>368</v>
      </c>
      <c r="D1738" t="s">
        <v>523</v>
      </c>
      <c r="E1738" t="s">
        <v>2212</v>
      </c>
      <c r="F1738" t="s">
        <v>2211</v>
      </c>
      <c r="G1738" t="s">
        <v>1436</v>
      </c>
      <c r="H1738" t="s">
        <v>458</v>
      </c>
      <c r="I1738" t="s">
        <v>374</v>
      </c>
      <c r="J1738" t="s">
        <v>1265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1436</v>
      </c>
      <c r="B1739" t="s">
        <v>2209</v>
      </c>
      <c r="C1739" t="s">
        <v>368</v>
      </c>
      <c r="D1739" t="s">
        <v>523</v>
      </c>
      <c r="E1739" t="s">
        <v>73</v>
      </c>
      <c r="F1739" t="s">
        <v>2211</v>
      </c>
      <c r="G1739" t="s">
        <v>1436</v>
      </c>
      <c r="H1739" t="s">
        <v>458</v>
      </c>
      <c r="I1739" t="s">
        <v>374</v>
      </c>
      <c r="J1739" t="s">
        <v>1265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1436</v>
      </c>
      <c r="B1740" t="s">
        <v>2209</v>
      </c>
      <c r="C1740" t="s">
        <v>368</v>
      </c>
      <c r="D1740" t="s">
        <v>523</v>
      </c>
      <c r="E1740" t="s">
        <v>2213</v>
      </c>
      <c r="F1740" t="s">
        <v>2211</v>
      </c>
      <c r="G1740" t="s">
        <v>1436</v>
      </c>
      <c r="H1740" t="s">
        <v>458</v>
      </c>
      <c r="I1740" t="s">
        <v>374</v>
      </c>
      <c r="J1740" t="s">
        <v>1265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1436</v>
      </c>
      <c r="B1741" t="s">
        <v>2209</v>
      </c>
      <c r="C1741" t="s">
        <v>368</v>
      </c>
      <c r="D1741" t="s">
        <v>523</v>
      </c>
      <c r="E1741" t="s">
        <v>74</v>
      </c>
      <c r="F1741" t="s">
        <v>2211</v>
      </c>
      <c r="G1741" t="s">
        <v>1436</v>
      </c>
      <c r="H1741" t="s">
        <v>458</v>
      </c>
      <c r="I1741" t="s">
        <v>374</v>
      </c>
      <c r="J1741" t="s">
        <v>1265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1436</v>
      </c>
      <c r="B1742" t="s">
        <v>2209</v>
      </c>
      <c r="C1742" t="s">
        <v>368</v>
      </c>
      <c r="D1742" t="s">
        <v>523</v>
      </c>
      <c r="E1742" t="s">
        <v>2214</v>
      </c>
      <c r="F1742" t="s">
        <v>2211</v>
      </c>
      <c r="G1742" t="s">
        <v>1436</v>
      </c>
      <c r="H1742" t="s">
        <v>458</v>
      </c>
      <c r="I1742" t="s">
        <v>374</v>
      </c>
      <c r="J1742" t="s">
        <v>1265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1436</v>
      </c>
      <c r="B1743" t="s">
        <v>2209</v>
      </c>
      <c r="C1743" t="s">
        <v>368</v>
      </c>
      <c r="D1743" t="s">
        <v>523</v>
      </c>
      <c r="E1743" t="s">
        <v>2215</v>
      </c>
      <c r="F1743" t="s">
        <v>2211</v>
      </c>
      <c r="G1743" t="s">
        <v>1436</v>
      </c>
      <c r="H1743" t="s">
        <v>458</v>
      </c>
      <c r="I1743" t="s">
        <v>374</v>
      </c>
      <c r="J1743" t="s">
        <v>1265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1436</v>
      </c>
      <c r="B1744" t="s">
        <v>2209</v>
      </c>
      <c r="C1744" t="s">
        <v>368</v>
      </c>
      <c r="D1744" t="s">
        <v>523</v>
      </c>
      <c r="E1744" t="s">
        <v>2216</v>
      </c>
      <c r="F1744" t="s">
        <v>2211</v>
      </c>
      <c r="G1744" t="s">
        <v>1436</v>
      </c>
      <c r="H1744" t="s">
        <v>458</v>
      </c>
      <c r="I1744" t="s">
        <v>374</v>
      </c>
      <c r="J1744" t="s">
        <v>1265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1436</v>
      </c>
      <c r="B1745" t="s">
        <v>2209</v>
      </c>
      <c r="C1745" t="s">
        <v>368</v>
      </c>
      <c r="D1745" t="s">
        <v>523</v>
      </c>
      <c r="E1745" t="s">
        <v>2217</v>
      </c>
      <c r="F1745" t="s">
        <v>2211</v>
      </c>
      <c r="G1745" t="s">
        <v>1436</v>
      </c>
      <c r="H1745" t="s">
        <v>458</v>
      </c>
      <c r="I1745" t="s">
        <v>374</v>
      </c>
      <c r="J1745" t="s">
        <v>1265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1436</v>
      </c>
      <c r="B1746" t="s">
        <v>2209</v>
      </c>
      <c r="C1746" t="s">
        <v>368</v>
      </c>
      <c r="D1746" t="s">
        <v>523</v>
      </c>
      <c r="E1746" t="s">
        <v>2218</v>
      </c>
      <c r="F1746" t="s">
        <v>2211</v>
      </c>
      <c r="G1746" t="s">
        <v>1436</v>
      </c>
      <c r="H1746" t="s">
        <v>458</v>
      </c>
      <c r="I1746" t="s">
        <v>374</v>
      </c>
      <c r="J1746" t="s">
        <v>1265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1436</v>
      </c>
      <c r="B1747" t="s">
        <v>2209</v>
      </c>
      <c r="C1747" t="s">
        <v>368</v>
      </c>
      <c r="D1747" t="s">
        <v>523</v>
      </c>
      <c r="E1747" t="s">
        <v>2219</v>
      </c>
      <c r="F1747" t="s">
        <v>2211</v>
      </c>
      <c r="G1747" t="s">
        <v>1436</v>
      </c>
      <c r="H1747" t="s">
        <v>458</v>
      </c>
      <c r="I1747" t="s">
        <v>374</v>
      </c>
      <c r="J1747" t="s">
        <v>1265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1436</v>
      </c>
      <c r="B1748" t="s">
        <v>2209</v>
      </c>
      <c r="C1748" t="s">
        <v>368</v>
      </c>
      <c r="D1748" t="s">
        <v>523</v>
      </c>
      <c r="E1748" t="s">
        <v>2220</v>
      </c>
      <c r="F1748" t="s">
        <v>2211</v>
      </c>
      <c r="G1748" t="s">
        <v>1436</v>
      </c>
      <c r="H1748" t="s">
        <v>458</v>
      </c>
      <c r="I1748" t="s">
        <v>374</v>
      </c>
      <c r="J1748" t="s">
        <v>1265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1436</v>
      </c>
      <c r="B1749" t="s">
        <v>2209</v>
      </c>
      <c r="C1749" t="s">
        <v>368</v>
      </c>
      <c r="D1749" t="s">
        <v>523</v>
      </c>
      <c r="E1749" t="s">
        <v>2221</v>
      </c>
      <c r="F1749" t="s">
        <v>2211</v>
      </c>
      <c r="G1749" t="s">
        <v>1436</v>
      </c>
      <c r="H1749" t="s">
        <v>458</v>
      </c>
      <c r="I1749" t="s">
        <v>374</v>
      </c>
      <c r="J1749" t="s">
        <v>1265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1436</v>
      </c>
      <c r="B1750" t="s">
        <v>2209</v>
      </c>
      <c r="C1750" t="s">
        <v>609</v>
      </c>
      <c r="D1750" t="s">
        <v>523</v>
      </c>
      <c r="E1750" t="s">
        <v>2222</v>
      </c>
      <c r="F1750" t="s">
        <v>2211</v>
      </c>
      <c r="G1750" t="s">
        <v>1436</v>
      </c>
      <c r="H1750" t="s">
        <v>458</v>
      </c>
      <c r="I1750" t="s">
        <v>374</v>
      </c>
      <c r="J1750" t="s">
        <v>1265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1436</v>
      </c>
      <c r="B1751" t="s">
        <v>2209</v>
      </c>
      <c r="C1751" t="s">
        <v>609</v>
      </c>
      <c r="D1751" t="s">
        <v>523</v>
      </c>
      <c r="E1751" t="s">
        <v>2223</v>
      </c>
      <c r="F1751" t="s">
        <v>2211</v>
      </c>
      <c r="G1751" t="s">
        <v>1436</v>
      </c>
      <c r="H1751" t="s">
        <v>458</v>
      </c>
      <c r="I1751" t="s">
        <v>374</v>
      </c>
      <c r="J1751" t="s">
        <v>1265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1436</v>
      </c>
      <c r="B1752" t="s">
        <v>2209</v>
      </c>
      <c r="C1752" t="s">
        <v>609</v>
      </c>
      <c r="D1752" t="s">
        <v>523</v>
      </c>
      <c r="E1752" t="s">
        <v>2224</v>
      </c>
      <c r="F1752" t="s">
        <v>2211</v>
      </c>
      <c r="G1752" t="s">
        <v>1436</v>
      </c>
      <c r="H1752" t="s">
        <v>458</v>
      </c>
      <c r="I1752" t="s">
        <v>374</v>
      </c>
      <c r="J1752" t="s">
        <v>1265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1436</v>
      </c>
      <c r="B1753" t="s">
        <v>2209</v>
      </c>
      <c r="C1753" t="s">
        <v>609</v>
      </c>
      <c r="D1753" t="s">
        <v>523</v>
      </c>
      <c r="E1753" t="s">
        <v>2225</v>
      </c>
      <c r="F1753" t="s">
        <v>2211</v>
      </c>
      <c r="G1753" t="s">
        <v>1436</v>
      </c>
      <c r="H1753" t="s">
        <v>458</v>
      </c>
      <c r="I1753" t="s">
        <v>374</v>
      </c>
      <c r="J1753" t="s">
        <v>1265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1436</v>
      </c>
      <c r="B1754" t="s">
        <v>2209</v>
      </c>
      <c r="C1754" t="s">
        <v>609</v>
      </c>
      <c r="D1754" t="s">
        <v>523</v>
      </c>
      <c r="E1754" t="s">
        <v>2226</v>
      </c>
      <c r="F1754" t="s">
        <v>2211</v>
      </c>
      <c r="G1754" t="s">
        <v>1436</v>
      </c>
      <c r="H1754" t="s">
        <v>458</v>
      </c>
      <c r="I1754" t="s">
        <v>374</v>
      </c>
      <c r="J1754" t="s">
        <v>1265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1436</v>
      </c>
      <c r="B1755" t="s">
        <v>2209</v>
      </c>
      <c r="C1755" t="s">
        <v>368</v>
      </c>
      <c r="D1755" t="s">
        <v>523</v>
      </c>
      <c r="E1755" t="s">
        <v>2227</v>
      </c>
      <c r="F1755" t="s">
        <v>2211</v>
      </c>
      <c r="G1755" t="s">
        <v>1436</v>
      </c>
      <c r="H1755" t="s">
        <v>458</v>
      </c>
      <c r="I1755" t="s">
        <v>374</v>
      </c>
      <c r="J1755" t="s">
        <v>1265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1436</v>
      </c>
      <c r="B1756" t="s">
        <v>2209</v>
      </c>
      <c r="C1756" t="s">
        <v>368</v>
      </c>
      <c r="D1756" t="s">
        <v>523</v>
      </c>
      <c r="E1756" t="s">
        <v>2228</v>
      </c>
      <c r="F1756" t="s">
        <v>2211</v>
      </c>
      <c r="G1756" t="s">
        <v>1436</v>
      </c>
      <c r="H1756" t="s">
        <v>458</v>
      </c>
      <c r="I1756" t="s">
        <v>374</v>
      </c>
      <c r="J1756" t="s">
        <v>1265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1436</v>
      </c>
      <c r="B1757" t="s">
        <v>2229</v>
      </c>
      <c r="C1757" t="s">
        <v>368</v>
      </c>
      <c r="D1757" t="s">
        <v>523</v>
      </c>
      <c r="E1757" t="s">
        <v>2230</v>
      </c>
      <c r="F1757" t="s">
        <v>2231</v>
      </c>
      <c r="G1757" t="s">
        <v>1436</v>
      </c>
      <c r="H1757" t="s">
        <v>458</v>
      </c>
      <c r="I1757" t="s">
        <v>374</v>
      </c>
      <c r="J1757" t="s">
        <v>1288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1436</v>
      </c>
      <c r="B1758" t="s">
        <v>2229</v>
      </c>
      <c r="C1758" t="s">
        <v>368</v>
      </c>
      <c r="D1758" t="s">
        <v>523</v>
      </c>
      <c r="E1758" t="s">
        <v>2232</v>
      </c>
      <c r="F1758" t="s">
        <v>2231</v>
      </c>
      <c r="G1758" t="s">
        <v>1436</v>
      </c>
      <c r="H1758" t="s">
        <v>458</v>
      </c>
      <c r="I1758" t="s">
        <v>374</v>
      </c>
      <c r="J1758" t="s">
        <v>1288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1436</v>
      </c>
      <c r="B1759" t="s">
        <v>2229</v>
      </c>
      <c r="C1759" t="s">
        <v>368</v>
      </c>
      <c r="D1759" t="s">
        <v>523</v>
      </c>
      <c r="E1759" t="s">
        <v>2233</v>
      </c>
      <c r="F1759" t="s">
        <v>2231</v>
      </c>
      <c r="G1759" t="s">
        <v>1436</v>
      </c>
      <c r="H1759" t="s">
        <v>458</v>
      </c>
      <c r="I1759" t="s">
        <v>374</v>
      </c>
      <c r="J1759" t="s">
        <v>1288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1436</v>
      </c>
      <c r="B1760" t="s">
        <v>2229</v>
      </c>
      <c r="C1760" t="s">
        <v>368</v>
      </c>
      <c r="D1760" t="s">
        <v>523</v>
      </c>
      <c r="E1760" t="s">
        <v>2234</v>
      </c>
      <c r="F1760" t="s">
        <v>2231</v>
      </c>
      <c r="G1760" t="s">
        <v>1436</v>
      </c>
      <c r="H1760" t="s">
        <v>458</v>
      </c>
      <c r="I1760" t="s">
        <v>374</v>
      </c>
      <c r="J1760" t="s">
        <v>1288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1436</v>
      </c>
      <c r="B1761" t="s">
        <v>2229</v>
      </c>
      <c r="C1761" t="s">
        <v>368</v>
      </c>
      <c r="D1761" t="s">
        <v>523</v>
      </c>
      <c r="E1761" t="s">
        <v>2235</v>
      </c>
      <c r="F1761" t="s">
        <v>2231</v>
      </c>
      <c r="G1761" t="s">
        <v>1436</v>
      </c>
      <c r="H1761" t="s">
        <v>458</v>
      </c>
      <c r="I1761" t="s">
        <v>374</v>
      </c>
      <c r="J1761" t="s">
        <v>1288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1436</v>
      </c>
      <c r="B1762" t="s">
        <v>2229</v>
      </c>
      <c r="C1762" t="s">
        <v>368</v>
      </c>
      <c r="D1762" t="s">
        <v>523</v>
      </c>
      <c r="E1762" t="s">
        <v>2236</v>
      </c>
      <c r="F1762" t="s">
        <v>2231</v>
      </c>
      <c r="G1762" t="s">
        <v>1436</v>
      </c>
      <c r="H1762" t="s">
        <v>458</v>
      </c>
      <c r="I1762" t="s">
        <v>374</v>
      </c>
      <c r="J1762" t="s">
        <v>1288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1436</v>
      </c>
      <c r="B1763" t="s">
        <v>2229</v>
      </c>
      <c r="C1763" t="s">
        <v>368</v>
      </c>
      <c r="D1763" t="s">
        <v>523</v>
      </c>
      <c r="E1763" t="s">
        <v>2237</v>
      </c>
      <c r="F1763" t="s">
        <v>2231</v>
      </c>
      <c r="G1763" t="s">
        <v>1436</v>
      </c>
      <c r="H1763" t="s">
        <v>458</v>
      </c>
      <c r="I1763" t="s">
        <v>374</v>
      </c>
      <c r="J1763" t="s">
        <v>1288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1436</v>
      </c>
      <c r="B1764" t="s">
        <v>2229</v>
      </c>
      <c r="C1764" t="s">
        <v>368</v>
      </c>
      <c r="D1764" t="s">
        <v>523</v>
      </c>
      <c r="E1764" t="s">
        <v>2238</v>
      </c>
      <c r="F1764" t="s">
        <v>2231</v>
      </c>
      <c r="G1764" t="s">
        <v>1436</v>
      </c>
      <c r="H1764" t="s">
        <v>458</v>
      </c>
      <c r="I1764" t="s">
        <v>374</v>
      </c>
      <c r="J1764" t="s">
        <v>1288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1436</v>
      </c>
      <c r="B1765" t="s">
        <v>2229</v>
      </c>
      <c r="C1765" t="s">
        <v>368</v>
      </c>
      <c r="D1765" t="s">
        <v>523</v>
      </c>
      <c r="E1765" t="s">
        <v>2239</v>
      </c>
      <c r="F1765" t="s">
        <v>2231</v>
      </c>
      <c r="G1765" t="s">
        <v>1436</v>
      </c>
      <c r="H1765" t="s">
        <v>458</v>
      </c>
      <c r="I1765" t="s">
        <v>374</v>
      </c>
      <c r="J1765" t="s">
        <v>1288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1436</v>
      </c>
      <c r="B1766" t="s">
        <v>2229</v>
      </c>
      <c r="C1766" t="s">
        <v>368</v>
      </c>
      <c r="D1766" t="s">
        <v>523</v>
      </c>
      <c r="E1766" t="s">
        <v>2240</v>
      </c>
      <c r="F1766" t="s">
        <v>2231</v>
      </c>
      <c r="G1766" t="s">
        <v>1436</v>
      </c>
      <c r="H1766" t="s">
        <v>458</v>
      </c>
      <c r="I1766" t="s">
        <v>374</v>
      </c>
      <c r="J1766" t="s">
        <v>1288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1436</v>
      </c>
      <c r="B1767" t="s">
        <v>2229</v>
      </c>
      <c r="C1767" t="s">
        <v>368</v>
      </c>
      <c r="D1767" t="s">
        <v>523</v>
      </c>
      <c r="E1767" t="s">
        <v>2241</v>
      </c>
      <c r="F1767" t="s">
        <v>2231</v>
      </c>
      <c r="G1767" t="s">
        <v>1436</v>
      </c>
      <c r="H1767" t="s">
        <v>458</v>
      </c>
      <c r="I1767" t="s">
        <v>374</v>
      </c>
      <c r="J1767" t="s">
        <v>1288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1436</v>
      </c>
      <c r="B1768" t="s">
        <v>2229</v>
      </c>
      <c r="C1768" t="s">
        <v>368</v>
      </c>
      <c r="D1768" t="s">
        <v>523</v>
      </c>
      <c r="E1768" t="s">
        <v>2242</v>
      </c>
      <c r="F1768" t="s">
        <v>2231</v>
      </c>
      <c r="G1768" t="s">
        <v>1436</v>
      </c>
      <c r="H1768" t="s">
        <v>458</v>
      </c>
      <c r="I1768" t="s">
        <v>374</v>
      </c>
      <c r="J1768" t="s">
        <v>1288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1436</v>
      </c>
      <c r="B1769" t="s">
        <v>2229</v>
      </c>
      <c r="C1769" t="s">
        <v>368</v>
      </c>
      <c r="D1769" t="s">
        <v>523</v>
      </c>
      <c r="E1769" t="s">
        <v>2243</v>
      </c>
      <c r="F1769" t="s">
        <v>2231</v>
      </c>
      <c r="G1769" t="s">
        <v>1436</v>
      </c>
      <c r="H1769" t="s">
        <v>458</v>
      </c>
      <c r="I1769" t="s">
        <v>374</v>
      </c>
      <c r="J1769" t="s">
        <v>1288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1436</v>
      </c>
      <c r="B1770" t="s">
        <v>2229</v>
      </c>
      <c r="C1770" t="s">
        <v>609</v>
      </c>
      <c r="D1770" t="s">
        <v>523</v>
      </c>
      <c r="E1770" t="s">
        <v>2244</v>
      </c>
      <c r="F1770" t="s">
        <v>2231</v>
      </c>
      <c r="G1770" t="s">
        <v>1436</v>
      </c>
      <c r="H1770" t="s">
        <v>458</v>
      </c>
      <c r="I1770" t="s">
        <v>374</v>
      </c>
      <c r="J1770" t="s">
        <v>1288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1436</v>
      </c>
      <c r="B1771" t="s">
        <v>2229</v>
      </c>
      <c r="C1771" t="s">
        <v>609</v>
      </c>
      <c r="D1771" t="s">
        <v>523</v>
      </c>
      <c r="E1771" t="s">
        <v>2245</v>
      </c>
      <c r="F1771" t="s">
        <v>2231</v>
      </c>
      <c r="G1771" t="s">
        <v>1436</v>
      </c>
      <c r="H1771" t="s">
        <v>458</v>
      </c>
      <c r="I1771" t="s">
        <v>374</v>
      </c>
      <c r="J1771" t="s">
        <v>1288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1436</v>
      </c>
      <c r="B1772" t="s">
        <v>2229</v>
      </c>
      <c r="C1772" t="s">
        <v>609</v>
      </c>
      <c r="D1772" t="s">
        <v>523</v>
      </c>
      <c r="E1772" t="s">
        <v>2246</v>
      </c>
      <c r="F1772" t="s">
        <v>2231</v>
      </c>
      <c r="G1772" t="s">
        <v>1436</v>
      </c>
      <c r="H1772" t="s">
        <v>458</v>
      </c>
      <c r="I1772" t="s">
        <v>374</v>
      </c>
      <c r="J1772" t="s">
        <v>1288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1436</v>
      </c>
      <c r="B1773" t="s">
        <v>2229</v>
      </c>
      <c r="C1773" t="s">
        <v>609</v>
      </c>
      <c r="D1773" t="s">
        <v>523</v>
      </c>
      <c r="E1773" t="s">
        <v>2247</v>
      </c>
      <c r="F1773" t="s">
        <v>2231</v>
      </c>
      <c r="G1773" t="s">
        <v>1436</v>
      </c>
      <c r="H1773" t="s">
        <v>458</v>
      </c>
      <c r="I1773" t="s">
        <v>374</v>
      </c>
      <c r="J1773" t="s">
        <v>1288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1436</v>
      </c>
      <c r="B1774" t="s">
        <v>2229</v>
      </c>
      <c r="C1774" t="s">
        <v>609</v>
      </c>
      <c r="D1774" t="s">
        <v>523</v>
      </c>
      <c r="E1774" t="s">
        <v>2248</v>
      </c>
      <c r="F1774" t="s">
        <v>2231</v>
      </c>
      <c r="G1774" t="s">
        <v>1436</v>
      </c>
      <c r="H1774" t="s">
        <v>458</v>
      </c>
      <c r="I1774" t="s">
        <v>374</v>
      </c>
      <c r="J1774" t="s">
        <v>1288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1436</v>
      </c>
      <c r="B1775" t="s">
        <v>2229</v>
      </c>
      <c r="C1775" t="s">
        <v>368</v>
      </c>
      <c r="D1775" t="s">
        <v>523</v>
      </c>
      <c r="E1775" t="s">
        <v>2249</v>
      </c>
      <c r="F1775" t="s">
        <v>2231</v>
      </c>
      <c r="G1775" t="s">
        <v>1436</v>
      </c>
      <c r="H1775" t="s">
        <v>458</v>
      </c>
      <c r="I1775" t="s">
        <v>374</v>
      </c>
      <c r="J1775" t="s">
        <v>1288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1436</v>
      </c>
      <c r="B1776" t="s">
        <v>2229</v>
      </c>
      <c r="C1776" t="s">
        <v>368</v>
      </c>
      <c r="D1776" t="s">
        <v>523</v>
      </c>
      <c r="E1776" t="s">
        <v>2250</v>
      </c>
      <c r="F1776" t="s">
        <v>2231</v>
      </c>
      <c r="G1776" t="s">
        <v>1436</v>
      </c>
      <c r="H1776" t="s">
        <v>458</v>
      </c>
      <c r="I1776" t="s">
        <v>374</v>
      </c>
      <c r="J1776" t="s">
        <v>1288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1436</v>
      </c>
      <c r="B1777" t="s">
        <v>2251</v>
      </c>
      <c r="C1777" t="s">
        <v>368</v>
      </c>
      <c r="D1777" t="s">
        <v>523</v>
      </c>
      <c r="E1777" t="s">
        <v>2252</v>
      </c>
      <c r="F1777" t="s">
        <v>2253</v>
      </c>
      <c r="G1777" t="s">
        <v>1436</v>
      </c>
      <c r="H1777" t="s">
        <v>458</v>
      </c>
      <c r="I1777" t="s">
        <v>374</v>
      </c>
      <c r="J1777" t="s">
        <v>1313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1436</v>
      </c>
      <c r="B1778" t="s">
        <v>2251</v>
      </c>
      <c r="C1778" t="s">
        <v>368</v>
      </c>
      <c r="D1778" t="s">
        <v>523</v>
      </c>
      <c r="E1778" t="s">
        <v>2254</v>
      </c>
      <c r="F1778" t="s">
        <v>2253</v>
      </c>
      <c r="G1778" t="s">
        <v>1436</v>
      </c>
      <c r="H1778" t="s">
        <v>458</v>
      </c>
      <c r="I1778" t="s">
        <v>374</v>
      </c>
      <c r="J1778" t="s">
        <v>1313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1436</v>
      </c>
      <c r="B1779" t="s">
        <v>2251</v>
      </c>
      <c r="C1779" t="s">
        <v>368</v>
      </c>
      <c r="D1779" t="s">
        <v>523</v>
      </c>
      <c r="E1779" t="s">
        <v>2255</v>
      </c>
      <c r="F1779" t="s">
        <v>2253</v>
      </c>
      <c r="G1779" t="s">
        <v>1436</v>
      </c>
      <c r="H1779" t="s">
        <v>458</v>
      </c>
      <c r="I1779" t="s">
        <v>374</v>
      </c>
      <c r="J1779" t="s">
        <v>1313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1436</v>
      </c>
      <c r="B1780" t="s">
        <v>2251</v>
      </c>
      <c r="C1780" t="s">
        <v>368</v>
      </c>
      <c r="D1780" t="s">
        <v>523</v>
      </c>
      <c r="E1780" t="s">
        <v>2256</v>
      </c>
      <c r="F1780" t="s">
        <v>2253</v>
      </c>
      <c r="G1780" t="s">
        <v>1436</v>
      </c>
      <c r="H1780" t="s">
        <v>458</v>
      </c>
      <c r="I1780" t="s">
        <v>374</v>
      </c>
      <c r="J1780" t="s">
        <v>1313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1436</v>
      </c>
      <c r="B1781" t="s">
        <v>2251</v>
      </c>
      <c r="C1781" t="s">
        <v>368</v>
      </c>
      <c r="D1781" t="s">
        <v>523</v>
      </c>
      <c r="E1781" t="s">
        <v>2257</v>
      </c>
      <c r="F1781" t="s">
        <v>2253</v>
      </c>
      <c r="G1781" t="s">
        <v>1436</v>
      </c>
      <c r="H1781" t="s">
        <v>458</v>
      </c>
      <c r="I1781" t="s">
        <v>374</v>
      </c>
      <c r="J1781" t="s">
        <v>1313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1436</v>
      </c>
      <c r="B1782" t="s">
        <v>2251</v>
      </c>
      <c r="C1782" t="s">
        <v>368</v>
      </c>
      <c r="D1782" t="s">
        <v>523</v>
      </c>
      <c r="E1782" t="s">
        <v>2258</v>
      </c>
      <c r="F1782" t="s">
        <v>2253</v>
      </c>
      <c r="G1782" t="s">
        <v>1436</v>
      </c>
      <c r="H1782" t="s">
        <v>458</v>
      </c>
      <c r="I1782" t="s">
        <v>374</v>
      </c>
      <c r="J1782" t="s">
        <v>1313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1436</v>
      </c>
      <c r="B1783" t="s">
        <v>2251</v>
      </c>
      <c r="C1783" t="s">
        <v>368</v>
      </c>
      <c r="D1783" t="s">
        <v>523</v>
      </c>
      <c r="E1783" t="s">
        <v>2259</v>
      </c>
      <c r="F1783" t="s">
        <v>2253</v>
      </c>
      <c r="G1783" t="s">
        <v>1436</v>
      </c>
      <c r="H1783" t="s">
        <v>458</v>
      </c>
      <c r="I1783" t="s">
        <v>374</v>
      </c>
      <c r="J1783" t="s">
        <v>1313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1436</v>
      </c>
      <c r="B1784" t="s">
        <v>2251</v>
      </c>
      <c r="C1784" t="s">
        <v>368</v>
      </c>
      <c r="D1784" t="s">
        <v>523</v>
      </c>
      <c r="E1784" t="s">
        <v>2260</v>
      </c>
      <c r="F1784" t="s">
        <v>2253</v>
      </c>
      <c r="G1784" t="s">
        <v>1436</v>
      </c>
      <c r="H1784" t="s">
        <v>458</v>
      </c>
      <c r="I1784" t="s">
        <v>374</v>
      </c>
      <c r="J1784" t="s">
        <v>1313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1436</v>
      </c>
      <c r="B1785" t="s">
        <v>2251</v>
      </c>
      <c r="C1785" t="s">
        <v>368</v>
      </c>
      <c r="D1785" t="s">
        <v>523</v>
      </c>
      <c r="E1785" t="s">
        <v>2261</v>
      </c>
      <c r="F1785" t="s">
        <v>2253</v>
      </c>
      <c r="G1785" t="s">
        <v>1436</v>
      </c>
      <c r="H1785" t="s">
        <v>458</v>
      </c>
      <c r="I1785" t="s">
        <v>374</v>
      </c>
      <c r="J1785" t="s">
        <v>1313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1436</v>
      </c>
      <c r="B1786" t="s">
        <v>2251</v>
      </c>
      <c r="C1786" t="s">
        <v>368</v>
      </c>
      <c r="D1786" t="s">
        <v>523</v>
      </c>
      <c r="E1786" t="s">
        <v>2262</v>
      </c>
      <c r="F1786" t="s">
        <v>2253</v>
      </c>
      <c r="G1786" t="s">
        <v>1436</v>
      </c>
      <c r="H1786" t="s">
        <v>458</v>
      </c>
      <c r="I1786" t="s">
        <v>374</v>
      </c>
      <c r="J1786" t="s">
        <v>1313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1436</v>
      </c>
      <c r="B1787" t="s">
        <v>2251</v>
      </c>
      <c r="C1787" t="s">
        <v>368</v>
      </c>
      <c r="D1787" t="s">
        <v>523</v>
      </c>
      <c r="E1787" t="s">
        <v>2263</v>
      </c>
      <c r="F1787" t="s">
        <v>2253</v>
      </c>
      <c r="G1787" t="s">
        <v>1436</v>
      </c>
      <c r="H1787" t="s">
        <v>458</v>
      </c>
      <c r="I1787" t="s">
        <v>374</v>
      </c>
      <c r="J1787" t="s">
        <v>1313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1436</v>
      </c>
      <c r="B1788" t="s">
        <v>2251</v>
      </c>
      <c r="C1788" t="s">
        <v>368</v>
      </c>
      <c r="D1788" t="s">
        <v>523</v>
      </c>
      <c r="E1788" t="s">
        <v>2264</v>
      </c>
      <c r="F1788" t="s">
        <v>2253</v>
      </c>
      <c r="G1788" t="s">
        <v>1436</v>
      </c>
      <c r="H1788" t="s">
        <v>458</v>
      </c>
      <c r="I1788" t="s">
        <v>374</v>
      </c>
      <c r="J1788" t="s">
        <v>1313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1436</v>
      </c>
      <c r="B1789" t="s">
        <v>2251</v>
      </c>
      <c r="C1789" t="s">
        <v>368</v>
      </c>
      <c r="D1789" t="s">
        <v>523</v>
      </c>
      <c r="E1789" t="s">
        <v>2265</v>
      </c>
      <c r="F1789" t="s">
        <v>2253</v>
      </c>
      <c r="G1789" t="s">
        <v>1436</v>
      </c>
      <c r="H1789" t="s">
        <v>458</v>
      </c>
      <c r="I1789" t="s">
        <v>374</v>
      </c>
      <c r="J1789" t="s">
        <v>1313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1436</v>
      </c>
      <c r="B1790" t="s">
        <v>2251</v>
      </c>
      <c r="C1790" t="s">
        <v>609</v>
      </c>
      <c r="D1790" t="s">
        <v>523</v>
      </c>
      <c r="E1790" t="s">
        <v>2266</v>
      </c>
      <c r="F1790" t="s">
        <v>2253</v>
      </c>
      <c r="G1790" t="s">
        <v>1436</v>
      </c>
      <c r="H1790" t="s">
        <v>458</v>
      </c>
      <c r="I1790" t="s">
        <v>374</v>
      </c>
      <c r="J1790" t="s">
        <v>1313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1436</v>
      </c>
      <c r="B1791" t="s">
        <v>2251</v>
      </c>
      <c r="C1791" t="s">
        <v>609</v>
      </c>
      <c r="D1791" t="s">
        <v>523</v>
      </c>
      <c r="E1791" t="s">
        <v>2267</v>
      </c>
      <c r="F1791" t="s">
        <v>2253</v>
      </c>
      <c r="G1791" t="s">
        <v>1436</v>
      </c>
      <c r="H1791" t="s">
        <v>458</v>
      </c>
      <c r="I1791" t="s">
        <v>374</v>
      </c>
      <c r="J1791" t="s">
        <v>1313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1436</v>
      </c>
      <c r="B1792" t="s">
        <v>2251</v>
      </c>
      <c r="C1792" t="s">
        <v>609</v>
      </c>
      <c r="D1792" t="s">
        <v>523</v>
      </c>
      <c r="E1792" t="s">
        <v>2268</v>
      </c>
      <c r="F1792" t="s">
        <v>2253</v>
      </c>
      <c r="G1792" t="s">
        <v>1436</v>
      </c>
      <c r="H1792" t="s">
        <v>458</v>
      </c>
      <c r="I1792" t="s">
        <v>374</v>
      </c>
      <c r="J1792" t="s">
        <v>1313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1436</v>
      </c>
      <c r="B1793" t="s">
        <v>2251</v>
      </c>
      <c r="C1793" t="s">
        <v>609</v>
      </c>
      <c r="D1793" t="s">
        <v>523</v>
      </c>
      <c r="E1793" t="s">
        <v>2269</v>
      </c>
      <c r="F1793" t="s">
        <v>2253</v>
      </c>
      <c r="G1793" t="s">
        <v>1436</v>
      </c>
      <c r="H1793" t="s">
        <v>458</v>
      </c>
      <c r="I1793" t="s">
        <v>374</v>
      </c>
      <c r="J1793" t="s">
        <v>1313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1436</v>
      </c>
      <c r="B1794" t="s">
        <v>2251</v>
      </c>
      <c r="C1794" t="s">
        <v>609</v>
      </c>
      <c r="D1794" t="s">
        <v>523</v>
      </c>
      <c r="E1794" t="s">
        <v>2270</v>
      </c>
      <c r="F1794" t="s">
        <v>2253</v>
      </c>
      <c r="G1794" t="s">
        <v>1436</v>
      </c>
      <c r="H1794" t="s">
        <v>458</v>
      </c>
      <c r="I1794" t="s">
        <v>374</v>
      </c>
      <c r="J1794" t="s">
        <v>1313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1436</v>
      </c>
      <c r="B1795" t="s">
        <v>2251</v>
      </c>
      <c r="C1795" t="s">
        <v>368</v>
      </c>
      <c r="D1795" t="s">
        <v>523</v>
      </c>
      <c r="E1795" t="s">
        <v>2271</v>
      </c>
      <c r="F1795" t="s">
        <v>2253</v>
      </c>
      <c r="G1795" t="s">
        <v>1436</v>
      </c>
      <c r="H1795" t="s">
        <v>458</v>
      </c>
      <c r="I1795" t="s">
        <v>374</v>
      </c>
      <c r="J1795" t="s">
        <v>1313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1436</v>
      </c>
      <c r="B1796" t="s">
        <v>2251</v>
      </c>
      <c r="C1796" t="s">
        <v>368</v>
      </c>
      <c r="D1796" t="s">
        <v>523</v>
      </c>
      <c r="E1796" t="s">
        <v>2272</v>
      </c>
      <c r="F1796" t="s">
        <v>2253</v>
      </c>
      <c r="G1796" t="s">
        <v>1436</v>
      </c>
      <c r="H1796" t="s">
        <v>458</v>
      </c>
      <c r="I1796" t="s">
        <v>374</v>
      </c>
      <c r="J1796" t="s">
        <v>1313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1436</v>
      </c>
      <c r="B1797" t="s">
        <v>1575</v>
      </c>
      <c r="C1797" t="s">
        <v>1438</v>
      </c>
      <c r="D1797" t="s">
        <v>523</v>
      </c>
      <c r="E1797" t="s">
        <v>2273</v>
      </c>
      <c r="F1797" t="s">
        <v>2274</v>
      </c>
      <c r="G1797" t="s">
        <v>1436</v>
      </c>
      <c r="H1797" t="s">
        <v>458</v>
      </c>
      <c r="I1797" t="s">
        <v>1438</v>
      </c>
      <c r="J1797" t="s">
        <v>429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1436</v>
      </c>
      <c r="B1798" t="s">
        <v>1532</v>
      </c>
      <c r="C1798" t="s">
        <v>1438</v>
      </c>
      <c r="D1798" t="s">
        <v>523</v>
      </c>
      <c r="E1798" t="s">
        <v>2275</v>
      </c>
      <c r="F1798" t="s">
        <v>2276</v>
      </c>
      <c r="G1798" t="s">
        <v>1436</v>
      </c>
      <c r="H1798" t="s">
        <v>1335</v>
      </c>
      <c r="I1798" t="s">
        <v>1438</v>
      </c>
      <c r="J1798" t="s">
        <v>698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1436</v>
      </c>
      <c r="B1799" t="s">
        <v>2277</v>
      </c>
      <c r="C1799" t="s">
        <v>1341</v>
      </c>
      <c r="D1799" t="s">
        <v>523</v>
      </c>
      <c r="E1799" t="s">
        <v>2278</v>
      </c>
      <c r="F1799" t="s">
        <v>2279</v>
      </c>
      <c r="G1799" t="s">
        <v>1436</v>
      </c>
      <c r="H1799" t="s">
        <v>1341</v>
      </c>
      <c r="I1799" t="s">
        <v>374</v>
      </c>
      <c r="J1799" t="s">
        <v>2280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1436</v>
      </c>
      <c r="B1800" t="s">
        <v>2281</v>
      </c>
      <c r="C1800" t="s">
        <v>1341</v>
      </c>
      <c r="D1800" t="s">
        <v>523</v>
      </c>
      <c r="E1800" t="s">
        <v>2282</v>
      </c>
      <c r="F1800" t="s">
        <v>2283</v>
      </c>
      <c r="G1800" t="s">
        <v>1436</v>
      </c>
      <c r="H1800" t="s">
        <v>1341</v>
      </c>
      <c r="I1800" t="s">
        <v>374</v>
      </c>
      <c r="J1800" t="s">
        <v>1343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1436</v>
      </c>
      <c r="B1801" t="s">
        <v>2284</v>
      </c>
      <c r="C1801" t="s">
        <v>1341</v>
      </c>
      <c r="D1801" t="s">
        <v>523</v>
      </c>
      <c r="E1801" t="s">
        <v>2285</v>
      </c>
      <c r="F1801" t="s">
        <v>2286</v>
      </c>
      <c r="G1801" t="s">
        <v>1436</v>
      </c>
      <c r="H1801" t="s">
        <v>1341</v>
      </c>
      <c r="I1801" t="s">
        <v>374</v>
      </c>
      <c r="J1801" t="s">
        <v>1347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1436</v>
      </c>
      <c r="B1802" t="s">
        <v>2287</v>
      </c>
      <c r="C1802" t="s">
        <v>1341</v>
      </c>
      <c r="D1802" t="s">
        <v>523</v>
      </c>
      <c r="E1802" t="s">
        <v>2288</v>
      </c>
      <c r="F1802" t="s">
        <v>2289</v>
      </c>
      <c r="G1802" t="s">
        <v>1436</v>
      </c>
      <c r="H1802" t="s">
        <v>1341</v>
      </c>
      <c r="I1802" t="s">
        <v>374</v>
      </c>
      <c r="J1802" t="s">
        <v>2290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1436</v>
      </c>
      <c r="B1803" t="s">
        <v>2291</v>
      </c>
      <c r="C1803" t="s">
        <v>1341</v>
      </c>
      <c r="D1803" t="s">
        <v>523</v>
      </c>
      <c r="E1803" t="s">
        <v>2292</v>
      </c>
      <c r="F1803" t="s">
        <v>2293</v>
      </c>
      <c r="G1803" t="s">
        <v>1436</v>
      </c>
      <c r="H1803" t="s">
        <v>1341</v>
      </c>
      <c r="I1803" t="s">
        <v>374</v>
      </c>
      <c r="J1803" t="s">
        <v>2294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2295</v>
      </c>
      <c r="B1804" t="s">
        <v>2296</v>
      </c>
      <c r="C1804" t="s">
        <v>1341</v>
      </c>
      <c r="D1804" t="s">
        <v>523</v>
      </c>
      <c r="E1804" t="s">
        <v>161</v>
      </c>
      <c r="F1804" t="s">
        <v>2297</v>
      </c>
      <c r="G1804" t="s">
        <v>2295</v>
      </c>
      <c r="H1804" t="s">
        <v>1341</v>
      </c>
      <c r="I1804" t="s">
        <v>374</v>
      </c>
      <c r="J1804" t="s">
        <v>1343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2298</v>
      </c>
      <c r="B1805" t="s">
        <v>2299</v>
      </c>
      <c r="C1805" t="s">
        <v>368</v>
      </c>
      <c r="D1805" t="s">
        <v>523</v>
      </c>
      <c r="E1805" t="s">
        <v>2300</v>
      </c>
      <c r="F1805" t="s">
        <v>2301</v>
      </c>
      <c r="G1805" t="s">
        <v>2298</v>
      </c>
      <c r="H1805" t="s">
        <v>458</v>
      </c>
      <c r="I1805" t="s">
        <v>374</v>
      </c>
      <c r="J1805" t="s">
        <v>429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2298</v>
      </c>
      <c r="B1806" t="s">
        <v>2299</v>
      </c>
      <c r="C1806" t="s">
        <v>368</v>
      </c>
      <c r="D1806" t="s">
        <v>523</v>
      </c>
      <c r="E1806" t="s">
        <v>2302</v>
      </c>
      <c r="F1806" t="s">
        <v>2301</v>
      </c>
      <c r="G1806" t="s">
        <v>2298</v>
      </c>
      <c r="H1806" t="s">
        <v>458</v>
      </c>
      <c r="I1806" t="s">
        <v>374</v>
      </c>
      <c r="J1806" t="s">
        <v>429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2298</v>
      </c>
      <c r="B1807" t="s">
        <v>2299</v>
      </c>
      <c r="C1807" t="s">
        <v>368</v>
      </c>
      <c r="D1807" t="s">
        <v>523</v>
      </c>
      <c r="E1807" t="s">
        <v>2303</v>
      </c>
      <c r="F1807" t="s">
        <v>2301</v>
      </c>
      <c r="G1807" t="s">
        <v>2298</v>
      </c>
      <c r="H1807" t="s">
        <v>458</v>
      </c>
      <c r="I1807" t="s">
        <v>374</v>
      </c>
      <c r="J1807" t="s">
        <v>429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2298</v>
      </c>
      <c r="B1808" t="s">
        <v>2299</v>
      </c>
      <c r="C1808" t="s">
        <v>368</v>
      </c>
      <c r="D1808" t="s">
        <v>523</v>
      </c>
      <c r="E1808" t="s">
        <v>2304</v>
      </c>
      <c r="F1808" t="s">
        <v>2301</v>
      </c>
      <c r="G1808" t="s">
        <v>2298</v>
      </c>
      <c r="H1808" t="s">
        <v>458</v>
      </c>
      <c r="I1808" t="s">
        <v>374</v>
      </c>
      <c r="J1808" t="s">
        <v>429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2298</v>
      </c>
      <c r="B1809" t="s">
        <v>2299</v>
      </c>
      <c r="C1809" t="s">
        <v>368</v>
      </c>
      <c r="D1809" t="s">
        <v>523</v>
      </c>
      <c r="E1809" t="s">
        <v>2305</v>
      </c>
      <c r="F1809" t="s">
        <v>2301</v>
      </c>
      <c r="G1809" t="s">
        <v>2298</v>
      </c>
      <c r="H1809" t="s">
        <v>458</v>
      </c>
      <c r="I1809" t="s">
        <v>374</v>
      </c>
      <c r="J1809" t="s">
        <v>429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2298</v>
      </c>
      <c r="B1810" t="s">
        <v>2299</v>
      </c>
      <c r="C1810" t="s">
        <v>368</v>
      </c>
      <c r="D1810" t="s">
        <v>523</v>
      </c>
      <c r="E1810" t="s">
        <v>2306</v>
      </c>
      <c r="F1810" t="s">
        <v>2301</v>
      </c>
      <c r="G1810" t="s">
        <v>2298</v>
      </c>
      <c r="H1810" t="s">
        <v>458</v>
      </c>
      <c r="I1810" t="s">
        <v>374</v>
      </c>
      <c r="J1810" t="s">
        <v>429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2298</v>
      </c>
      <c r="B1811" t="s">
        <v>2299</v>
      </c>
      <c r="C1811" t="s">
        <v>368</v>
      </c>
      <c r="D1811" t="s">
        <v>523</v>
      </c>
      <c r="E1811" t="s">
        <v>2307</v>
      </c>
      <c r="F1811" t="s">
        <v>2301</v>
      </c>
      <c r="G1811" t="s">
        <v>2298</v>
      </c>
      <c r="H1811" t="s">
        <v>458</v>
      </c>
      <c r="I1811" t="s">
        <v>374</v>
      </c>
      <c r="J1811" t="s">
        <v>429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2298</v>
      </c>
      <c r="B1812" t="s">
        <v>2299</v>
      </c>
      <c r="C1812" t="s">
        <v>368</v>
      </c>
      <c r="D1812" t="s">
        <v>523</v>
      </c>
      <c r="E1812" t="s">
        <v>2308</v>
      </c>
      <c r="F1812" t="s">
        <v>2301</v>
      </c>
      <c r="G1812" t="s">
        <v>2298</v>
      </c>
      <c r="H1812" t="s">
        <v>458</v>
      </c>
      <c r="I1812" t="s">
        <v>374</v>
      </c>
      <c r="J1812" t="s">
        <v>429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2298</v>
      </c>
      <c r="B1813" t="s">
        <v>2309</v>
      </c>
      <c r="C1813" t="s">
        <v>368</v>
      </c>
      <c r="D1813" t="s">
        <v>523</v>
      </c>
      <c r="E1813" t="s">
        <v>2310</v>
      </c>
      <c r="F1813" t="s">
        <v>2311</v>
      </c>
      <c r="G1813" t="s">
        <v>2298</v>
      </c>
      <c r="H1813" t="s">
        <v>458</v>
      </c>
      <c r="I1813" t="s">
        <v>374</v>
      </c>
      <c r="J1813" t="s">
        <v>757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2298</v>
      </c>
      <c r="B1814" t="s">
        <v>2309</v>
      </c>
      <c r="C1814" t="s">
        <v>368</v>
      </c>
      <c r="D1814" t="s">
        <v>523</v>
      </c>
      <c r="E1814" t="s">
        <v>2312</v>
      </c>
      <c r="F1814" t="s">
        <v>2311</v>
      </c>
      <c r="G1814" t="s">
        <v>2298</v>
      </c>
      <c r="H1814" t="s">
        <v>458</v>
      </c>
      <c r="I1814" t="s">
        <v>374</v>
      </c>
      <c r="J1814" t="s">
        <v>757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2298</v>
      </c>
      <c r="B1815" t="s">
        <v>2309</v>
      </c>
      <c r="C1815" t="s">
        <v>368</v>
      </c>
      <c r="D1815" t="s">
        <v>523</v>
      </c>
      <c r="E1815" t="s">
        <v>2313</v>
      </c>
      <c r="F1815" t="s">
        <v>2311</v>
      </c>
      <c r="G1815" t="s">
        <v>2298</v>
      </c>
      <c r="H1815" t="s">
        <v>458</v>
      </c>
      <c r="I1815" t="s">
        <v>374</v>
      </c>
      <c r="J1815" t="s">
        <v>757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2298</v>
      </c>
      <c r="B1816" t="s">
        <v>2309</v>
      </c>
      <c r="C1816" t="s">
        <v>368</v>
      </c>
      <c r="D1816" t="s">
        <v>523</v>
      </c>
      <c r="E1816" t="s">
        <v>2314</v>
      </c>
      <c r="F1816" t="s">
        <v>2311</v>
      </c>
      <c r="G1816" t="s">
        <v>2298</v>
      </c>
      <c r="H1816" t="s">
        <v>458</v>
      </c>
      <c r="I1816" t="s">
        <v>374</v>
      </c>
      <c r="J1816" t="s">
        <v>757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2298</v>
      </c>
      <c r="B1817" t="s">
        <v>2309</v>
      </c>
      <c r="C1817" t="s">
        <v>368</v>
      </c>
      <c r="D1817" t="s">
        <v>523</v>
      </c>
      <c r="E1817" t="s">
        <v>2315</v>
      </c>
      <c r="F1817" t="s">
        <v>2311</v>
      </c>
      <c r="G1817" t="s">
        <v>2298</v>
      </c>
      <c r="H1817" t="s">
        <v>458</v>
      </c>
      <c r="I1817" t="s">
        <v>374</v>
      </c>
      <c r="J1817" t="s">
        <v>757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2298</v>
      </c>
      <c r="B1818" t="s">
        <v>2309</v>
      </c>
      <c r="C1818" t="s">
        <v>368</v>
      </c>
      <c r="D1818" t="s">
        <v>523</v>
      </c>
      <c r="E1818" t="s">
        <v>2316</v>
      </c>
      <c r="F1818" t="s">
        <v>2311</v>
      </c>
      <c r="G1818" t="s">
        <v>2298</v>
      </c>
      <c r="H1818" t="s">
        <v>458</v>
      </c>
      <c r="I1818" t="s">
        <v>374</v>
      </c>
      <c r="J1818" t="s">
        <v>757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2298</v>
      </c>
      <c r="B1819" t="s">
        <v>2309</v>
      </c>
      <c r="C1819" t="s">
        <v>368</v>
      </c>
      <c r="D1819" t="s">
        <v>523</v>
      </c>
      <c r="E1819" t="s">
        <v>2317</v>
      </c>
      <c r="F1819" t="s">
        <v>2311</v>
      </c>
      <c r="G1819" t="s">
        <v>2298</v>
      </c>
      <c r="H1819" t="s">
        <v>458</v>
      </c>
      <c r="I1819" t="s">
        <v>374</v>
      </c>
      <c r="J1819" t="s">
        <v>757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2298</v>
      </c>
      <c r="B1820" t="s">
        <v>2309</v>
      </c>
      <c r="C1820" t="s">
        <v>368</v>
      </c>
      <c r="D1820" t="s">
        <v>523</v>
      </c>
      <c r="E1820" t="s">
        <v>2318</v>
      </c>
      <c r="F1820" t="s">
        <v>2311</v>
      </c>
      <c r="G1820" t="s">
        <v>2298</v>
      </c>
      <c r="H1820" t="s">
        <v>458</v>
      </c>
      <c r="I1820" t="s">
        <v>374</v>
      </c>
      <c r="J1820" t="s">
        <v>757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2298</v>
      </c>
      <c r="B1821" t="s">
        <v>2319</v>
      </c>
      <c r="C1821" t="s">
        <v>368</v>
      </c>
      <c r="D1821" t="s">
        <v>523</v>
      </c>
      <c r="E1821" t="s">
        <v>2320</v>
      </c>
      <c r="F1821" t="s">
        <v>2321</v>
      </c>
      <c r="G1821" t="s">
        <v>2298</v>
      </c>
      <c r="H1821" t="s">
        <v>458</v>
      </c>
      <c r="I1821" t="s">
        <v>374</v>
      </c>
      <c r="J1821" t="s">
        <v>782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2298</v>
      </c>
      <c r="B1822" t="s">
        <v>2319</v>
      </c>
      <c r="C1822" t="s">
        <v>368</v>
      </c>
      <c r="D1822" t="s">
        <v>523</v>
      </c>
      <c r="E1822" t="s">
        <v>2322</v>
      </c>
      <c r="F1822" t="s">
        <v>2321</v>
      </c>
      <c r="G1822" t="s">
        <v>2298</v>
      </c>
      <c r="H1822" t="s">
        <v>458</v>
      </c>
      <c r="I1822" t="s">
        <v>374</v>
      </c>
      <c r="J1822" t="s">
        <v>782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2298</v>
      </c>
      <c r="B1823" t="s">
        <v>2319</v>
      </c>
      <c r="C1823" t="s">
        <v>368</v>
      </c>
      <c r="D1823" t="s">
        <v>523</v>
      </c>
      <c r="E1823" t="s">
        <v>2323</v>
      </c>
      <c r="F1823" t="s">
        <v>2321</v>
      </c>
      <c r="G1823" t="s">
        <v>2298</v>
      </c>
      <c r="H1823" t="s">
        <v>458</v>
      </c>
      <c r="I1823" t="s">
        <v>374</v>
      </c>
      <c r="J1823" t="s">
        <v>782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2298</v>
      </c>
      <c r="B1824" t="s">
        <v>2319</v>
      </c>
      <c r="C1824" t="s">
        <v>368</v>
      </c>
      <c r="D1824" t="s">
        <v>523</v>
      </c>
      <c r="E1824" t="s">
        <v>2324</v>
      </c>
      <c r="F1824" t="s">
        <v>2321</v>
      </c>
      <c r="G1824" t="s">
        <v>2298</v>
      </c>
      <c r="H1824" t="s">
        <v>458</v>
      </c>
      <c r="I1824" t="s">
        <v>374</v>
      </c>
      <c r="J1824" t="s">
        <v>782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2298</v>
      </c>
      <c r="B1825" t="s">
        <v>2319</v>
      </c>
      <c r="C1825" t="s">
        <v>368</v>
      </c>
      <c r="D1825" t="s">
        <v>523</v>
      </c>
      <c r="E1825" t="s">
        <v>2325</v>
      </c>
      <c r="F1825" t="s">
        <v>2321</v>
      </c>
      <c r="G1825" t="s">
        <v>2298</v>
      </c>
      <c r="H1825" t="s">
        <v>458</v>
      </c>
      <c r="I1825" t="s">
        <v>374</v>
      </c>
      <c r="J1825" t="s">
        <v>782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2298</v>
      </c>
      <c r="B1826" t="s">
        <v>2319</v>
      </c>
      <c r="C1826" t="s">
        <v>368</v>
      </c>
      <c r="D1826" t="s">
        <v>523</v>
      </c>
      <c r="E1826" t="s">
        <v>2326</v>
      </c>
      <c r="F1826" t="s">
        <v>2321</v>
      </c>
      <c r="G1826" t="s">
        <v>2298</v>
      </c>
      <c r="H1826" t="s">
        <v>458</v>
      </c>
      <c r="I1826" t="s">
        <v>374</v>
      </c>
      <c r="J1826" t="s">
        <v>782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2298</v>
      </c>
      <c r="B1827" t="s">
        <v>2319</v>
      </c>
      <c r="C1827" t="s">
        <v>368</v>
      </c>
      <c r="D1827" t="s">
        <v>523</v>
      </c>
      <c r="E1827" t="s">
        <v>2327</v>
      </c>
      <c r="F1827" t="s">
        <v>2321</v>
      </c>
      <c r="G1827" t="s">
        <v>2298</v>
      </c>
      <c r="H1827" t="s">
        <v>458</v>
      </c>
      <c r="I1827" t="s">
        <v>374</v>
      </c>
      <c r="J1827" t="s">
        <v>782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2298</v>
      </c>
      <c r="B1828" t="s">
        <v>2319</v>
      </c>
      <c r="C1828" t="s">
        <v>368</v>
      </c>
      <c r="D1828" t="s">
        <v>523</v>
      </c>
      <c r="E1828" t="s">
        <v>2328</v>
      </c>
      <c r="F1828" t="s">
        <v>2321</v>
      </c>
      <c r="G1828" t="s">
        <v>2298</v>
      </c>
      <c r="H1828" t="s">
        <v>458</v>
      </c>
      <c r="I1828" t="s">
        <v>374</v>
      </c>
      <c r="J1828" t="s">
        <v>782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2298</v>
      </c>
      <c r="B1829" t="s">
        <v>2319</v>
      </c>
      <c r="C1829" t="s">
        <v>368</v>
      </c>
      <c r="D1829" t="s">
        <v>523</v>
      </c>
      <c r="E1829" t="s">
        <v>2329</v>
      </c>
      <c r="F1829" t="s">
        <v>2321</v>
      </c>
      <c r="G1829" t="s">
        <v>2298</v>
      </c>
      <c r="H1829" t="s">
        <v>458</v>
      </c>
      <c r="I1829" t="s">
        <v>374</v>
      </c>
      <c r="J1829" t="s">
        <v>782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2298</v>
      </c>
      <c r="B1830" t="s">
        <v>2319</v>
      </c>
      <c r="C1830" t="s">
        <v>368</v>
      </c>
      <c r="D1830" t="s">
        <v>523</v>
      </c>
      <c r="E1830" t="s">
        <v>2330</v>
      </c>
      <c r="F1830" t="s">
        <v>2321</v>
      </c>
      <c r="G1830" t="s">
        <v>2298</v>
      </c>
      <c r="H1830" t="s">
        <v>458</v>
      </c>
      <c r="I1830" t="s">
        <v>374</v>
      </c>
      <c r="J1830" t="s">
        <v>782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2298</v>
      </c>
      <c r="B1831" t="s">
        <v>2319</v>
      </c>
      <c r="C1831" t="s">
        <v>368</v>
      </c>
      <c r="D1831" t="s">
        <v>523</v>
      </c>
      <c r="E1831" t="s">
        <v>2331</v>
      </c>
      <c r="F1831" t="s">
        <v>2321</v>
      </c>
      <c r="G1831" t="s">
        <v>2298</v>
      </c>
      <c r="H1831" t="s">
        <v>458</v>
      </c>
      <c r="I1831" t="s">
        <v>374</v>
      </c>
      <c r="J1831" t="s">
        <v>782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2298</v>
      </c>
      <c r="B1832" t="s">
        <v>2319</v>
      </c>
      <c r="C1832" t="s">
        <v>609</v>
      </c>
      <c r="D1832" t="s">
        <v>523</v>
      </c>
      <c r="E1832" t="s">
        <v>2332</v>
      </c>
      <c r="F1832" t="s">
        <v>2321</v>
      </c>
      <c r="G1832" t="s">
        <v>2298</v>
      </c>
      <c r="H1832" t="s">
        <v>458</v>
      </c>
      <c r="I1832" t="s">
        <v>374</v>
      </c>
      <c r="J1832" t="s">
        <v>782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2298</v>
      </c>
      <c r="B1833" t="s">
        <v>2319</v>
      </c>
      <c r="C1833" t="s">
        <v>609</v>
      </c>
      <c r="D1833" t="s">
        <v>523</v>
      </c>
      <c r="E1833" t="s">
        <v>2333</v>
      </c>
      <c r="F1833" t="s">
        <v>2321</v>
      </c>
      <c r="G1833" t="s">
        <v>2298</v>
      </c>
      <c r="H1833" t="s">
        <v>458</v>
      </c>
      <c r="I1833" t="s">
        <v>374</v>
      </c>
      <c r="J1833" t="s">
        <v>782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2298</v>
      </c>
      <c r="B1834" t="s">
        <v>2319</v>
      </c>
      <c r="C1834" t="s">
        <v>368</v>
      </c>
      <c r="D1834" t="s">
        <v>523</v>
      </c>
      <c r="E1834" t="s">
        <v>2334</v>
      </c>
      <c r="F1834" t="s">
        <v>2321</v>
      </c>
      <c r="G1834" t="s">
        <v>2298</v>
      </c>
      <c r="H1834" t="s">
        <v>458</v>
      </c>
      <c r="I1834" t="s">
        <v>374</v>
      </c>
      <c r="J1834" t="s">
        <v>782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2298</v>
      </c>
      <c r="B1835" t="s">
        <v>2319</v>
      </c>
      <c r="C1835" t="s">
        <v>368</v>
      </c>
      <c r="D1835" t="s">
        <v>523</v>
      </c>
      <c r="E1835" t="s">
        <v>2335</v>
      </c>
      <c r="F1835" t="s">
        <v>2321</v>
      </c>
      <c r="G1835" t="s">
        <v>2298</v>
      </c>
      <c r="H1835" t="s">
        <v>458</v>
      </c>
      <c r="I1835" t="s">
        <v>374</v>
      </c>
      <c r="J1835" t="s">
        <v>782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2298</v>
      </c>
      <c r="B1836" t="s">
        <v>2336</v>
      </c>
      <c r="C1836" t="s">
        <v>1438</v>
      </c>
      <c r="D1836" t="s">
        <v>523</v>
      </c>
      <c r="E1836" t="s">
        <v>2337</v>
      </c>
      <c r="F1836" t="s">
        <v>2338</v>
      </c>
      <c r="G1836" t="s">
        <v>2298</v>
      </c>
      <c r="H1836" t="s">
        <v>458</v>
      </c>
      <c r="I1836" t="s">
        <v>1438</v>
      </c>
      <c r="J1836" t="s">
        <v>2339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2298</v>
      </c>
      <c r="B1837" t="s">
        <v>2340</v>
      </c>
      <c r="C1837" t="s">
        <v>1438</v>
      </c>
      <c r="D1837" t="s">
        <v>523</v>
      </c>
      <c r="E1837" t="s">
        <v>2341</v>
      </c>
      <c r="F1837" t="s">
        <v>2342</v>
      </c>
      <c r="G1837" t="s">
        <v>2298</v>
      </c>
      <c r="H1837" t="s">
        <v>458</v>
      </c>
      <c r="I1837" t="s">
        <v>1438</v>
      </c>
      <c r="J1837" t="s">
        <v>2343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2298</v>
      </c>
      <c r="B1838" t="s">
        <v>2344</v>
      </c>
      <c r="C1838" t="s">
        <v>1341</v>
      </c>
      <c r="D1838" t="s">
        <v>523</v>
      </c>
      <c r="E1838" t="s">
        <v>2345</v>
      </c>
      <c r="F1838" t="s">
        <v>2346</v>
      </c>
      <c r="G1838" t="s">
        <v>2298</v>
      </c>
      <c r="H1838" t="s">
        <v>1341</v>
      </c>
      <c r="I1838" t="s">
        <v>374</v>
      </c>
      <c r="J1838" t="s">
        <v>1343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2347</v>
      </c>
      <c r="B1839" t="s">
        <v>2348</v>
      </c>
      <c r="C1839" t="s">
        <v>368</v>
      </c>
      <c r="D1839" t="s">
        <v>523</v>
      </c>
      <c r="E1839" t="s">
        <v>2349</v>
      </c>
      <c r="F1839" t="s">
        <v>2350</v>
      </c>
      <c r="G1839" t="s">
        <v>2351</v>
      </c>
      <c r="H1839" t="s">
        <v>458</v>
      </c>
      <c r="I1839" t="s">
        <v>374</v>
      </c>
      <c r="J1839" t="s">
        <v>1444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2347</v>
      </c>
      <c r="B1840" t="s">
        <v>2348</v>
      </c>
      <c r="C1840" t="s">
        <v>368</v>
      </c>
      <c r="D1840" t="s">
        <v>523</v>
      </c>
      <c r="E1840" t="s">
        <v>2352</v>
      </c>
      <c r="F1840" t="s">
        <v>2350</v>
      </c>
      <c r="G1840" t="s">
        <v>2351</v>
      </c>
      <c r="H1840" t="s">
        <v>458</v>
      </c>
      <c r="I1840" t="s">
        <v>374</v>
      </c>
      <c r="J1840" t="s">
        <v>1444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2347</v>
      </c>
      <c r="B1841" t="s">
        <v>2348</v>
      </c>
      <c r="C1841" t="s">
        <v>368</v>
      </c>
      <c r="D1841" t="s">
        <v>523</v>
      </c>
      <c r="E1841" t="s">
        <v>2353</v>
      </c>
      <c r="F1841" t="s">
        <v>2350</v>
      </c>
      <c r="G1841" t="s">
        <v>2351</v>
      </c>
      <c r="H1841" t="s">
        <v>458</v>
      </c>
      <c r="I1841" t="s">
        <v>374</v>
      </c>
      <c r="J1841" t="s">
        <v>1444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2347</v>
      </c>
      <c r="B1842" t="s">
        <v>2348</v>
      </c>
      <c r="C1842" t="s">
        <v>368</v>
      </c>
      <c r="D1842" t="s">
        <v>523</v>
      </c>
      <c r="E1842" t="s">
        <v>2354</v>
      </c>
      <c r="F1842" t="s">
        <v>2350</v>
      </c>
      <c r="G1842" t="s">
        <v>2351</v>
      </c>
      <c r="H1842" t="s">
        <v>458</v>
      </c>
      <c r="I1842" t="s">
        <v>374</v>
      </c>
      <c r="J1842" t="s">
        <v>1444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2347</v>
      </c>
      <c r="B1843" t="s">
        <v>2348</v>
      </c>
      <c r="C1843" t="s">
        <v>368</v>
      </c>
      <c r="D1843" t="s">
        <v>523</v>
      </c>
      <c r="E1843" t="s">
        <v>2355</v>
      </c>
      <c r="F1843" t="s">
        <v>2350</v>
      </c>
      <c r="G1843" t="s">
        <v>2351</v>
      </c>
      <c r="H1843" t="s">
        <v>458</v>
      </c>
      <c r="I1843" t="s">
        <v>374</v>
      </c>
      <c r="J1843" t="s">
        <v>1444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2347</v>
      </c>
      <c r="B1844" t="s">
        <v>2348</v>
      </c>
      <c r="C1844" t="s">
        <v>368</v>
      </c>
      <c r="D1844" t="s">
        <v>523</v>
      </c>
      <c r="E1844" t="s">
        <v>2356</v>
      </c>
      <c r="F1844" t="s">
        <v>2350</v>
      </c>
      <c r="G1844" t="s">
        <v>2351</v>
      </c>
      <c r="H1844" t="s">
        <v>458</v>
      </c>
      <c r="I1844" t="s">
        <v>374</v>
      </c>
      <c r="J1844" t="s">
        <v>1444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2347</v>
      </c>
      <c r="B1845" t="s">
        <v>2348</v>
      </c>
      <c r="C1845" t="s">
        <v>368</v>
      </c>
      <c r="D1845" t="s">
        <v>523</v>
      </c>
      <c r="E1845" t="s">
        <v>2357</v>
      </c>
      <c r="F1845" t="s">
        <v>2350</v>
      </c>
      <c r="G1845" t="s">
        <v>2351</v>
      </c>
      <c r="H1845" t="s">
        <v>458</v>
      </c>
      <c r="I1845" t="s">
        <v>374</v>
      </c>
      <c r="J1845" t="s">
        <v>1444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2347</v>
      </c>
      <c r="B1846" t="s">
        <v>2348</v>
      </c>
      <c r="C1846" t="s">
        <v>368</v>
      </c>
      <c r="D1846" t="s">
        <v>523</v>
      </c>
      <c r="E1846" t="s">
        <v>2358</v>
      </c>
      <c r="F1846" t="s">
        <v>2350</v>
      </c>
      <c r="G1846" t="s">
        <v>2351</v>
      </c>
      <c r="H1846" t="s">
        <v>458</v>
      </c>
      <c r="I1846" t="s">
        <v>374</v>
      </c>
      <c r="J1846" t="s">
        <v>1444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2347</v>
      </c>
      <c r="B1847" t="s">
        <v>2348</v>
      </c>
      <c r="C1847" t="s">
        <v>368</v>
      </c>
      <c r="D1847" t="s">
        <v>523</v>
      </c>
      <c r="E1847" t="s">
        <v>2359</v>
      </c>
      <c r="F1847" t="s">
        <v>2350</v>
      </c>
      <c r="G1847" t="s">
        <v>2351</v>
      </c>
      <c r="H1847" t="s">
        <v>458</v>
      </c>
      <c r="I1847" t="s">
        <v>374</v>
      </c>
      <c r="J1847" t="s">
        <v>1444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2347</v>
      </c>
      <c r="B1848" t="s">
        <v>2348</v>
      </c>
      <c r="C1848" t="s">
        <v>368</v>
      </c>
      <c r="D1848" t="s">
        <v>523</v>
      </c>
      <c r="E1848" t="s">
        <v>2360</v>
      </c>
      <c r="F1848" t="s">
        <v>2350</v>
      </c>
      <c r="G1848" t="s">
        <v>2351</v>
      </c>
      <c r="H1848" t="s">
        <v>458</v>
      </c>
      <c r="I1848" t="s">
        <v>374</v>
      </c>
      <c r="J1848" t="s">
        <v>1444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2347</v>
      </c>
      <c r="B1849" t="s">
        <v>2348</v>
      </c>
      <c r="C1849" t="s">
        <v>368</v>
      </c>
      <c r="D1849" t="s">
        <v>523</v>
      </c>
      <c r="E1849" t="s">
        <v>2361</v>
      </c>
      <c r="F1849" t="s">
        <v>2350</v>
      </c>
      <c r="G1849" t="s">
        <v>2351</v>
      </c>
      <c r="H1849" t="s">
        <v>458</v>
      </c>
      <c r="I1849" t="s">
        <v>374</v>
      </c>
      <c r="J1849" t="s">
        <v>1444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2347</v>
      </c>
      <c r="B1850" t="s">
        <v>2348</v>
      </c>
      <c r="C1850" t="s">
        <v>368</v>
      </c>
      <c r="D1850" t="s">
        <v>523</v>
      </c>
      <c r="E1850" t="s">
        <v>2362</v>
      </c>
      <c r="F1850" t="s">
        <v>2350</v>
      </c>
      <c r="G1850" t="s">
        <v>2351</v>
      </c>
      <c r="H1850" t="s">
        <v>458</v>
      </c>
      <c r="I1850" t="s">
        <v>374</v>
      </c>
      <c r="J1850" t="s">
        <v>1444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2347</v>
      </c>
      <c r="B1851" t="s">
        <v>2348</v>
      </c>
      <c r="C1851" t="s">
        <v>368</v>
      </c>
      <c r="D1851" t="s">
        <v>523</v>
      </c>
      <c r="E1851" t="s">
        <v>2363</v>
      </c>
      <c r="F1851" t="s">
        <v>2350</v>
      </c>
      <c r="G1851" t="s">
        <v>2351</v>
      </c>
      <c r="H1851" t="s">
        <v>458</v>
      </c>
      <c r="I1851" t="s">
        <v>374</v>
      </c>
      <c r="J1851" t="s">
        <v>1444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2347</v>
      </c>
      <c r="B1852" t="s">
        <v>2348</v>
      </c>
      <c r="C1852" t="s">
        <v>368</v>
      </c>
      <c r="D1852" t="s">
        <v>523</v>
      </c>
      <c r="E1852" t="s">
        <v>2364</v>
      </c>
      <c r="F1852" t="s">
        <v>2350</v>
      </c>
      <c r="G1852" t="s">
        <v>2351</v>
      </c>
      <c r="H1852" t="s">
        <v>458</v>
      </c>
      <c r="I1852" t="s">
        <v>374</v>
      </c>
      <c r="J1852" t="s">
        <v>1444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2347</v>
      </c>
      <c r="B1853" t="s">
        <v>2348</v>
      </c>
      <c r="C1853" t="s">
        <v>368</v>
      </c>
      <c r="D1853" t="s">
        <v>523</v>
      </c>
      <c r="E1853" t="s">
        <v>2365</v>
      </c>
      <c r="F1853" t="s">
        <v>2350</v>
      </c>
      <c r="G1853" t="s">
        <v>2351</v>
      </c>
      <c r="H1853" t="s">
        <v>458</v>
      </c>
      <c r="I1853" t="s">
        <v>374</v>
      </c>
      <c r="J1853" t="s">
        <v>1444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2347</v>
      </c>
      <c r="B1854" t="s">
        <v>2366</v>
      </c>
      <c r="C1854" t="s">
        <v>368</v>
      </c>
      <c r="D1854" t="s">
        <v>523</v>
      </c>
      <c r="E1854" t="s">
        <v>2367</v>
      </c>
      <c r="F1854" t="s">
        <v>2368</v>
      </c>
      <c r="G1854" t="s">
        <v>2351</v>
      </c>
      <c r="H1854" t="s">
        <v>458</v>
      </c>
      <c r="I1854" t="s">
        <v>374</v>
      </c>
      <c r="J1854" t="s">
        <v>1467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2347</v>
      </c>
      <c r="B1855" t="s">
        <v>2366</v>
      </c>
      <c r="C1855" t="s">
        <v>368</v>
      </c>
      <c r="D1855" t="s">
        <v>523</v>
      </c>
      <c r="E1855" t="s">
        <v>2369</v>
      </c>
      <c r="F1855" t="s">
        <v>2368</v>
      </c>
      <c r="G1855" t="s">
        <v>2351</v>
      </c>
      <c r="H1855" t="s">
        <v>458</v>
      </c>
      <c r="I1855" t="s">
        <v>374</v>
      </c>
      <c r="J1855" t="s">
        <v>1467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2347</v>
      </c>
      <c r="B1856" t="s">
        <v>2366</v>
      </c>
      <c r="C1856" t="s">
        <v>368</v>
      </c>
      <c r="D1856" t="s">
        <v>523</v>
      </c>
      <c r="E1856" t="s">
        <v>2370</v>
      </c>
      <c r="F1856" t="s">
        <v>2368</v>
      </c>
      <c r="G1856" t="s">
        <v>2351</v>
      </c>
      <c r="H1856" t="s">
        <v>458</v>
      </c>
      <c r="I1856" t="s">
        <v>374</v>
      </c>
      <c r="J1856" t="s">
        <v>1467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2347</v>
      </c>
      <c r="B1857" t="s">
        <v>2366</v>
      </c>
      <c r="C1857" t="s">
        <v>368</v>
      </c>
      <c r="D1857" t="s">
        <v>523</v>
      </c>
      <c r="E1857" t="s">
        <v>2371</v>
      </c>
      <c r="F1857" t="s">
        <v>2368</v>
      </c>
      <c r="G1857" t="s">
        <v>2351</v>
      </c>
      <c r="H1857" t="s">
        <v>458</v>
      </c>
      <c r="I1857" t="s">
        <v>374</v>
      </c>
      <c r="J1857" t="s">
        <v>1467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2347</v>
      </c>
      <c r="B1858" t="s">
        <v>2366</v>
      </c>
      <c r="C1858" t="s">
        <v>368</v>
      </c>
      <c r="D1858" t="s">
        <v>523</v>
      </c>
      <c r="E1858" t="s">
        <v>2372</v>
      </c>
      <c r="F1858" t="s">
        <v>2368</v>
      </c>
      <c r="G1858" t="s">
        <v>2351</v>
      </c>
      <c r="H1858" t="s">
        <v>458</v>
      </c>
      <c r="I1858" t="s">
        <v>374</v>
      </c>
      <c r="J1858" t="s">
        <v>1467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2347</v>
      </c>
      <c r="B1859" t="s">
        <v>2366</v>
      </c>
      <c r="C1859" t="s">
        <v>368</v>
      </c>
      <c r="D1859" t="s">
        <v>523</v>
      </c>
      <c r="E1859" t="s">
        <v>2373</v>
      </c>
      <c r="F1859" t="s">
        <v>2368</v>
      </c>
      <c r="G1859" t="s">
        <v>2351</v>
      </c>
      <c r="H1859" t="s">
        <v>458</v>
      </c>
      <c r="I1859" t="s">
        <v>374</v>
      </c>
      <c r="J1859" t="s">
        <v>1467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2347</v>
      </c>
      <c r="B1860" t="s">
        <v>2366</v>
      </c>
      <c r="C1860" t="s">
        <v>368</v>
      </c>
      <c r="D1860" t="s">
        <v>523</v>
      </c>
      <c r="E1860" t="s">
        <v>2374</v>
      </c>
      <c r="F1860" t="s">
        <v>2368</v>
      </c>
      <c r="G1860" t="s">
        <v>2351</v>
      </c>
      <c r="H1860" t="s">
        <v>458</v>
      </c>
      <c r="I1860" t="s">
        <v>374</v>
      </c>
      <c r="J1860" t="s">
        <v>1467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2347</v>
      </c>
      <c r="B1861" t="s">
        <v>2366</v>
      </c>
      <c r="C1861" t="s">
        <v>368</v>
      </c>
      <c r="D1861" t="s">
        <v>523</v>
      </c>
      <c r="E1861" t="s">
        <v>2375</v>
      </c>
      <c r="F1861" t="s">
        <v>2368</v>
      </c>
      <c r="G1861" t="s">
        <v>2351</v>
      </c>
      <c r="H1861" t="s">
        <v>458</v>
      </c>
      <c r="I1861" t="s">
        <v>374</v>
      </c>
      <c r="J1861" t="s">
        <v>1467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2347</v>
      </c>
      <c r="B1862" t="s">
        <v>2366</v>
      </c>
      <c r="C1862" t="s">
        <v>368</v>
      </c>
      <c r="D1862" t="s">
        <v>523</v>
      </c>
      <c r="E1862" t="s">
        <v>2376</v>
      </c>
      <c r="F1862" t="s">
        <v>2368</v>
      </c>
      <c r="G1862" t="s">
        <v>2351</v>
      </c>
      <c r="H1862" t="s">
        <v>458</v>
      </c>
      <c r="I1862" t="s">
        <v>374</v>
      </c>
      <c r="J1862" t="s">
        <v>1467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2347</v>
      </c>
      <c r="B1863" t="s">
        <v>2366</v>
      </c>
      <c r="C1863" t="s">
        <v>368</v>
      </c>
      <c r="D1863" t="s">
        <v>523</v>
      </c>
      <c r="E1863" t="s">
        <v>2377</v>
      </c>
      <c r="F1863" t="s">
        <v>2368</v>
      </c>
      <c r="G1863" t="s">
        <v>2351</v>
      </c>
      <c r="H1863" t="s">
        <v>458</v>
      </c>
      <c r="I1863" t="s">
        <v>374</v>
      </c>
      <c r="J1863" t="s">
        <v>1467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2347</v>
      </c>
      <c r="B1864" t="s">
        <v>2366</v>
      </c>
      <c r="C1864" t="s">
        <v>368</v>
      </c>
      <c r="D1864" t="s">
        <v>523</v>
      </c>
      <c r="E1864" t="s">
        <v>2378</v>
      </c>
      <c r="F1864" t="s">
        <v>2368</v>
      </c>
      <c r="G1864" t="s">
        <v>2351</v>
      </c>
      <c r="H1864" t="s">
        <v>458</v>
      </c>
      <c r="I1864" t="s">
        <v>374</v>
      </c>
      <c r="J1864" t="s">
        <v>1467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2347</v>
      </c>
      <c r="B1865" t="s">
        <v>2366</v>
      </c>
      <c r="C1865" t="s">
        <v>368</v>
      </c>
      <c r="D1865" t="s">
        <v>523</v>
      </c>
      <c r="E1865" t="s">
        <v>2379</v>
      </c>
      <c r="F1865" t="s">
        <v>2368</v>
      </c>
      <c r="G1865" t="s">
        <v>2351</v>
      </c>
      <c r="H1865" t="s">
        <v>458</v>
      </c>
      <c r="I1865" t="s">
        <v>374</v>
      </c>
      <c r="J1865" t="s">
        <v>1467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2347</v>
      </c>
      <c r="B1866" t="s">
        <v>2366</v>
      </c>
      <c r="C1866" t="s">
        <v>368</v>
      </c>
      <c r="D1866" t="s">
        <v>523</v>
      </c>
      <c r="E1866" t="s">
        <v>2380</v>
      </c>
      <c r="F1866" t="s">
        <v>2368</v>
      </c>
      <c r="G1866" t="s">
        <v>2351</v>
      </c>
      <c r="H1866" t="s">
        <v>458</v>
      </c>
      <c r="I1866" t="s">
        <v>374</v>
      </c>
      <c r="J1866" t="s">
        <v>1467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2347</v>
      </c>
      <c r="B1867" t="s">
        <v>2366</v>
      </c>
      <c r="C1867" t="s">
        <v>368</v>
      </c>
      <c r="D1867" t="s">
        <v>523</v>
      </c>
      <c r="E1867" t="s">
        <v>2381</v>
      </c>
      <c r="F1867" t="s">
        <v>2368</v>
      </c>
      <c r="G1867" t="s">
        <v>2351</v>
      </c>
      <c r="H1867" t="s">
        <v>458</v>
      </c>
      <c r="I1867" t="s">
        <v>374</v>
      </c>
      <c r="J1867" t="s">
        <v>1467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2347</v>
      </c>
      <c r="B1868" t="s">
        <v>2366</v>
      </c>
      <c r="C1868" t="s">
        <v>368</v>
      </c>
      <c r="D1868" t="s">
        <v>523</v>
      </c>
      <c r="E1868" t="s">
        <v>2382</v>
      </c>
      <c r="F1868" t="s">
        <v>2368</v>
      </c>
      <c r="G1868" t="s">
        <v>2351</v>
      </c>
      <c r="H1868" t="s">
        <v>458</v>
      </c>
      <c r="I1868" t="s">
        <v>374</v>
      </c>
      <c r="J1868" t="s">
        <v>1467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2347</v>
      </c>
      <c r="B1869" t="s">
        <v>2383</v>
      </c>
      <c r="C1869" t="s">
        <v>368</v>
      </c>
      <c r="D1869" t="s">
        <v>523</v>
      </c>
      <c r="E1869" t="s">
        <v>2384</v>
      </c>
      <c r="F1869" t="s">
        <v>2385</v>
      </c>
      <c r="G1869" t="s">
        <v>2351</v>
      </c>
      <c r="H1869" t="s">
        <v>458</v>
      </c>
      <c r="I1869" t="s">
        <v>374</v>
      </c>
      <c r="J1869" t="s">
        <v>698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2347</v>
      </c>
      <c r="B1870" t="s">
        <v>2383</v>
      </c>
      <c r="C1870" t="s">
        <v>368</v>
      </c>
      <c r="D1870" t="s">
        <v>523</v>
      </c>
      <c r="E1870" t="s">
        <v>2386</v>
      </c>
      <c r="F1870" t="s">
        <v>2385</v>
      </c>
      <c r="G1870" t="s">
        <v>2351</v>
      </c>
      <c r="H1870" t="s">
        <v>458</v>
      </c>
      <c r="I1870" t="s">
        <v>374</v>
      </c>
      <c r="J1870" t="s">
        <v>698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2347</v>
      </c>
      <c r="B1871" t="s">
        <v>2383</v>
      </c>
      <c r="C1871" t="s">
        <v>368</v>
      </c>
      <c r="D1871" t="s">
        <v>523</v>
      </c>
      <c r="E1871" t="s">
        <v>2387</v>
      </c>
      <c r="F1871" t="s">
        <v>2385</v>
      </c>
      <c r="G1871" t="s">
        <v>2351</v>
      </c>
      <c r="H1871" t="s">
        <v>458</v>
      </c>
      <c r="I1871" t="s">
        <v>374</v>
      </c>
      <c r="J1871" t="s">
        <v>698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2347</v>
      </c>
      <c r="B1872" t="s">
        <v>2383</v>
      </c>
      <c r="C1872" t="s">
        <v>368</v>
      </c>
      <c r="D1872" t="s">
        <v>523</v>
      </c>
      <c r="E1872" t="s">
        <v>2388</v>
      </c>
      <c r="F1872" t="s">
        <v>2385</v>
      </c>
      <c r="G1872" t="s">
        <v>2351</v>
      </c>
      <c r="H1872" t="s">
        <v>458</v>
      </c>
      <c r="I1872" t="s">
        <v>374</v>
      </c>
      <c r="J1872" t="s">
        <v>698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2347</v>
      </c>
      <c r="B1873" t="s">
        <v>2383</v>
      </c>
      <c r="C1873" t="s">
        <v>368</v>
      </c>
      <c r="D1873" t="s">
        <v>523</v>
      </c>
      <c r="E1873" t="s">
        <v>2389</v>
      </c>
      <c r="F1873" t="s">
        <v>2385</v>
      </c>
      <c r="G1873" t="s">
        <v>2351</v>
      </c>
      <c r="H1873" t="s">
        <v>458</v>
      </c>
      <c r="I1873" t="s">
        <v>374</v>
      </c>
      <c r="J1873" t="s">
        <v>698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2347</v>
      </c>
      <c r="B1874" t="s">
        <v>2383</v>
      </c>
      <c r="C1874" t="s">
        <v>368</v>
      </c>
      <c r="D1874" t="s">
        <v>523</v>
      </c>
      <c r="E1874" t="s">
        <v>2390</v>
      </c>
      <c r="F1874" t="s">
        <v>2385</v>
      </c>
      <c r="G1874" t="s">
        <v>2351</v>
      </c>
      <c r="H1874" t="s">
        <v>458</v>
      </c>
      <c r="I1874" t="s">
        <v>374</v>
      </c>
      <c r="J1874" t="s">
        <v>698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2347</v>
      </c>
      <c r="B1875" t="s">
        <v>2383</v>
      </c>
      <c r="C1875" t="s">
        <v>368</v>
      </c>
      <c r="D1875" t="s">
        <v>523</v>
      </c>
      <c r="E1875" t="s">
        <v>2391</v>
      </c>
      <c r="F1875" t="s">
        <v>2385</v>
      </c>
      <c r="G1875" t="s">
        <v>2351</v>
      </c>
      <c r="H1875" t="s">
        <v>458</v>
      </c>
      <c r="I1875" t="s">
        <v>374</v>
      </c>
      <c r="J1875" t="s">
        <v>698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2347</v>
      </c>
      <c r="B1876" t="s">
        <v>2383</v>
      </c>
      <c r="C1876" t="s">
        <v>368</v>
      </c>
      <c r="D1876" t="s">
        <v>523</v>
      </c>
      <c r="E1876" t="s">
        <v>2392</v>
      </c>
      <c r="F1876" t="s">
        <v>2385</v>
      </c>
      <c r="G1876" t="s">
        <v>2351</v>
      </c>
      <c r="H1876" t="s">
        <v>458</v>
      </c>
      <c r="I1876" t="s">
        <v>374</v>
      </c>
      <c r="J1876" t="s">
        <v>698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2347</v>
      </c>
      <c r="B1877" t="s">
        <v>2383</v>
      </c>
      <c r="C1877" t="s">
        <v>368</v>
      </c>
      <c r="D1877" t="s">
        <v>523</v>
      </c>
      <c r="E1877" t="s">
        <v>2393</v>
      </c>
      <c r="F1877" t="s">
        <v>2385</v>
      </c>
      <c r="G1877" t="s">
        <v>2351</v>
      </c>
      <c r="H1877" t="s">
        <v>458</v>
      </c>
      <c r="I1877" t="s">
        <v>374</v>
      </c>
      <c r="J1877" t="s">
        <v>698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2347</v>
      </c>
      <c r="B1878" t="s">
        <v>2383</v>
      </c>
      <c r="C1878" t="s">
        <v>368</v>
      </c>
      <c r="D1878" t="s">
        <v>523</v>
      </c>
      <c r="E1878" t="s">
        <v>2394</v>
      </c>
      <c r="F1878" t="s">
        <v>2385</v>
      </c>
      <c r="G1878" t="s">
        <v>2351</v>
      </c>
      <c r="H1878" t="s">
        <v>458</v>
      </c>
      <c r="I1878" t="s">
        <v>374</v>
      </c>
      <c r="J1878" t="s">
        <v>698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2347</v>
      </c>
      <c r="B1879" t="s">
        <v>2383</v>
      </c>
      <c r="C1879" t="s">
        <v>368</v>
      </c>
      <c r="D1879" t="s">
        <v>523</v>
      </c>
      <c r="E1879" t="s">
        <v>2395</v>
      </c>
      <c r="F1879" t="s">
        <v>2385</v>
      </c>
      <c r="G1879" t="s">
        <v>2351</v>
      </c>
      <c r="H1879" t="s">
        <v>458</v>
      </c>
      <c r="I1879" t="s">
        <v>374</v>
      </c>
      <c r="J1879" t="s">
        <v>698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2347</v>
      </c>
      <c r="B1880" t="s">
        <v>2383</v>
      </c>
      <c r="C1880" t="s">
        <v>368</v>
      </c>
      <c r="D1880" t="s">
        <v>523</v>
      </c>
      <c r="E1880" t="s">
        <v>2396</v>
      </c>
      <c r="F1880" t="s">
        <v>2385</v>
      </c>
      <c r="G1880" t="s">
        <v>2351</v>
      </c>
      <c r="H1880" t="s">
        <v>458</v>
      </c>
      <c r="I1880" t="s">
        <v>374</v>
      </c>
      <c r="J1880" t="s">
        <v>698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2347</v>
      </c>
      <c r="B1881" t="s">
        <v>2383</v>
      </c>
      <c r="C1881" t="s">
        <v>368</v>
      </c>
      <c r="D1881" t="s">
        <v>523</v>
      </c>
      <c r="E1881" t="s">
        <v>2397</v>
      </c>
      <c r="F1881" t="s">
        <v>2385</v>
      </c>
      <c r="G1881" t="s">
        <v>2351</v>
      </c>
      <c r="H1881" t="s">
        <v>458</v>
      </c>
      <c r="I1881" t="s">
        <v>374</v>
      </c>
      <c r="J1881" t="s">
        <v>698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2347</v>
      </c>
      <c r="B1882" t="s">
        <v>2383</v>
      </c>
      <c r="C1882" t="s">
        <v>368</v>
      </c>
      <c r="D1882" t="s">
        <v>523</v>
      </c>
      <c r="E1882" t="s">
        <v>2398</v>
      </c>
      <c r="F1882" t="s">
        <v>2385</v>
      </c>
      <c r="G1882" t="s">
        <v>2351</v>
      </c>
      <c r="H1882" t="s">
        <v>458</v>
      </c>
      <c r="I1882" t="s">
        <v>374</v>
      </c>
      <c r="J1882" t="s">
        <v>698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2347</v>
      </c>
      <c r="B1883" t="s">
        <v>2399</v>
      </c>
      <c r="C1883" t="s">
        <v>368</v>
      </c>
      <c r="D1883" t="s">
        <v>523</v>
      </c>
      <c r="E1883" t="str">
        <f t="shared" ref="E1883:E1902" si="158">"BWKD16"&amp;K1883&amp;"S"</f>
        <v>BWKD1610S</v>
      </c>
      <c r="F1883" t="s">
        <v>2400</v>
      </c>
      <c r="G1883" t="s">
        <v>2351</v>
      </c>
      <c r="H1883" t="s">
        <v>458</v>
      </c>
      <c r="I1883" t="s">
        <v>374</v>
      </c>
      <c r="J1883" t="s">
        <v>429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2347</v>
      </c>
      <c r="B1884" t="s">
        <v>2399</v>
      </c>
      <c r="C1884" t="s">
        <v>368</v>
      </c>
      <c r="D1884" t="s">
        <v>523</v>
      </c>
      <c r="E1884" t="str">
        <f t="shared" si="158"/>
        <v>BWKD1611S</v>
      </c>
      <c r="F1884" t="s">
        <v>2400</v>
      </c>
      <c r="G1884" t="s">
        <v>2351</v>
      </c>
      <c r="H1884" t="s">
        <v>458</v>
      </c>
      <c r="I1884" t="s">
        <v>374</v>
      </c>
      <c r="J1884" t="s">
        <v>429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2347</v>
      </c>
      <c r="B1885" t="s">
        <v>2399</v>
      </c>
      <c r="C1885" t="s">
        <v>368</v>
      </c>
      <c r="D1885" t="s">
        <v>523</v>
      </c>
      <c r="E1885" t="str">
        <f t="shared" si="158"/>
        <v>BWKD1612S</v>
      </c>
      <c r="F1885" t="s">
        <v>2400</v>
      </c>
      <c r="G1885" t="s">
        <v>2351</v>
      </c>
      <c r="H1885" t="s">
        <v>458</v>
      </c>
      <c r="I1885" t="s">
        <v>374</v>
      </c>
      <c r="J1885" t="s">
        <v>429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2347</v>
      </c>
      <c r="B1886" t="s">
        <v>2399</v>
      </c>
      <c r="C1886" t="s">
        <v>368</v>
      </c>
      <c r="D1886" t="s">
        <v>523</v>
      </c>
      <c r="E1886" t="str">
        <f t="shared" si="158"/>
        <v>BWKD1613S</v>
      </c>
      <c r="F1886" t="s">
        <v>2400</v>
      </c>
      <c r="G1886" t="s">
        <v>2351</v>
      </c>
      <c r="H1886" t="s">
        <v>458</v>
      </c>
      <c r="I1886" t="s">
        <v>374</v>
      </c>
      <c r="J1886" t="s">
        <v>429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2347</v>
      </c>
      <c r="B1887" t="s">
        <v>2399</v>
      </c>
      <c r="C1887" t="s">
        <v>368</v>
      </c>
      <c r="D1887" t="s">
        <v>523</v>
      </c>
      <c r="E1887" t="str">
        <f t="shared" si="158"/>
        <v>BWKD1614S</v>
      </c>
      <c r="F1887" t="s">
        <v>2400</v>
      </c>
      <c r="G1887" t="s">
        <v>2351</v>
      </c>
      <c r="H1887" t="s">
        <v>458</v>
      </c>
      <c r="I1887" t="s">
        <v>374</v>
      </c>
      <c r="J1887" t="s">
        <v>429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2347</v>
      </c>
      <c r="B1888" t="s">
        <v>2399</v>
      </c>
      <c r="C1888" t="s">
        <v>368</v>
      </c>
      <c r="D1888" t="s">
        <v>523</v>
      </c>
      <c r="E1888" t="str">
        <f t="shared" si="158"/>
        <v>BWKD1615S</v>
      </c>
      <c r="F1888" t="s">
        <v>2400</v>
      </c>
      <c r="G1888" t="s">
        <v>2351</v>
      </c>
      <c r="H1888" t="s">
        <v>458</v>
      </c>
      <c r="I1888" t="s">
        <v>374</v>
      </c>
      <c r="J1888" t="s">
        <v>429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2347</v>
      </c>
      <c r="B1889" t="s">
        <v>2399</v>
      </c>
      <c r="C1889" t="s">
        <v>368</v>
      </c>
      <c r="D1889" t="s">
        <v>523</v>
      </c>
      <c r="E1889" t="str">
        <f t="shared" si="158"/>
        <v>BWKD1616S</v>
      </c>
      <c r="F1889" t="s">
        <v>2400</v>
      </c>
      <c r="G1889" t="s">
        <v>2351</v>
      </c>
      <c r="H1889" t="s">
        <v>458</v>
      </c>
      <c r="I1889" t="s">
        <v>374</v>
      </c>
      <c r="J1889" t="s">
        <v>429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2347</v>
      </c>
      <c r="B1890" t="s">
        <v>2399</v>
      </c>
      <c r="C1890" t="s">
        <v>368</v>
      </c>
      <c r="D1890" t="s">
        <v>523</v>
      </c>
      <c r="E1890" t="str">
        <f t="shared" si="158"/>
        <v>BWKD1617S</v>
      </c>
      <c r="F1890" t="s">
        <v>2400</v>
      </c>
      <c r="G1890" t="s">
        <v>2351</v>
      </c>
      <c r="H1890" t="s">
        <v>458</v>
      </c>
      <c r="I1890" t="s">
        <v>374</v>
      </c>
      <c r="J1890" t="s">
        <v>429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2347</v>
      </c>
      <c r="B1891" t="s">
        <v>2399</v>
      </c>
      <c r="C1891" t="s">
        <v>368</v>
      </c>
      <c r="D1891" t="s">
        <v>523</v>
      </c>
      <c r="E1891" t="str">
        <f t="shared" si="158"/>
        <v>BWKD1618S</v>
      </c>
      <c r="F1891" t="s">
        <v>2400</v>
      </c>
      <c r="G1891" t="s">
        <v>2351</v>
      </c>
      <c r="H1891" t="s">
        <v>458</v>
      </c>
      <c r="I1891" t="s">
        <v>374</v>
      </c>
      <c r="J1891" t="s">
        <v>429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2347</v>
      </c>
      <c r="B1892" t="s">
        <v>2399</v>
      </c>
      <c r="C1892" t="s">
        <v>368</v>
      </c>
      <c r="D1892" t="s">
        <v>523</v>
      </c>
      <c r="E1892" t="str">
        <f t="shared" si="158"/>
        <v>BWKD1619S</v>
      </c>
      <c r="F1892" t="s">
        <v>2400</v>
      </c>
      <c r="G1892" t="s">
        <v>2351</v>
      </c>
      <c r="H1892" t="s">
        <v>458</v>
      </c>
      <c r="I1892" t="s">
        <v>374</v>
      </c>
      <c r="J1892" t="s">
        <v>429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2347</v>
      </c>
      <c r="B1893" t="s">
        <v>2399</v>
      </c>
      <c r="C1893" t="s">
        <v>368</v>
      </c>
      <c r="D1893" t="s">
        <v>523</v>
      </c>
      <c r="E1893" t="str">
        <f t="shared" si="158"/>
        <v>BWKD1620S</v>
      </c>
      <c r="F1893" t="s">
        <v>2400</v>
      </c>
      <c r="G1893" t="s">
        <v>2351</v>
      </c>
      <c r="H1893" t="s">
        <v>458</v>
      </c>
      <c r="I1893" t="s">
        <v>374</v>
      </c>
      <c r="J1893" t="s">
        <v>429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2347</v>
      </c>
      <c r="B1894" t="s">
        <v>2399</v>
      </c>
      <c r="C1894" t="s">
        <v>368</v>
      </c>
      <c r="D1894" t="s">
        <v>523</v>
      </c>
      <c r="E1894" t="str">
        <f t="shared" si="158"/>
        <v>BWKD1621S</v>
      </c>
      <c r="F1894" t="s">
        <v>2400</v>
      </c>
      <c r="G1894" t="s">
        <v>2351</v>
      </c>
      <c r="H1894" t="s">
        <v>458</v>
      </c>
      <c r="I1894" t="s">
        <v>374</v>
      </c>
      <c r="J1894" t="s">
        <v>429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2347</v>
      </c>
      <c r="B1895" t="s">
        <v>2399</v>
      </c>
      <c r="C1895" t="s">
        <v>368</v>
      </c>
      <c r="D1895" t="s">
        <v>523</v>
      </c>
      <c r="E1895" t="str">
        <f t="shared" si="158"/>
        <v>BWKD1622S</v>
      </c>
      <c r="F1895" t="s">
        <v>2400</v>
      </c>
      <c r="G1895" t="s">
        <v>2351</v>
      </c>
      <c r="H1895" t="s">
        <v>458</v>
      </c>
      <c r="I1895" t="s">
        <v>374</v>
      </c>
      <c r="J1895" t="s">
        <v>429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2347</v>
      </c>
      <c r="B1896" t="s">
        <v>2399</v>
      </c>
      <c r="C1896" t="s">
        <v>609</v>
      </c>
      <c r="D1896" t="s">
        <v>523</v>
      </c>
      <c r="E1896" t="str">
        <f t="shared" si="158"/>
        <v>BWKD163S</v>
      </c>
      <c r="F1896" t="s">
        <v>2400</v>
      </c>
      <c r="G1896" t="s">
        <v>2351</v>
      </c>
      <c r="H1896" t="s">
        <v>458</v>
      </c>
      <c r="I1896" t="s">
        <v>374</v>
      </c>
      <c r="J1896" t="s">
        <v>429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2347</v>
      </c>
      <c r="B1897" t="s">
        <v>2399</v>
      </c>
      <c r="C1897" t="s">
        <v>609</v>
      </c>
      <c r="D1897" t="s">
        <v>523</v>
      </c>
      <c r="E1897" t="str">
        <f t="shared" si="158"/>
        <v>BWKD164S</v>
      </c>
      <c r="F1897" t="s">
        <v>2400</v>
      </c>
      <c r="G1897" t="s">
        <v>2351</v>
      </c>
      <c r="H1897" t="s">
        <v>458</v>
      </c>
      <c r="I1897" t="s">
        <v>374</v>
      </c>
      <c r="J1897" t="s">
        <v>429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2347</v>
      </c>
      <c r="B1898" t="s">
        <v>2399</v>
      </c>
      <c r="C1898" t="s">
        <v>609</v>
      </c>
      <c r="D1898" t="s">
        <v>523</v>
      </c>
      <c r="E1898" t="str">
        <f t="shared" si="158"/>
        <v>BWKD165S</v>
      </c>
      <c r="F1898" t="s">
        <v>2400</v>
      </c>
      <c r="G1898" t="s">
        <v>2351</v>
      </c>
      <c r="H1898" t="s">
        <v>458</v>
      </c>
      <c r="I1898" t="s">
        <v>374</v>
      </c>
      <c r="J1898" t="s">
        <v>429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2347</v>
      </c>
      <c r="B1899" t="s">
        <v>2399</v>
      </c>
      <c r="C1899" t="s">
        <v>609</v>
      </c>
      <c r="D1899" t="s">
        <v>523</v>
      </c>
      <c r="E1899" t="str">
        <f t="shared" si="158"/>
        <v>BWKD166S</v>
      </c>
      <c r="F1899" t="s">
        <v>2400</v>
      </c>
      <c r="G1899" t="s">
        <v>2351</v>
      </c>
      <c r="H1899" t="s">
        <v>458</v>
      </c>
      <c r="I1899" t="s">
        <v>374</v>
      </c>
      <c r="J1899" t="s">
        <v>429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2347</v>
      </c>
      <c r="B1900" t="s">
        <v>2399</v>
      </c>
      <c r="C1900" t="s">
        <v>609</v>
      </c>
      <c r="D1900" t="s">
        <v>523</v>
      </c>
      <c r="E1900" t="str">
        <f t="shared" si="158"/>
        <v>BWKD167S</v>
      </c>
      <c r="F1900" t="s">
        <v>2400</v>
      </c>
      <c r="G1900" t="s">
        <v>2351</v>
      </c>
      <c r="H1900" t="s">
        <v>458</v>
      </c>
      <c r="I1900" t="s">
        <v>374</v>
      </c>
      <c r="J1900" t="s">
        <v>429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2347</v>
      </c>
      <c r="B1901" t="s">
        <v>2399</v>
      </c>
      <c r="C1901" t="s">
        <v>368</v>
      </c>
      <c r="D1901" t="s">
        <v>523</v>
      </c>
      <c r="E1901" t="str">
        <f t="shared" si="158"/>
        <v>BWKD168S</v>
      </c>
      <c r="F1901" t="s">
        <v>2400</v>
      </c>
      <c r="G1901" t="s">
        <v>2351</v>
      </c>
      <c r="H1901" t="s">
        <v>458</v>
      </c>
      <c r="I1901" t="s">
        <v>374</v>
      </c>
      <c r="J1901" t="s">
        <v>429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2347</v>
      </c>
      <c r="B1902" t="s">
        <v>2399</v>
      </c>
      <c r="C1902" t="s">
        <v>368</v>
      </c>
      <c r="D1902" t="s">
        <v>523</v>
      </c>
      <c r="E1902" t="str">
        <f t="shared" si="158"/>
        <v>BWKD169S</v>
      </c>
      <c r="F1902" t="s">
        <v>2400</v>
      </c>
      <c r="G1902" t="s">
        <v>2351</v>
      </c>
      <c r="H1902" t="s">
        <v>458</v>
      </c>
      <c r="I1902" t="s">
        <v>374</v>
      </c>
      <c r="J1902" t="s">
        <v>429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2347</v>
      </c>
      <c r="B1903" t="s">
        <v>2401</v>
      </c>
      <c r="C1903" t="s">
        <v>368</v>
      </c>
      <c r="D1903" t="s">
        <v>523</v>
      </c>
      <c r="E1903" t="s">
        <v>2402</v>
      </c>
      <c r="F1903" t="s">
        <v>2403</v>
      </c>
      <c r="G1903" t="s">
        <v>2351</v>
      </c>
      <c r="H1903" t="s">
        <v>458</v>
      </c>
      <c r="I1903" t="s">
        <v>374</v>
      </c>
      <c r="J1903" t="s">
        <v>757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2347</v>
      </c>
      <c r="B1904" t="s">
        <v>2401</v>
      </c>
      <c r="C1904" t="s">
        <v>368</v>
      </c>
      <c r="D1904" t="s">
        <v>523</v>
      </c>
      <c r="E1904" t="s">
        <v>2404</v>
      </c>
      <c r="F1904" t="s">
        <v>2403</v>
      </c>
      <c r="G1904" t="s">
        <v>2351</v>
      </c>
      <c r="H1904" t="s">
        <v>458</v>
      </c>
      <c r="I1904" t="s">
        <v>374</v>
      </c>
      <c r="J1904" t="s">
        <v>757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2347</v>
      </c>
      <c r="B1905" t="s">
        <v>2401</v>
      </c>
      <c r="C1905" t="s">
        <v>368</v>
      </c>
      <c r="D1905" t="s">
        <v>523</v>
      </c>
      <c r="E1905" t="s">
        <v>2405</v>
      </c>
      <c r="F1905" t="s">
        <v>2403</v>
      </c>
      <c r="G1905" t="s">
        <v>2351</v>
      </c>
      <c r="H1905" t="s">
        <v>458</v>
      </c>
      <c r="I1905" t="s">
        <v>374</v>
      </c>
      <c r="J1905" t="s">
        <v>757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2347</v>
      </c>
      <c r="B1906" t="s">
        <v>2401</v>
      </c>
      <c r="C1906" t="s">
        <v>368</v>
      </c>
      <c r="D1906" t="s">
        <v>523</v>
      </c>
      <c r="E1906" t="s">
        <v>2406</v>
      </c>
      <c r="F1906" t="s">
        <v>2403</v>
      </c>
      <c r="G1906" t="s">
        <v>2351</v>
      </c>
      <c r="H1906" t="s">
        <v>458</v>
      </c>
      <c r="I1906" t="s">
        <v>374</v>
      </c>
      <c r="J1906" t="s">
        <v>757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2347</v>
      </c>
      <c r="B1907" t="s">
        <v>2401</v>
      </c>
      <c r="C1907" t="s">
        <v>368</v>
      </c>
      <c r="D1907" t="s">
        <v>523</v>
      </c>
      <c r="E1907" t="s">
        <v>2407</v>
      </c>
      <c r="F1907" t="s">
        <v>2403</v>
      </c>
      <c r="G1907" t="s">
        <v>2351</v>
      </c>
      <c r="H1907" t="s">
        <v>458</v>
      </c>
      <c r="I1907" t="s">
        <v>374</v>
      </c>
      <c r="J1907" t="s">
        <v>757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2347</v>
      </c>
      <c r="B1908" t="s">
        <v>2401</v>
      </c>
      <c r="C1908" t="s">
        <v>368</v>
      </c>
      <c r="D1908" t="s">
        <v>523</v>
      </c>
      <c r="E1908" t="s">
        <v>2408</v>
      </c>
      <c r="F1908" t="s">
        <v>2403</v>
      </c>
      <c r="G1908" t="s">
        <v>2351</v>
      </c>
      <c r="H1908" t="s">
        <v>458</v>
      </c>
      <c r="I1908" t="s">
        <v>374</v>
      </c>
      <c r="J1908" t="s">
        <v>757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2347</v>
      </c>
      <c r="B1909" t="s">
        <v>2401</v>
      </c>
      <c r="C1909" t="s">
        <v>368</v>
      </c>
      <c r="D1909" t="s">
        <v>523</v>
      </c>
      <c r="E1909" t="s">
        <v>2409</v>
      </c>
      <c r="F1909" t="s">
        <v>2403</v>
      </c>
      <c r="G1909" t="s">
        <v>2351</v>
      </c>
      <c r="H1909" t="s">
        <v>458</v>
      </c>
      <c r="I1909" t="s">
        <v>374</v>
      </c>
      <c r="J1909" t="s">
        <v>757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2347</v>
      </c>
      <c r="B1910" t="s">
        <v>2401</v>
      </c>
      <c r="C1910" t="s">
        <v>368</v>
      </c>
      <c r="D1910" t="s">
        <v>523</v>
      </c>
      <c r="E1910" t="s">
        <v>2410</v>
      </c>
      <c r="F1910" t="s">
        <v>2403</v>
      </c>
      <c r="G1910" t="s">
        <v>2351</v>
      </c>
      <c r="H1910" t="s">
        <v>458</v>
      </c>
      <c r="I1910" t="s">
        <v>374</v>
      </c>
      <c r="J1910" t="s">
        <v>757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2347</v>
      </c>
      <c r="B1911" t="s">
        <v>2401</v>
      </c>
      <c r="C1911" t="s">
        <v>368</v>
      </c>
      <c r="D1911" t="s">
        <v>523</v>
      </c>
      <c r="E1911" t="s">
        <v>2411</v>
      </c>
      <c r="F1911" t="s">
        <v>2403</v>
      </c>
      <c r="G1911" t="s">
        <v>2351</v>
      </c>
      <c r="H1911" t="s">
        <v>458</v>
      </c>
      <c r="I1911" t="s">
        <v>374</v>
      </c>
      <c r="J1911" t="s">
        <v>757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2347</v>
      </c>
      <c r="B1912" t="s">
        <v>2401</v>
      </c>
      <c r="C1912" t="s">
        <v>368</v>
      </c>
      <c r="D1912" t="s">
        <v>523</v>
      </c>
      <c r="E1912" t="s">
        <v>2412</v>
      </c>
      <c r="F1912" t="s">
        <v>2403</v>
      </c>
      <c r="G1912" t="s">
        <v>2351</v>
      </c>
      <c r="H1912" t="s">
        <v>458</v>
      </c>
      <c r="I1912" t="s">
        <v>374</v>
      </c>
      <c r="J1912" t="s">
        <v>757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2347</v>
      </c>
      <c r="B1913" t="s">
        <v>2401</v>
      </c>
      <c r="C1913" t="s">
        <v>368</v>
      </c>
      <c r="D1913" t="s">
        <v>523</v>
      </c>
      <c r="E1913" t="s">
        <v>2413</v>
      </c>
      <c r="F1913" t="s">
        <v>2403</v>
      </c>
      <c r="G1913" t="s">
        <v>2351</v>
      </c>
      <c r="H1913" t="s">
        <v>458</v>
      </c>
      <c r="I1913" t="s">
        <v>374</v>
      </c>
      <c r="J1913" t="s">
        <v>757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2347</v>
      </c>
      <c r="B1914" t="s">
        <v>2401</v>
      </c>
      <c r="C1914" t="s">
        <v>368</v>
      </c>
      <c r="D1914" t="s">
        <v>523</v>
      </c>
      <c r="E1914" t="s">
        <v>2414</v>
      </c>
      <c r="F1914" t="s">
        <v>2403</v>
      </c>
      <c r="G1914" t="s">
        <v>2351</v>
      </c>
      <c r="H1914" t="s">
        <v>458</v>
      </c>
      <c r="I1914" t="s">
        <v>374</v>
      </c>
      <c r="J1914" t="s">
        <v>757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2347</v>
      </c>
      <c r="B1915" t="s">
        <v>2401</v>
      </c>
      <c r="C1915" t="s">
        <v>368</v>
      </c>
      <c r="D1915" t="s">
        <v>523</v>
      </c>
      <c r="E1915" t="s">
        <v>2415</v>
      </c>
      <c r="F1915" t="s">
        <v>2403</v>
      </c>
      <c r="G1915" t="s">
        <v>2351</v>
      </c>
      <c r="H1915" t="s">
        <v>458</v>
      </c>
      <c r="I1915" t="s">
        <v>374</v>
      </c>
      <c r="J1915" t="s">
        <v>757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2347</v>
      </c>
      <c r="B1916" t="s">
        <v>2401</v>
      </c>
      <c r="C1916" t="s">
        <v>368</v>
      </c>
      <c r="D1916" t="s">
        <v>523</v>
      </c>
      <c r="E1916" t="s">
        <v>2416</v>
      </c>
      <c r="F1916" t="s">
        <v>2403</v>
      </c>
      <c r="G1916" t="s">
        <v>2351</v>
      </c>
      <c r="H1916" t="s">
        <v>458</v>
      </c>
      <c r="I1916" t="s">
        <v>374</v>
      </c>
      <c r="J1916" t="s">
        <v>757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2347</v>
      </c>
      <c r="B1917" t="s">
        <v>2401</v>
      </c>
      <c r="C1917" t="s">
        <v>368</v>
      </c>
      <c r="D1917" t="s">
        <v>523</v>
      </c>
      <c r="E1917" t="s">
        <v>2417</v>
      </c>
      <c r="F1917" t="s">
        <v>2403</v>
      </c>
      <c r="G1917" t="s">
        <v>2351</v>
      </c>
      <c r="H1917" t="s">
        <v>458</v>
      </c>
      <c r="I1917" t="s">
        <v>374</v>
      </c>
      <c r="J1917" t="s">
        <v>757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2347</v>
      </c>
      <c r="B1918" t="s">
        <v>2418</v>
      </c>
      <c r="C1918" t="s">
        <v>368</v>
      </c>
      <c r="D1918" t="s">
        <v>523</v>
      </c>
      <c r="E1918" t="s">
        <v>2419</v>
      </c>
      <c r="F1918" t="s">
        <v>2420</v>
      </c>
      <c r="G1918" t="s">
        <v>2351</v>
      </c>
      <c r="H1918" t="s">
        <v>458</v>
      </c>
      <c r="I1918" t="s">
        <v>374</v>
      </c>
      <c r="J1918" t="s">
        <v>849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2347</v>
      </c>
      <c r="B1919" t="s">
        <v>2418</v>
      </c>
      <c r="C1919" t="s">
        <v>368</v>
      </c>
      <c r="D1919" t="s">
        <v>523</v>
      </c>
      <c r="E1919" t="s">
        <v>2421</v>
      </c>
      <c r="F1919" t="s">
        <v>2420</v>
      </c>
      <c r="G1919" t="s">
        <v>2351</v>
      </c>
      <c r="H1919" t="s">
        <v>458</v>
      </c>
      <c r="I1919" t="s">
        <v>374</v>
      </c>
      <c r="J1919" t="s">
        <v>849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2347</v>
      </c>
      <c r="B1920" t="s">
        <v>2418</v>
      </c>
      <c r="C1920" t="s">
        <v>368</v>
      </c>
      <c r="D1920" t="s">
        <v>523</v>
      </c>
      <c r="E1920" t="s">
        <v>2422</v>
      </c>
      <c r="F1920" t="s">
        <v>2420</v>
      </c>
      <c r="G1920" t="s">
        <v>2351</v>
      </c>
      <c r="H1920" t="s">
        <v>458</v>
      </c>
      <c r="I1920" t="s">
        <v>374</v>
      </c>
      <c r="J1920" t="s">
        <v>849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2347</v>
      </c>
      <c r="B1921" t="s">
        <v>2418</v>
      </c>
      <c r="C1921" t="s">
        <v>368</v>
      </c>
      <c r="D1921" t="s">
        <v>523</v>
      </c>
      <c r="E1921" t="s">
        <v>2423</v>
      </c>
      <c r="F1921" t="s">
        <v>2420</v>
      </c>
      <c r="G1921" t="s">
        <v>2351</v>
      </c>
      <c r="H1921" t="s">
        <v>458</v>
      </c>
      <c r="I1921" t="s">
        <v>374</v>
      </c>
      <c r="J1921" t="s">
        <v>849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2347</v>
      </c>
      <c r="B1922" t="s">
        <v>2418</v>
      </c>
      <c r="C1922" t="s">
        <v>368</v>
      </c>
      <c r="D1922" t="s">
        <v>523</v>
      </c>
      <c r="E1922" t="s">
        <v>2424</v>
      </c>
      <c r="F1922" t="s">
        <v>2420</v>
      </c>
      <c r="G1922" t="s">
        <v>2351</v>
      </c>
      <c r="H1922" t="s">
        <v>458</v>
      </c>
      <c r="I1922" t="s">
        <v>374</v>
      </c>
      <c r="J1922" t="s">
        <v>849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2347</v>
      </c>
      <c r="B1923" t="s">
        <v>2418</v>
      </c>
      <c r="C1923" t="s">
        <v>368</v>
      </c>
      <c r="D1923" t="s">
        <v>523</v>
      </c>
      <c r="E1923" t="s">
        <v>2425</v>
      </c>
      <c r="F1923" t="s">
        <v>2420</v>
      </c>
      <c r="G1923" t="s">
        <v>2351</v>
      </c>
      <c r="H1923" t="s">
        <v>458</v>
      </c>
      <c r="I1923" t="s">
        <v>374</v>
      </c>
      <c r="J1923" t="s">
        <v>849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2347</v>
      </c>
      <c r="B1924" t="s">
        <v>2418</v>
      </c>
      <c r="C1924" t="s">
        <v>368</v>
      </c>
      <c r="D1924" t="s">
        <v>523</v>
      </c>
      <c r="E1924" t="s">
        <v>2426</v>
      </c>
      <c r="F1924" t="s">
        <v>2420</v>
      </c>
      <c r="G1924" t="s">
        <v>2351</v>
      </c>
      <c r="H1924" t="s">
        <v>458</v>
      </c>
      <c r="I1924" t="s">
        <v>374</v>
      </c>
      <c r="J1924" t="s">
        <v>849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2347</v>
      </c>
      <c r="B1925" t="s">
        <v>2418</v>
      </c>
      <c r="C1925" t="s">
        <v>368</v>
      </c>
      <c r="D1925" t="s">
        <v>523</v>
      </c>
      <c r="E1925" t="s">
        <v>2427</v>
      </c>
      <c r="F1925" t="s">
        <v>2420</v>
      </c>
      <c r="G1925" t="s">
        <v>2351</v>
      </c>
      <c r="H1925" t="s">
        <v>458</v>
      </c>
      <c r="I1925" t="s">
        <v>374</v>
      </c>
      <c r="J1925" t="s">
        <v>849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2347</v>
      </c>
      <c r="B1926" t="s">
        <v>2418</v>
      </c>
      <c r="C1926" t="s">
        <v>368</v>
      </c>
      <c r="D1926" t="s">
        <v>523</v>
      </c>
      <c r="E1926" t="s">
        <v>2428</v>
      </c>
      <c r="F1926" t="s">
        <v>2420</v>
      </c>
      <c r="G1926" t="s">
        <v>2351</v>
      </c>
      <c r="H1926" t="s">
        <v>458</v>
      </c>
      <c r="I1926" t="s">
        <v>374</v>
      </c>
      <c r="J1926" t="s">
        <v>849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2347</v>
      </c>
      <c r="B1927" t="s">
        <v>2418</v>
      </c>
      <c r="C1927" t="s">
        <v>368</v>
      </c>
      <c r="D1927" t="s">
        <v>523</v>
      </c>
      <c r="E1927" t="s">
        <v>2429</v>
      </c>
      <c r="F1927" t="s">
        <v>2420</v>
      </c>
      <c r="G1927" t="s">
        <v>2351</v>
      </c>
      <c r="H1927" t="s">
        <v>458</v>
      </c>
      <c r="I1927" t="s">
        <v>374</v>
      </c>
      <c r="J1927" t="s">
        <v>849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2347</v>
      </c>
      <c r="B1928" t="s">
        <v>2418</v>
      </c>
      <c r="C1928" t="s">
        <v>368</v>
      </c>
      <c r="D1928" t="s">
        <v>523</v>
      </c>
      <c r="E1928" t="s">
        <v>2430</v>
      </c>
      <c r="F1928" t="s">
        <v>2420</v>
      </c>
      <c r="G1928" t="s">
        <v>2351</v>
      </c>
      <c r="H1928" t="s">
        <v>458</v>
      </c>
      <c r="I1928" t="s">
        <v>374</v>
      </c>
      <c r="J1928" t="s">
        <v>849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2347</v>
      </c>
      <c r="B1929" t="s">
        <v>2418</v>
      </c>
      <c r="C1929" t="s">
        <v>368</v>
      </c>
      <c r="D1929" t="s">
        <v>523</v>
      </c>
      <c r="E1929" t="s">
        <v>2431</v>
      </c>
      <c r="F1929" t="s">
        <v>2420</v>
      </c>
      <c r="G1929" t="s">
        <v>2351</v>
      </c>
      <c r="H1929" t="s">
        <v>458</v>
      </c>
      <c r="I1929" t="s">
        <v>374</v>
      </c>
      <c r="J1929" t="s">
        <v>849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2347</v>
      </c>
      <c r="B1930" t="s">
        <v>2418</v>
      </c>
      <c r="C1930" t="s">
        <v>368</v>
      </c>
      <c r="D1930" t="s">
        <v>523</v>
      </c>
      <c r="E1930" t="s">
        <v>2432</v>
      </c>
      <c r="F1930" t="s">
        <v>2420</v>
      </c>
      <c r="G1930" t="s">
        <v>2351</v>
      </c>
      <c r="H1930" t="s">
        <v>458</v>
      </c>
      <c r="I1930" t="s">
        <v>374</v>
      </c>
      <c r="J1930" t="s">
        <v>849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2347</v>
      </c>
      <c r="B1931" t="s">
        <v>2418</v>
      </c>
      <c r="C1931" t="s">
        <v>609</v>
      </c>
      <c r="D1931" t="s">
        <v>523</v>
      </c>
      <c r="E1931" t="s">
        <v>2433</v>
      </c>
      <c r="F1931" t="s">
        <v>2420</v>
      </c>
      <c r="G1931" t="s">
        <v>2351</v>
      </c>
      <c r="H1931" t="s">
        <v>458</v>
      </c>
      <c r="I1931" t="s">
        <v>374</v>
      </c>
      <c r="J1931" t="s">
        <v>849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2347</v>
      </c>
      <c r="B1932" t="s">
        <v>2418</v>
      </c>
      <c r="C1932" t="s">
        <v>609</v>
      </c>
      <c r="D1932" t="s">
        <v>523</v>
      </c>
      <c r="E1932" t="s">
        <v>2434</v>
      </c>
      <c r="F1932" t="s">
        <v>2420</v>
      </c>
      <c r="G1932" t="s">
        <v>2351</v>
      </c>
      <c r="H1932" t="s">
        <v>458</v>
      </c>
      <c r="I1932" t="s">
        <v>374</v>
      </c>
      <c r="J1932" t="s">
        <v>849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2347</v>
      </c>
      <c r="B1933" t="s">
        <v>2418</v>
      </c>
      <c r="C1933" t="s">
        <v>609</v>
      </c>
      <c r="D1933" t="s">
        <v>523</v>
      </c>
      <c r="E1933" t="s">
        <v>2435</v>
      </c>
      <c r="F1933" t="s">
        <v>2420</v>
      </c>
      <c r="G1933" t="s">
        <v>2351</v>
      </c>
      <c r="H1933" t="s">
        <v>458</v>
      </c>
      <c r="I1933" t="s">
        <v>374</v>
      </c>
      <c r="J1933" t="s">
        <v>849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2347</v>
      </c>
      <c r="B1934" t="s">
        <v>2418</v>
      </c>
      <c r="C1934" t="s">
        <v>609</v>
      </c>
      <c r="D1934" t="s">
        <v>523</v>
      </c>
      <c r="E1934" t="s">
        <v>2436</v>
      </c>
      <c r="F1934" t="s">
        <v>2420</v>
      </c>
      <c r="G1934" t="s">
        <v>2351</v>
      </c>
      <c r="H1934" t="s">
        <v>458</v>
      </c>
      <c r="I1934" t="s">
        <v>374</v>
      </c>
      <c r="J1934" t="s">
        <v>849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2347</v>
      </c>
      <c r="B1935" t="s">
        <v>2418</v>
      </c>
      <c r="C1935" t="s">
        <v>609</v>
      </c>
      <c r="D1935" t="s">
        <v>523</v>
      </c>
      <c r="E1935" t="s">
        <v>2437</v>
      </c>
      <c r="F1935" t="s">
        <v>2420</v>
      </c>
      <c r="G1935" t="s">
        <v>2351</v>
      </c>
      <c r="H1935" t="s">
        <v>458</v>
      </c>
      <c r="I1935" t="s">
        <v>374</v>
      </c>
      <c r="J1935" t="s">
        <v>849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2347</v>
      </c>
      <c r="B1936" t="s">
        <v>2418</v>
      </c>
      <c r="C1936" t="s">
        <v>368</v>
      </c>
      <c r="D1936" t="s">
        <v>523</v>
      </c>
      <c r="E1936" t="s">
        <v>2438</v>
      </c>
      <c r="F1936" t="s">
        <v>2420</v>
      </c>
      <c r="G1936" t="s">
        <v>2351</v>
      </c>
      <c r="H1936" t="s">
        <v>458</v>
      </c>
      <c r="I1936" t="s">
        <v>374</v>
      </c>
      <c r="J1936" t="s">
        <v>849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2347</v>
      </c>
      <c r="B1937" t="s">
        <v>2418</v>
      </c>
      <c r="C1937" t="s">
        <v>368</v>
      </c>
      <c r="D1937" t="s">
        <v>523</v>
      </c>
      <c r="E1937" t="s">
        <v>2439</v>
      </c>
      <c r="F1937" t="s">
        <v>2420</v>
      </c>
      <c r="G1937" t="s">
        <v>2351</v>
      </c>
      <c r="H1937" t="s">
        <v>458</v>
      </c>
      <c r="I1937" t="s">
        <v>374</v>
      </c>
      <c r="J1937" t="s">
        <v>849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2347</v>
      </c>
      <c r="B1938" t="s">
        <v>2440</v>
      </c>
      <c r="C1938" t="s">
        <v>368</v>
      </c>
      <c r="D1938" t="s">
        <v>523</v>
      </c>
      <c r="E1938" t="s">
        <v>2441</v>
      </c>
      <c r="F1938" t="s">
        <v>2442</v>
      </c>
      <c r="G1938" t="s">
        <v>2351</v>
      </c>
      <c r="H1938" t="s">
        <v>458</v>
      </c>
      <c r="I1938" t="s">
        <v>374</v>
      </c>
      <c r="J1938" t="s">
        <v>881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2347</v>
      </c>
      <c r="B1939" t="s">
        <v>2440</v>
      </c>
      <c r="C1939" t="s">
        <v>368</v>
      </c>
      <c r="D1939" t="s">
        <v>523</v>
      </c>
      <c r="E1939" t="s">
        <v>2443</v>
      </c>
      <c r="F1939" t="s">
        <v>2442</v>
      </c>
      <c r="G1939" t="s">
        <v>2351</v>
      </c>
      <c r="H1939" t="s">
        <v>458</v>
      </c>
      <c r="I1939" t="s">
        <v>374</v>
      </c>
      <c r="J1939" t="s">
        <v>881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2347</v>
      </c>
      <c r="B1940" t="s">
        <v>2440</v>
      </c>
      <c r="C1940" t="s">
        <v>368</v>
      </c>
      <c r="D1940" t="s">
        <v>523</v>
      </c>
      <c r="E1940" t="s">
        <v>2444</v>
      </c>
      <c r="F1940" t="s">
        <v>2442</v>
      </c>
      <c r="G1940" t="s">
        <v>2351</v>
      </c>
      <c r="H1940" t="s">
        <v>458</v>
      </c>
      <c r="I1940" t="s">
        <v>374</v>
      </c>
      <c r="J1940" t="s">
        <v>881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2347</v>
      </c>
      <c r="B1941" t="s">
        <v>2440</v>
      </c>
      <c r="C1941" t="s">
        <v>368</v>
      </c>
      <c r="D1941" t="s">
        <v>523</v>
      </c>
      <c r="E1941" t="s">
        <v>2445</v>
      </c>
      <c r="F1941" t="s">
        <v>2442</v>
      </c>
      <c r="G1941" t="s">
        <v>2351</v>
      </c>
      <c r="H1941" t="s">
        <v>458</v>
      </c>
      <c r="I1941" t="s">
        <v>374</v>
      </c>
      <c r="J1941" t="s">
        <v>881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2347</v>
      </c>
      <c r="B1942" t="s">
        <v>2440</v>
      </c>
      <c r="C1942" t="s">
        <v>368</v>
      </c>
      <c r="D1942" t="s">
        <v>523</v>
      </c>
      <c r="E1942" t="s">
        <v>2446</v>
      </c>
      <c r="F1942" t="s">
        <v>2442</v>
      </c>
      <c r="G1942" t="s">
        <v>2351</v>
      </c>
      <c r="H1942" t="s">
        <v>458</v>
      </c>
      <c r="I1942" t="s">
        <v>374</v>
      </c>
      <c r="J1942" t="s">
        <v>881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2347</v>
      </c>
      <c r="B1943" t="s">
        <v>2440</v>
      </c>
      <c r="C1943" t="s">
        <v>368</v>
      </c>
      <c r="D1943" t="s">
        <v>523</v>
      </c>
      <c r="E1943" t="s">
        <v>2447</v>
      </c>
      <c r="F1943" t="s">
        <v>2442</v>
      </c>
      <c r="G1943" t="s">
        <v>2351</v>
      </c>
      <c r="H1943" t="s">
        <v>458</v>
      </c>
      <c r="I1943" t="s">
        <v>374</v>
      </c>
      <c r="J1943" t="s">
        <v>881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2347</v>
      </c>
      <c r="B1944" t="s">
        <v>2440</v>
      </c>
      <c r="C1944" t="s">
        <v>368</v>
      </c>
      <c r="D1944" t="s">
        <v>523</v>
      </c>
      <c r="E1944" t="s">
        <v>2448</v>
      </c>
      <c r="F1944" t="s">
        <v>2442</v>
      </c>
      <c r="G1944" t="s">
        <v>2351</v>
      </c>
      <c r="H1944" t="s">
        <v>458</v>
      </c>
      <c r="I1944" t="s">
        <v>374</v>
      </c>
      <c r="J1944" t="s">
        <v>881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2347</v>
      </c>
      <c r="B1945" t="s">
        <v>2440</v>
      </c>
      <c r="C1945" t="s">
        <v>368</v>
      </c>
      <c r="D1945" t="s">
        <v>523</v>
      </c>
      <c r="E1945" t="s">
        <v>2449</v>
      </c>
      <c r="F1945" t="s">
        <v>2442</v>
      </c>
      <c r="G1945" t="s">
        <v>2351</v>
      </c>
      <c r="H1945" t="s">
        <v>458</v>
      </c>
      <c r="I1945" t="s">
        <v>374</v>
      </c>
      <c r="J1945" t="s">
        <v>881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2347</v>
      </c>
      <c r="B1946" t="s">
        <v>2440</v>
      </c>
      <c r="C1946" t="s">
        <v>368</v>
      </c>
      <c r="D1946" t="s">
        <v>523</v>
      </c>
      <c r="E1946" t="s">
        <v>2450</v>
      </c>
      <c r="F1946" t="s">
        <v>2442</v>
      </c>
      <c r="G1946" t="s">
        <v>2351</v>
      </c>
      <c r="H1946" t="s">
        <v>458</v>
      </c>
      <c r="I1946" t="s">
        <v>374</v>
      </c>
      <c r="J1946" t="s">
        <v>881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2347</v>
      </c>
      <c r="B1947" t="s">
        <v>2440</v>
      </c>
      <c r="C1947" t="s">
        <v>368</v>
      </c>
      <c r="D1947" t="s">
        <v>523</v>
      </c>
      <c r="E1947" t="s">
        <v>2451</v>
      </c>
      <c r="F1947" t="s">
        <v>2442</v>
      </c>
      <c r="G1947" t="s">
        <v>2351</v>
      </c>
      <c r="H1947" t="s">
        <v>458</v>
      </c>
      <c r="I1947" t="s">
        <v>374</v>
      </c>
      <c r="J1947" t="s">
        <v>881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2347</v>
      </c>
      <c r="B1948" t="s">
        <v>2440</v>
      </c>
      <c r="C1948" t="s">
        <v>368</v>
      </c>
      <c r="D1948" t="s">
        <v>523</v>
      </c>
      <c r="E1948" t="s">
        <v>2452</v>
      </c>
      <c r="F1948" t="s">
        <v>2442</v>
      </c>
      <c r="G1948" t="s">
        <v>2351</v>
      </c>
      <c r="H1948" t="s">
        <v>458</v>
      </c>
      <c r="I1948" t="s">
        <v>374</v>
      </c>
      <c r="J1948" t="s">
        <v>881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2347</v>
      </c>
      <c r="B1949" t="s">
        <v>2440</v>
      </c>
      <c r="C1949" t="s">
        <v>368</v>
      </c>
      <c r="D1949" t="s">
        <v>523</v>
      </c>
      <c r="E1949" t="s">
        <v>2453</v>
      </c>
      <c r="F1949" t="s">
        <v>2442</v>
      </c>
      <c r="G1949" t="s">
        <v>2351</v>
      </c>
      <c r="H1949" t="s">
        <v>458</v>
      </c>
      <c r="I1949" t="s">
        <v>374</v>
      </c>
      <c r="J1949" t="s">
        <v>881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2347</v>
      </c>
      <c r="B1950" t="s">
        <v>2440</v>
      </c>
      <c r="C1950" t="s">
        <v>368</v>
      </c>
      <c r="D1950" t="s">
        <v>523</v>
      </c>
      <c r="E1950" t="s">
        <v>2454</v>
      </c>
      <c r="F1950" t="s">
        <v>2442</v>
      </c>
      <c r="G1950" t="s">
        <v>2351</v>
      </c>
      <c r="H1950" t="s">
        <v>458</v>
      </c>
      <c r="I1950" t="s">
        <v>374</v>
      </c>
      <c r="J1950" t="s">
        <v>881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2347</v>
      </c>
      <c r="B1951" t="s">
        <v>2440</v>
      </c>
      <c r="C1951" t="s">
        <v>609</v>
      </c>
      <c r="D1951" t="s">
        <v>523</v>
      </c>
      <c r="E1951" t="s">
        <v>2455</v>
      </c>
      <c r="F1951" t="s">
        <v>2442</v>
      </c>
      <c r="G1951" t="s">
        <v>2351</v>
      </c>
      <c r="H1951" t="s">
        <v>458</v>
      </c>
      <c r="I1951" t="s">
        <v>374</v>
      </c>
      <c r="J1951" t="s">
        <v>881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2347</v>
      </c>
      <c r="B1952" t="s">
        <v>2440</v>
      </c>
      <c r="C1952" t="s">
        <v>609</v>
      </c>
      <c r="D1952" t="s">
        <v>523</v>
      </c>
      <c r="E1952" t="s">
        <v>2456</v>
      </c>
      <c r="F1952" t="s">
        <v>2442</v>
      </c>
      <c r="G1952" t="s">
        <v>2351</v>
      </c>
      <c r="H1952" t="s">
        <v>458</v>
      </c>
      <c r="I1952" t="s">
        <v>374</v>
      </c>
      <c r="J1952" t="s">
        <v>881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2347</v>
      </c>
      <c r="B1953" t="s">
        <v>2440</v>
      </c>
      <c r="C1953" t="s">
        <v>609</v>
      </c>
      <c r="D1953" t="s">
        <v>523</v>
      </c>
      <c r="E1953" t="s">
        <v>2457</v>
      </c>
      <c r="F1953" t="s">
        <v>2442</v>
      </c>
      <c r="G1953" t="s">
        <v>2351</v>
      </c>
      <c r="H1953" t="s">
        <v>458</v>
      </c>
      <c r="I1953" t="s">
        <v>374</v>
      </c>
      <c r="J1953" t="s">
        <v>881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2347</v>
      </c>
      <c r="B1954" t="s">
        <v>2440</v>
      </c>
      <c r="C1954" t="s">
        <v>609</v>
      </c>
      <c r="D1954" t="s">
        <v>523</v>
      </c>
      <c r="E1954" t="s">
        <v>2458</v>
      </c>
      <c r="F1954" t="s">
        <v>2442</v>
      </c>
      <c r="G1954" t="s">
        <v>2351</v>
      </c>
      <c r="H1954" t="s">
        <v>458</v>
      </c>
      <c r="I1954" t="s">
        <v>374</v>
      </c>
      <c r="J1954" t="s">
        <v>881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2347</v>
      </c>
      <c r="B1955" t="s">
        <v>2440</v>
      </c>
      <c r="C1955" t="s">
        <v>609</v>
      </c>
      <c r="D1955" t="s">
        <v>523</v>
      </c>
      <c r="E1955" t="s">
        <v>2459</v>
      </c>
      <c r="F1955" t="s">
        <v>2442</v>
      </c>
      <c r="G1955" t="s">
        <v>2351</v>
      </c>
      <c r="H1955" t="s">
        <v>458</v>
      </c>
      <c r="I1955" t="s">
        <v>374</v>
      </c>
      <c r="J1955" t="s">
        <v>881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2347</v>
      </c>
      <c r="B1956" t="s">
        <v>2440</v>
      </c>
      <c r="C1956" t="s">
        <v>368</v>
      </c>
      <c r="D1956" t="s">
        <v>523</v>
      </c>
      <c r="E1956" t="s">
        <v>2460</v>
      </c>
      <c r="F1956" t="s">
        <v>2442</v>
      </c>
      <c r="G1956" t="s">
        <v>2351</v>
      </c>
      <c r="H1956" t="s">
        <v>458</v>
      </c>
      <c r="I1956" t="s">
        <v>374</v>
      </c>
      <c r="J1956" t="s">
        <v>881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2347</v>
      </c>
      <c r="B1957" t="s">
        <v>2440</v>
      </c>
      <c r="C1957" t="s">
        <v>368</v>
      </c>
      <c r="D1957" t="s">
        <v>523</v>
      </c>
      <c r="E1957" t="s">
        <v>2461</v>
      </c>
      <c r="F1957" t="s">
        <v>2442</v>
      </c>
      <c r="G1957" t="s">
        <v>2351</v>
      </c>
      <c r="H1957" t="s">
        <v>458</v>
      </c>
      <c r="I1957" t="s">
        <v>374</v>
      </c>
      <c r="J1957" t="s">
        <v>881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2347</v>
      </c>
      <c r="B1958" t="s">
        <v>2462</v>
      </c>
      <c r="C1958" t="s">
        <v>368</v>
      </c>
      <c r="D1958" t="s">
        <v>523</v>
      </c>
      <c r="E1958" t="s">
        <v>2463</v>
      </c>
      <c r="F1958" t="s">
        <v>2464</v>
      </c>
      <c r="G1958" t="s">
        <v>2351</v>
      </c>
      <c r="H1958" t="s">
        <v>458</v>
      </c>
      <c r="I1958" t="s">
        <v>374</v>
      </c>
      <c r="J1958" t="s">
        <v>906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2347</v>
      </c>
      <c r="B1959" t="s">
        <v>2462</v>
      </c>
      <c r="C1959" t="s">
        <v>368</v>
      </c>
      <c r="D1959" t="s">
        <v>523</v>
      </c>
      <c r="E1959" t="s">
        <v>2465</v>
      </c>
      <c r="F1959" t="s">
        <v>2464</v>
      </c>
      <c r="G1959" t="s">
        <v>2351</v>
      </c>
      <c r="H1959" t="s">
        <v>458</v>
      </c>
      <c r="I1959" t="s">
        <v>374</v>
      </c>
      <c r="J1959" t="s">
        <v>906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2347</v>
      </c>
      <c r="B1960" t="s">
        <v>2462</v>
      </c>
      <c r="C1960" t="s">
        <v>368</v>
      </c>
      <c r="D1960" t="s">
        <v>523</v>
      </c>
      <c r="E1960" t="s">
        <v>2466</v>
      </c>
      <c r="F1960" t="s">
        <v>2464</v>
      </c>
      <c r="G1960" t="s">
        <v>2351</v>
      </c>
      <c r="H1960" t="s">
        <v>458</v>
      </c>
      <c r="I1960" t="s">
        <v>374</v>
      </c>
      <c r="J1960" t="s">
        <v>906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2347</v>
      </c>
      <c r="B1961" t="s">
        <v>2462</v>
      </c>
      <c r="C1961" t="s">
        <v>368</v>
      </c>
      <c r="D1961" t="s">
        <v>523</v>
      </c>
      <c r="E1961" t="s">
        <v>2467</v>
      </c>
      <c r="F1961" t="s">
        <v>2464</v>
      </c>
      <c r="G1961" t="s">
        <v>2351</v>
      </c>
      <c r="H1961" t="s">
        <v>458</v>
      </c>
      <c r="I1961" t="s">
        <v>374</v>
      </c>
      <c r="J1961" t="s">
        <v>906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2347</v>
      </c>
      <c r="B1962" t="s">
        <v>2462</v>
      </c>
      <c r="C1962" t="s">
        <v>368</v>
      </c>
      <c r="D1962" t="s">
        <v>523</v>
      </c>
      <c r="E1962" t="s">
        <v>2468</v>
      </c>
      <c r="F1962" t="s">
        <v>2464</v>
      </c>
      <c r="G1962" t="s">
        <v>2351</v>
      </c>
      <c r="H1962" t="s">
        <v>458</v>
      </c>
      <c r="I1962" t="s">
        <v>374</v>
      </c>
      <c r="J1962" t="s">
        <v>906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2347</v>
      </c>
      <c r="B1963" t="s">
        <v>2462</v>
      </c>
      <c r="C1963" t="s">
        <v>368</v>
      </c>
      <c r="D1963" t="s">
        <v>523</v>
      </c>
      <c r="E1963" t="s">
        <v>2469</v>
      </c>
      <c r="F1963" t="s">
        <v>2464</v>
      </c>
      <c r="G1963" t="s">
        <v>2351</v>
      </c>
      <c r="H1963" t="s">
        <v>458</v>
      </c>
      <c r="I1963" t="s">
        <v>374</v>
      </c>
      <c r="J1963" t="s">
        <v>906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2347</v>
      </c>
      <c r="B1964" t="s">
        <v>2462</v>
      </c>
      <c r="C1964" t="s">
        <v>368</v>
      </c>
      <c r="D1964" t="s">
        <v>523</v>
      </c>
      <c r="E1964" t="s">
        <v>2470</v>
      </c>
      <c r="F1964" t="s">
        <v>2464</v>
      </c>
      <c r="G1964" t="s">
        <v>2351</v>
      </c>
      <c r="H1964" t="s">
        <v>458</v>
      </c>
      <c r="I1964" t="s">
        <v>374</v>
      </c>
      <c r="J1964" t="s">
        <v>906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2347</v>
      </c>
      <c r="B1965" t="s">
        <v>2462</v>
      </c>
      <c r="C1965" t="s">
        <v>368</v>
      </c>
      <c r="D1965" t="s">
        <v>523</v>
      </c>
      <c r="E1965" t="s">
        <v>2471</v>
      </c>
      <c r="F1965" t="s">
        <v>2464</v>
      </c>
      <c r="G1965" t="s">
        <v>2351</v>
      </c>
      <c r="H1965" t="s">
        <v>458</v>
      </c>
      <c r="I1965" t="s">
        <v>374</v>
      </c>
      <c r="J1965" t="s">
        <v>906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2347</v>
      </c>
      <c r="B1966" t="s">
        <v>2462</v>
      </c>
      <c r="C1966" t="s">
        <v>368</v>
      </c>
      <c r="D1966" t="s">
        <v>523</v>
      </c>
      <c r="E1966" t="s">
        <v>2472</v>
      </c>
      <c r="F1966" t="s">
        <v>2464</v>
      </c>
      <c r="G1966" t="s">
        <v>2351</v>
      </c>
      <c r="H1966" t="s">
        <v>458</v>
      </c>
      <c r="I1966" t="s">
        <v>374</v>
      </c>
      <c r="J1966" t="s">
        <v>906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2347</v>
      </c>
      <c r="B1967" t="s">
        <v>2462</v>
      </c>
      <c r="C1967" t="s">
        <v>368</v>
      </c>
      <c r="D1967" t="s">
        <v>523</v>
      </c>
      <c r="E1967" t="s">
        <v>2473</v>
      </c>
      <c r="F1967" t="s">
        <v>2464</v>
      </c>
      <c r="G1967" t="s">
        <v>2351</v>
      </c>
      <c r="H1967" t="s">
        <v>458</v>
      </c>
      <c r="I1967" t="s">
        <v>374</v>
      </c>
      <c r="J1967" t="s">
        <v>906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2347</v>
      </c>
      <c r="B1968" t="s">
        <v>2462</v>
      </c>
      <c r="C1968" t="s">
        <v>368</v>
      </c>
      <c r="D1968" t="s">
        <v>523</v>
      </c>
      <c r="E1968" t="s">
        <v>2474</v>
      </c>
      <c r="F1968" t="s">
        <v>2464</v>
      </c>
      <c r="G1968" t="s">
        <v>2351</v>
      </c>
      <c r="H1968" t="s">
        <v>458</v>
      </c>
      <c r="I1968" t="s">
        <v>374</v>
      </c>
      <c r="J1968" t="s">
        <v>906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2347</v>
      </c>
      <c r="B1969" t="s">
        <v>2462</v>
      </c>
      <c r="C1969" t="s">
        <v>368</v>
      </c>
      <c r="D1969" t="s">
        <v>523</v>
      </c>
      <c r="E1969" t="s">
        <v>2475</v>
      </c>
      <c r="F1969" t="s">
        <v>2464</v>
      </c>
      <c r="G1969" t="s">
        <v>2351</v>
      </c>
      <c r="H1969" t="s">
        <v>458</v>
      </c>
      <c r="I1969" t="s">
        <v>374</v>
      </c>
      <c r="J1969" t="s">
        <v>906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2347</v>
      </c>
      <c r="B1970" t="s">
        <v>2462</v>
      </c>
      <c r="C1970" t="s">
        <v>368</v>
      </c>
      <c r="D1970" t="s">
        <v>523</v>
      </c>
      <c r="E1970" t="s">
        <v>2476</v>
      </c>
      <c r="F1970" t="s">
        <v>2464</v>
      </c>
      <c r="G1970" t="s">
        <v>2351</v>
      </c>
      <c r="H1970" t="s">
        <v>458</v>
      </c>
      <c r="I1970" t="s">
        <v>374</v>
      </c>
      <c r="J1970" t="s">
        <v>906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2347</v>
      </c>
      <c r="B1971" t="s">
        <v>2462</v>
      </c>
      <c r="C1971" t="s">
        <v>609</v>
      </c>
      <c r="D1971" t="s">
        <v>523</v>
      </c>
      <c r="E1971" t="s">
        <v>2477</v>
      </c>
      <c r="F1971" t="s">
        <v>2464</v>
      </c>
      <c r="G1971" t="s">
        <v>2351</v>
      </c>
      <c r="H1971" t="s">
        <v>458</v>
      </c>
      <c r="I1971" t="s">
        <v>374</v>
      </c>
      <c r="J1971" t="s">
        <v>906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2347</v>
      </c>
      <c r="B1972" t="s">
        <v>2462</v>
      </c>
      <c r="C1972" t="s">
        <v>609</v>
      </c>
      <c r="D1972" t="s">
        <v>523</v>
      </c>
      <c r="E1972" t="s">
        <v>2478</v>
      </c>
      <c r="F1972" t="s">
        <v>2464</v>
      </c>
      <c r="G1972" t="s">
        <v>2351</v>
      </c>
      <c r="H1972" t="s">
        <v>458</v>
      </c>
      <c r="I1972" t="s">
        <v>374</v>
      </c>
      <c r="J1972" t="s">
        <v>906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2347</v>
      </c>
      <c r="B1973" t="s">
        <v>2462</v>
      </c>
      <c r="C1973" t="s">
        <v>609</v>
      </c>
      <c r="D1973" t="s">
        <v>523</v>
      </c>
      <c r="E1973" t="s">
        <v>2479</v>
      </c>
      <c r="F1973" t="s">
        <v>2464</v>
      </c>
      <c r="G1973" t="s">
        <v>2351</v>
      </c>
      <c r="H1973" t="s">
        <v>458</v>
      </c>
      <c r="I1973" t="s">
        <v>374</v>
      </c>
      <c r="J1973" t="s">
        <v>906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2347</v>
      </c>
      <c r="B1974" t="s">
        <v>2462</v>
      </c>
      <c r="C1974" t="s">
        <v>609</v>
      </c>
      <c r="D1974" t="s">
        <v>523</v>
      </c>
      <c r="E1974" t="s">
        <v>2480</v>
      </c>
      <c r="F1974" t="s">
        <v>2464</v>
      </c>
      <c r="G1974" t="s">
        <v>2351</v>
      </c>
      <c r="H1974" t="s">
        <v>458</v>
      </c>
      <c r="I1974" t="s">
        <v>374</v>
      </c>
      <c r="J1974" t="s">
        <v>906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2347</v>
      </c>
      <c r="B1975" t="s">
        <v>2462</v>
      </c>
      <c r="C1975" t="s">
        <v>609</v>
      </c>
      <c r="D1975" t="s">
        <v>523</v>
      </c>
      <c r="E1975" t="s">
        <v>2481</v>
      </c>
      <c r="F1975" t="s">
        <v>2464</v>
      </c>
      <c r="G1975" t="s">
        <v>2351</v>
      </c>
      <c r="H1975" t="s">
        <v>458</v>
      </c>
      <c r="I1975" t="s">
        <v>374</v>
      </c>
      <c r="J1975" t="s">
        <v>906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2347</v>
      </c>
      <c r="B1976" t="s">
        <v>2462</v>
      </c>
      <c r="C1976" t="s">
        <v>368</v>
      </c>
      <c r="D1976" t="s">
        <v>523</v>
      </c>
      <c r="E1976" t="s">
        <v>2482</v>
      </c>
      <c r="F1976" t="s">
        <v>2464</v>
      </c>
      <c r="G1976" t="s">
        <v>2351</v>
      </c>
      <c r="H1976" t="s">
        <v>458</v>
      </c>
      <c r="I1976" t="s">
        <v>374</v>
      </c>
      <c r="J1976" t="s">
        <v>906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2347</v>
      </c>
      <c r="B1977" t="s">
        <v>2462</v>
      </c>
      <c r="C1977" t="s">
        <v>368</v>
      </c>
      <c r="D1977" t="s">
        <v>523</v>
      </c>
      <c r="E1977" t="s">
        <v>2483</v>
      </c>
      <c r="F1977" t="s">
        <v>2464</v>
      </c>
      <c r="G1977" t="s">
        <v>2351</v>
      </c>
      <c r="H1977" t="s">
        <v>458</v>
      </c>
      <c r="I1977" t="s">
        <v>374</v>
      </c>
      <c r="J1977" t="s">
        <v>906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2347</v>
      </c>
      <c r="B1978" t="s">
        <v>2484</v>
      </c>
      <c r="C1978" t="s">
        <v>368</v>
      </c>
      <c r="D1978" t="s">
        <v>523</v>
      </c>
      <c r="E1978" t="s">
        <v>2485</v>
      </c>
      <c r="F1978" t="s">
        <v>2486</v>
      </c>
      <c r="G1978" t="s">
        <v>2351</v>
      </c>
      <c r="H1978" t="s">
        <v>458</v>
      </c>
      <c r="I1978" t="s">
        <v>374</v>
      </c>
      <c r="J1978" t="s">
        <v>1095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2347</v>
      </c>
      <c r="B1979" t="s">
        <v>2484</v>
      </c>
      <c r="C1979" t="s">
        <v>368</v>
      </c>
      <c r="D1979" t="s">
        <v>523</v>
      </c>
      <c r="E1979" t="s">
        <v>2487</v>
      </c>
      <c r="F1979" t="s">
        <v>2486</v>
      </c>
      <c r="G1979" t="s">
        <v>2351</v>
      </c>
      <c r="H1979" t="s">
        <v>458</v>
      </c>
      <c r="I1979" t="s">
        <v>374</v>
      </c>
      <c r="J1979" t="s">
        <v>1095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2347</v>
      </c>
      <c r="B1980" t="s">
        <v>2484</v>
      </c>
      <c r="C1980" t="s">
        <v>368</v>
      </c>
      <c r="D1980" t="s">
        <v>523</v>
      </c>
      <c r="E1980" t="s">
        <v>2488</v>
      </c>
      <c r="F1980" t="s">
        <v>2486</v>
      </c>
      <c r="G1980" t="s">
        <v>2351</v>
      </c>
      <c r="H1980" t="s">
        <v>458</v>
      </c>
      <c r="I1980" t="s">
        <v>374</v>
      </c>
      <c r="J1980" t="s">
        <v>1095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2347</v>
      </c>
      <c r="B1981" t="s">
        <v>2484</v>
      </c>
      <c r="C1981" t="s">
        <v>368</v>
      </c>
      <c r="D1981" t="s">
        <v>523</v>
      </c>
      <c r="E1981" t="s">
        <v>2489</v>
      </c>
      <c r="F1981" t="s">
        <v>2486</v>
      </c>
      <c r="G1981" t="s">
        <v>2351</v>
      </c>
      <c r="H1981" t="s">
        <v>458</v>
      </c>
      <c r="I1981" t="s">
        <v>374</v>
      </c>
      <c r="J1981" t="s">
        <v>1095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2347</v>
      </c>
      <c r="B1982" t="s">
        <v>2484</v>
      </c>
      <c r="C1982" t="s">
        <v>368</v>
      </c>
      <c r="D1982" t="s">
        <v>523</v>
      </c>
      <c r="E1982" t="s">
        <v>2490</v>
      </c>
      <c r="F1982" t="s">
        <v>2486</v>
      </c>
      <c r="G1982" t="s">
        <v>2351</v>
      </c>
      <c r="H1982" t="s">
        <v>458</v>
      </c>
      <c r="I1982" t="s">
        <v>374</v>
      </c>
      <c r="J1982" t="s">
        <v>1095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2347</v>
      </c>
      <c r="B1983" t="s">
        <v>2484</v>
      </c>
      <c r="C1983" t="s">
        <v>368</v>
      </c>
      <c r="D1983" t="s">
        <v>523</v>
      </c>
      <c r="E1983" t="s">
        <v>2491</v>
      </c>
      <c r="F1983" t="s">
        <v>2486</v>
      </c>
      <c r="G1983" t="s">
        <v>2351</v>
      </c>
      <c r="H1983" t="s">
        <v>458</v>
      </c>
      <c r="I1983" t="s">
        <v>374</v>
      </c>
      <c r="J1983" t="s">
        <v>1095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2347</v>
      </c>
      <c r="B1984" t="s">
        <v>2484</v>
      </c>
      <c r="C1984" t="s">
        <v>368</v>
      </c>
      <c r="D1984" t="s">
        <v>523</v>
      </c>
      <c r="E1984" t="s">
        <v>2492</v>
      </c>
      <c r="F1984" t="s">
        <v>2486</v>
      </c>
      <c r="G1984" t="s">
        <v>2351</v>
      </c>
      <c r="H1984" t="s">
        <v>458</v>
      </c>
      <c r="I1984" t="s">
        <v>374</v>
      </c>
      <c r="J1984" t="s">
        <v>1095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2347</v>
      </c>
      <c r="B1985" t="s">
        <v>2484</v>
      </c>
      <c r="C1985" t="s">
        <v>368</v>
      </c>
      <c r="D1985" t="s">
        <v>523</v>
      </c>
      <c r="E1985" t="s">
        <v>2493</v>
      </c>
      <c r="F1985" t="s">
        <v>2486</v>
      </c>
      <c r="G1985" t="s">
        <v>2351</v>
      </c>
      <c r="H1985" t="s">
        <v>458</v>
      </c>
      <c r="I1985" t="s">
        <v>374</v>
      </c>
      <c r="J1985" t="s">
        <v>1095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2347</v>
      </c>
      <c r="B1986" t="s">
        <v>2494</v>
      </c>
      <c r="C1986" t="s">
        <v>368</v>
      </c>
      <c r="D1986" t="s">
        <v>523</v>
      </c>
      <c r="E1986" t="s">
        <v>2495</v>
      </c>
      <c r="F1986" t="s">
        <v>2496</v>
      </c>
      <c r="G1986" t="s">
        <v>2351</v>
      </c>
      <c r="H1986" t="s">
        <v>458</v>
      </c>
      <c r="I1986" t="s">
        <v>374</v>
      </c>
      <c r="J1986" t="s">
        <v>2053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2347</v>
      </c>
      <c r="B1987" t="s">
        <v>2494</v>
      </c>
      <c r="C1987" t="s">
        <v>368</v>
      </c>
      <c r="D1987" t="s">
        <v>523</v>
      </c>
      <c r="E1987" t="s">
        <v>2497</v>
      </c>
      <c r="F1987" t="s">
        <v>2496</v>
      </c>
      <c r="G1987" t="s">
        <v>2351</v>
      </c>
      <c r="H1987" t="s">
        <v>458</v>
      </c>
      <c r="I1987" t="s">
        <v>374</v>
      </c>
      <c r="J1987" t="s">
        <v>2053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2347</v>
      </c>
      <c r="B1988" t="s">
        <v>2494</v>
      </c>
      <c r="C1988" t="s">
        <v>368</v>
      </c>
      <c r="D1988" t="s">
        <v>523</v>
      </c>
      <c r="E1988" t="s">
        <v>2498</v>
      </c>
      <c r="F1988" t="s">
        <v>2496</v>
      </c>
      <c r="G1988" t="s">
        <v>2351</v>
      </c>
      <c r="H1988" t="s">
        <v>458</v>
      </c>
      <c r="I1988" t="s">
        <v>374</v>
      </c>
      <c r="J1988" t="s">
        <v>2053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2347</v>
      </c>
      <c r="B1989" t="s">
        <v>2494</v>
      </c>
      <c r="C1989" t="s">
        <v>368</v>
      </c>
      <c r="D1989" t="s">
        <v>523</v>
      </c>
      <c r="E1989" t="s">
        <v>2499</v>
      </c>
      <c r="F1989" t="s">
        <v>2496</v>
      </c>
      <c r="G1989" t="s">
        <v>2351</v>
      </c>
      <c r="H1989" t="s">
        <v>458</v>
      </c>
      <c r="I1989" t="s">
        <v>374</v>
      </c>
      <c r="J1989" t="s">
        <v>2053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2347</v>
      </c>
      <c r="B1990" t="s">
        <v>2494</v>
      </c>
      <c r="C1990" t="s">
        <v>368</v>
      </c>
      <c r="D1990" t="s">
        <v>523</v>
      </c>
      <c r="E1990" t="s">
        <v>2500</v>
      </c>
      <c r="F1990" t="s">
        <v>2496</v>
      </c>
      <c r="G1990" t="s">
        <v>2351</v>
      </c>
      <c r="H1990" t="s">
        <v>458</v>
      </c>
      <c r="I1990" t="s">
        <v>374</v>
      </c>
      <c r="J1990" t="s">
        <v>2053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2347</v>
      </c>
      <c r="B1991" t="s">
        <v>2494</v>
      </c>
      <c r="C1991" t="s">
        <v>368</v>
      </c>
      <c r="D1991" t="s">
        <v>523</v>
      </c>
      <c r="E1991" t="s">
        <v>2501</v>
      </c>
      <c r="F1991" t="s">
        <v>2496</v>
      </c>
      <c r="G1991" t="s">
        <v>2351</v>
      </c>
      <c r="H1991" t="s">
        <v>458</v>
      </c>
      <c r="I1991" t="s">
        <v>374</v>
      </c>
      <c r="J1991" t="s">
        <v>2053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2347</v>
      </c>
      <c r="B1992" t="s">
        <v>2494</v>
      </c>
      <c r="C1992" t="s">
        <v>368</v>
      </c>
      <c r="D1992" t="s">
        <v>523</v>
      </c>
      <c r="E1992" t="s">
        <v>2502</v>
      </c>
      <c r="F1992" t="s">
        <v>2496</v>
      </c>
      <c r="G1992" t="s">
        <v>2351</v>
      </c>
      <c r="H1992" t="s">
        <v>458</v>
      </c>
      <c r="I1992" t="s">
        <v>374</v>
      </c>
      <c r="J1992" t="s">
        <v>2053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2347</v>
      </c>
      <c r="B1993" t="s">
        <v>2494</v>
      </c>
      <c r="C1993" t="s">
        <v>368</v>
      </c>
      <c r="D1993" t="s">
        <v>523</v>
      </c>
      <c r="E1993" t="s">
        <v>2503</v>
      </c>
      <c r="F1993" t="s">
        <v>2496</v>
      </c>
      <c r="G1993" t="s">
        <v>2351</v>
      </c>
      <c r="H1993" t="s">
        <v>458</v>
      </c>
      <c r="I1993" t="s">
        <v>374</v>
      </c>
      <c r="J1993" t="s">
        <v>2053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2347</v>
      </c>
      <c r="B1994" t="s">
        <v>2504</v>
      </c>
      <c r="C1994" t="s">
        <v>368</v>
      </c>
      <c r="D1994" t="s">
        <v>523</v>
      </c>
      <c r="E1994" t="s">
        <v>2505</v>
      </c>
      <c r="F1994" t="s">
        <v>2506</v>
      </c>
      <c r="G1994" t="s">
        <v>2351</v>
      </c>
      <c r="H1994" t="s">
        <v>458</v>
      </c>
      <c r="I1994" t="s">
        <v>374</v>
      </c>
      <c r="J1994" t="s">
        <v>386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2347</v>
      </c>
      <c r="B1995" t="s">
        <v>2504</v>
      </c>
      <c r="C1995" t="s">
        <v>368</v>
      </c>
      <c r="D1995" t="s">
        <v>523</v>
      </c>
      <c r="E1995" t="s">
        <v>2507</v>
      </c>
      <c r="F1995" t="s">
        <v>2506</v>
      </c>
      <c r="G1995" t="s">
        <v>2351</v>
      </c>
      <c r="H1995" t="s">
        <v>458</v>
      </c>
      <c r="I1995" t="s">
        <v>374</v>
      </c>
      <c r="J1995" t="s">
        <v>386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2347</v>
      </c>
      <c r="B1996" t="s">
        <v>2504</v>
      </c>
      <c r="C1996" t="s">
        <v>368</v>
      </c>
      <c r="D1996" t="s">
        <v>523</v>
      </c>
      <c r="E1996" t="s">
        <v>2508</v>
      </c>
      <c r="F1996" t="s">
        <v>2506</v>
      </c>
      <c r="G1996" t="s">
        <v>2351</v>
      </c>
      <c r="H1996" t="s">
        <v>458</v>
      </c>
      <c r="I1996" t="s">
        <v>374</v>
      </c>
      <c r="J1996" t="s">
        <v>386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2347</v>
      </c>
      <c r="B1997" t="s">
        <v>2504</v>
      </c>
      <c r="C1997" t="s">
        <v>368</v>
      </c>
      <c r="D1997" t="s">
        <v>523</v>
      </c>
      <c r="E1997" t="s">
        <v>2509</v>
      </c>
      <c r="F1997" t="s">
        <v>2506</v>
      </c>
      <c r="G1997" t="s">
        <v>2351</v>
      </c>
      <c r="H1997" t="s">
        <v>458</v>
      </c>
      <c r="I1997" t="s">
        <v>374</v>
      </c>
      <c r="J1997" t="s">
        <v>386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2347</v>
      </c>
      <c r="B1998" t="s">
        <v>2504</v>
      </c>
      <c r="C1998" t="s">
        <v>368</v>
      </c>
      <c r="D1998" t="s">
        <v>523</v>
      </c>
      <c r="E1998" t="s">
        <v>2510</v>
      </c>
      <c r="F1998" t="s">
        <v>2506</v>
      </c>
      <c r="G1998" t="s">
        <v>2351</v>
      </c>
      <c r="H1998" t="s">
        <v>458</v>
      </c>
      <c r="I1998" t="s">
        <v>374</v>
      </c>
      <c r="J1998" t="s">
        <v>386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2347</v>
      </c>
      <c r="B1999" t="s">
        <v>2504</v>
      </c>
      <c r="C1999" t="s">
        <v>368</v>
      </c>
      <c r="D1999" t="s">
        <v>523</v>
      </c>
      <c r="E1999" t="s">
        <v>2511</v>
      </c>
      <c r="F1999" t="s">
        <v>2506</v>
      </c>
      <c r="G1999" t="s">
        <v>2351</v>
      </c>
      <c r="H1999" t="s">
        <v>458</v>
      </c>
      <c r="I1999" t="s">
        <v>374</v>
      </c>
      <c r="J1999" t="s">
        <v>386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2347</v>
      </c>
      <c r="B2000" t="s">
        <v>2504</v>
      </c>
      <c r="C2000" t="s">
        <v>368</v>
      </c>
      <c r="D2000" t="s">
        <v>523</v>
      </c>
      <c r="E2000" t="s">
        <v>2512</v>
      </c>
      <c r="F2000" t="s">
        <v>2506</v>
      </c>
      <c r="G2000" t="s">
        <v>2351</v>
      </c>
      <c r="H2000" t="s">
        <v>458</v>
      </c>
      <c r="I2000" t="s">
        <v>374</v>
      </c>
      <c r="J2000" t="s">
        <v>386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2347</v>
      </c>
      <c r="B2001" t="s">
        <v>2504</v>
      </c>
      <c r="C2001" t="s">
        <v>368</v>
      </c>
      <c r="D2001" t="s">
        <v>523</v>
      </c>
      <c r="E2001" t="s">
        <v>2513</v>
      </c>
      <c r="F2001" t="s">
        <v>2506</v>
      </c>
      <c r="G2001" t="s">
        <v>2351</v>
      </c>
      <c r="H2001" t="s">
        <v>458</v>
      </c>
      <c r="I2001" t="s">
        <v>374</v>
      </c>
      <c r="J2001" t="s">
        <v>386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2347</v>
      </c>
      <c r="B2002" t="s">
        <v>2504</v>
      </c>
      <c r="C2002" t="s">
        <v>368</v>
      </c>
      <c r="D2002" t="s">
        <v>523</v>
      </c>
      <c r="E2002" t="s">
        <v>2514</v>
      </c>
      <c r="F2002" t="s">
        <v>2506</v>
      </c>
      <c r="G2002" t="s">
        <v>2351</v>
      </c>
      <c r="H2002" t="s">
        <v>458</v>
      </c>
      <c r="I2002" t="s">
        <v>374</v>
      </c>
      <c r="J2002" t="s">
        <v>386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2347</v>
      </c>
      <c r="B2003" t="s">
        <v>2504</v>
      </c>
      <c r="C2003" t="s">
        <v>368</v>
      </c>
      <c r="D2003" t="s">
        <v>523</v>
      </c>
      <c r="E2003" t="s">
        <v>2515</v>
      </c>
      <c r="F2003" t="s">
        <v>2506</v>
      </c>
      <c r="G2003" t="s">
        <v>2351</v>
      </c>
      <c r="H2003" t="s">
        <v>458</v>
      </c>
      <c r="I2003" t="s">
        <v>374</v>
      </c>
      <c r="J2003" t="s">
        <v>386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2347</v>
      </c>
      <c r="B2004" t="s">
        <v>2504</v>
      </c>
      <c r="C2004" t="s">
        <v>368</v>
      </c>
      <c r="D2004" t="s">
        <v>523</v>
      </c>
      <c r="E2004" t="s">
        <v>2516</v>
      </c>
      <c r="F2004" t="s">
        <v>2506</v>
      </c>
      <c r="G2004" t="s">
        <v>2351</v>
      </c>
      <c r="H2004" t="s">
        <v>458</v>
      </c>
      <c r="I2004" t="s">
        <v>374</v>
      </c>
      <c r="J2004" t="s">
        <v>386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2347</v>
      </c>
      <c r="B2005" t="s">
        <v>2504</v>
      </c>
      <c r="C2005" t="s">
        <v>368</v>
      </c>
      <c r="D2005" t="s">
        <v>523</v>
      </c>
      <c r="E2005" t="s">
        <v>2517</v>
      </c>
      <c r="F2005" t="s">
        <v>2506</v>
      </c>
      <c r="G2005" t="s">
        <v>2351</v>
      </c>
      <c r="H2005" t="s">
        <v>458</v>
      </c>
      <c r="I2005" t="s">
        <v>374</v>
      </c>
      <c r="J2005" t="s">
        <v>386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2347</v>
      </c>
      <c r="B2006" t="s">
        <v>2504</v>
      </c>
      <c r="C2006" t="s">
        <v>368</v>
      </c>
      <c r="D2006" t="s">
        <v>523</v>
      </c>
      <c r="E2006" t="s">
        <v>2518</v>
      </c>
      <c r="F2006" t="s">
        <v>2506</v>
      </c>
      <c r="G2006" t="s">
        <v>2351</v>
      </c>
      <c r="H2006" t="s">
        <v>458</v>
      </c>
      <c r="I2006" t="s">
        <v>374</v>
      </c>
      <c r="J2006" t="s">
        <v>386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2347</v>
      </c>
      <c r="B2007" t="s">
        <v>2504</v>
      </c>
      <c r="C2007" t="s">
        <v>609</v>
      </c>
      <c r="D2007" t="s">
        <v>523</v>
      </c>
      <c r="E2007" t="s">
        <v>2519</v>
      </c>
      <c r="F2007" t="s">
        <v>2506</v>
      </c>
      <c r="G2007" t="s">
        <v>2351</v>
      </c>
      <c r="H2007" t="s">
        <v>458</v>
      </c>
      <c r="I2007" t="s">
        <v>374</v>
      </c>
      <c r="J2007" t="s">
        <v>386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2347</v>
      </c>
      <c r="B2008" t="s">
        <v>2504</v>
      </c>
      <c r="C2008" t="s">
        <v>609</v>
      </c>
      <c r="D2008" t="s">
        <v>523</v>
      </c>
      <c r="E2008" t="s">
        <v>2520</v>
      </c>
      <c r="F2008" t="s">
        <v>2506</v>
      </c>
      <c r="G2008" t="s">
        <v>2351</v>
      </c>
      <c r="H2008" t="s">
        <v>458</v>
      </c>
      <c r="I2008" t="s">
        <v>374</v>
      </c>
      <c r="J2008" t="s">
        <v>386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2347</v>
      </c>
      <c r="B2009" t="s">
        <v>2504</v>
      </c>
      <c r="C2009" t="s">
        <v>609</v>
      </c>
      <c r="D2009" t="s">
        <v>523</v>
      </c>
      <c r="E2009" t="s">
        <v>2521</v>
      </c>
      <c r="F2009" t="s">
        <v>2506</v>
      </c>
      <c r="G2009" t="s">
        <v>2351</v>
      </c>
      <c r="H2009" t="s">
        <v>458</v>
      </c>
      <c r="I2009" t="s">
        <v>374</v>
      </c>
      <c r="J2009" t="s">
        <v>386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2347</v>
      </c>
      <c r="B2010" t="s">
        <v>2504</v>
      </c>
      <c r="C2010" t="s">
        <v>609</v>
      </c>
      <c r="D2010" t="s">
        <v>523</v>
      </c>
      <c r="E2010" t="s">
        <v>2522</v>
      </c>
      <c r="F2010" t="s">
        <v>2506</v>
      </c>
      <c r="G2010" t="s">
        <v>2351</v>
      </c>
      <c r="H2010" t="s">
        <v>458</v>
      </c>
      <c r="I2010" t="s">
        <v>374</v>
      </c>
      <c r="J2010" t="s">
        <v>386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2347</v>
      </c>
      <c r="B2011" t="s">
        <v>2504</v>
      </c>
      <c r="C2011" t="s">
        <v>609</v>
      </c>
      <c r="D2011" t="s">
        <v>523</v>
      </c>
      <c r="E2011" t="s">
        <v>2523</v>
      </c>
      <c r="F2011" t="s">
        <v>2506</v>
      </c>
      <c r="G2011" t="s">
        <v>2351</v>
      </c>
      <c r="H2011" t="s">
        <v>458</v>
      </c>
      <c r="I2011" t="s">
        <v>374</v>
      </c>
      <c r="J2011" t="s">
        <v>386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2347</v>
      </c>
      <c r="B2012" t="s">
        <v>2504</v>
      </c>
      <c r="C2012" t="s">
        <v>368</v>
      </c>
      <c r="D2012" t="s">
        <v>523</v>
      </c>
      <c r="E2012" t="s">
        <v>2524</v>
      </c>
      <c r="F2012" t="s">
        <v>2506</v>
      </c>
      <c r="G2012" t="s">
        <v>2351</v>
      </c>
      <c r="H2012" t="s">
        <v>458</v>
      </c>
      <c r="I2012" t="s">
        <v>374</v>
      </c>
      <c r="J2012" t="s">
        <v>386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2347</v>
      </c>
      <c r="B2013" t="s">
        <v>2504</v>
      </c>
      <c r="C2013" t="s">
        <v>368</v>
      </c>
      <c r="D2013" t="s">
        <v>523</v>
      </c>
      <c r="E2013" t="s">
        <v>2525</v>
      </c>
      <c r="F2013" t="s">
        <v>2506</v>
      </c>
      <c r="G2013" t="s">
        <v>2351</v>
      </c>
      <c r="H2013" t="s">
        <v>458</v>
      </c>
      <c r="I2013" t="s">
        <v>374</v>
      </c>
      <c r="J2013" t="s">
        <v>386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2347</v>
      </c>
      <c r="B2014" t="s">
        <v>2526</v>
      </c>
      <c r="C2014" t="s">
        <v>368</v>
      </c>
      <c r="D2014" t="s">
        <v>523</v>
      </c>
      <c r="E2014" t="s">
        <v>2527</v>
      </c>
      <c r="F2014" t="s">
        <v>2528</v>
      </c>
      <c r="G2014" t="s">
        <v>2351</v>
      </c>
      <c r="H2014" t="s">
        <v>458</v>
      </c>
      <c r="I2014" t="s">
        <v>374</v>
      </c>
      <c r="J2014" t="s">
        <v>1265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2347</v>
      </c>
      <c r="B2015" t="s">
        <v>2526</v>
      </c>
      <c r="C2015" t="s">
        <v>368</v>
      </c>
      <c r="D2015" t="s">
        <v>523</v>
      </c>
      <c r="E2015" t="s">
        <v>2529</v>
      </c>
      <c r="F2015" t="s">
        <v>2528</v>
      </c>
      <c r="G2015" t="s">
        <v>2351</v>
      </c>
      <c r="H2015" t="s">
        <v>458</v>
      </c>
      <c r="I2015" t="s">
        <v>374</v>
      </c>
      <c r="J2015" t="s">
        <v>1265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2347</v>
      </c>
      <c r="B2016" t="s">
        <v>2526</v>
      </c>
      <c r="C2016" t="s">
        <v>368</v>
      </c>
      <c r="D2016" t="s">
        <v>523</v>
      </c>
      <c r="E2016" t="s">
        <v>2530</v>
      </c>
      <c r="F2016" t="s">
        <v>2528</v>
      </c>
      <c r="G2016" t="s">
        <v>2351</v>
      </c>
      <c r="H2016" t="s">
        <v>458</v>
      </c>
      <c r="I2016" t="s">
        <v>374</v>
      </c>
      <c r="J2016" t="s">
        <v>1265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2347</v>
      </c>
      <c r="B2017" t="s">
        <v>2526</v>
      </c>
      <c r="C2017" t="s">
        <v>368</v>
      </c>
      <c r="D2017" t="s">
        <v>523</v>
      </c>
      <c r="E2017" t="s">
        <v>2531</v>
      </c>
      <c r="F2017" t="s">
        <v>2528</v>
      </c>
      <c r="G2017" t="s">
        <v>2351</v>
      </c>
      <c r="H2017" t="s">
        <v>458</v>
      </c>
      <c r="I2017" t="s">
        <v>374</v>
      </c>
      <c r="J2017" t="s">
        <v>1265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2347</v>
      </c>
      <c r="B2018" t="s">
        <v>2526</v>
      </c>
      <c r="C2018" t="s">
        <v>368</v>
      </c>
      <c r="D2018" t="s">
        <v>523</v>
      </c>
      <c r="E2018" t="s">
        <v>2532</v>
      </c>
      <c r="F2018" t="s">
        <v>2528</v>
      </c>
      <c r="G2018" t="s">
        <v>2351</v>
      </c>
      <c r="H2018" t="s">
        <v>458</v>
      </c>
      <c r="I2018" t="s">
        <v>374</v>
      </c>
      <c r="J2018" t="s">
        <v>1265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2347</v>
      </c>
      <c r="B2019" t="s">
        <v>2526</v>
      </c>
      <c r="C2019" t="s">
        <v>368</v>
      </c>
      <c r="D2019" t="s">
        <v>523</v>
      </c>
      <c r="E2019" t="s">
        <v>2533</v>
      </c>
      <c r="F2019" t="s">
        <v>2528</v>
      </c>
      <c r="G2019" t="s">
        <v>2351</v>
      </c>
      <c r="H2019" t="s">
        <v>458</v>
      </c>
      <c r="I2019" t="s">
        <v>374</v>
      </c>
      <c r="J2019" t="s">
        <v>1265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2347</v>
      </c>
      <c r="B2020" t="s">
        <v>2526</v>
      </c>
      <c r="C2020" t="s">
        <v>368</v>
      </c>
      <c r="D2020" t="s">
        <v>523</v>
      </c>
      <c r="E2020" t="s">
        <v>2534</v>
      </c>
      <c r="F2020" t="s">
        <v>2528</v>
      </c>
      <c r="G2020" t="s">
        <v>2351</v>
      </c>
      <c r="H2020" t="s">
        <v>458</v>
      </c>
      <c r="I2020" t="s">
        <v>374</v>
      </c>
      <c r="J2020" t="s">
        <v>1265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2347</v>
      </c>
      <c r="B2021" t="s">
        <v>2526</v>
      </c>
      <c r="C2021" t="s">
        <v>368</v>
      </c>
      <c r="D2021" t="s">
        <v>523</v>
      </c>
      <c r="E2021" t="s">
        <v>2535</v>
      </c>
      <c r="F2021" t="s">
        <v>2528</v>
      </c>
      <c r="G2021" t="s">
        <v>2351</v>
      </c>
      <c r="H2021" t="s">
        <v>458</v>
      </c>
      <c r="I2021" t="s">
        <v>374</v>
      </c>
      <c r="J2021" t="s">
        <v>1265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2347</v>
      </c>
      <c r="B2022" t="s">
        <v>2526</v>
      </c>
      <c r="C2022" t="s">
        <v>368</v>
      </c>
      <c r="D2022" t="s">
        <v>523</v>
      </c>
      <c r="E2022" t="s">
        <v>2536</v>
      </c>
      <c r="F2022" t="s">
        <v>2528</v>
      </c>
      <c r="G2022" t="s">
        <v>2351</v>
      </c>
      <c r="H2022" t="s">
        <v>458</v>
      </c>
      <c r="I2022" t="s">
        <v>374</v>
      </c>
      <c r="J2022" t="s">
        <v>1265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2347</v>
      </c>
      <c r="B2023" t="s">
        <v>2526</v>
      </c>
      <c r="C2023" t="s">
        <v>368</v>
      </c>
      <c r="D2023" t="s">
        <v>523</v>
      </c>
      <c r="E2023" t="s">
        <v>2537</v>
      </c>
      <c r="F2023" t="s">
        <v>2528</v>
      </c>
      <c r="G2023" t="s">
        <v>2351</v>
      </c>
      <c r="H2023" t="s">
        <v>458</v>
      </c>
      <c r="I2023" t="s">
        <v>374</v>
      </c>
      <c r="J2023" t="s">
        <v>1265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2347</v>
      </c>
      <c r="B2024" t="s">
        <v>2526</v>
      </c>
      <c r="C2024" t="s">
        <v>368</v>
      </c>
      <c r="D2024" t="s">
        <v>523</v>
      </c>
      <c r="E2024" t="s">
        <v>2538</v>
      </c>
      <c r="F2024" t="s">
        <v>2528</v>
      </c>
      <c r="G2024" t="s">
        <v>2351</v>
      </c>
      <c r="H2024" t="s">
        <v>458</v>
      </c>
      <c r="I2024" t="s">
        <v>374</v>
      </c>
      <c r="J2024" t="s">
        <v>1265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2347</v>
      </c>
      <c r="B2025" t="s">
        <v>2526</v>
      </c>
      <c r="C2025" t="s">
        <v>368</v>
      </c>
      <c r="D2025" t="s">
        <v>523</v>
      </c>
      <c r="E2025" t="s">
        <v>2539</v>
      </c>
      <c r="F2025" t="s">
        <v>2528</v>
      </c>
      <c r="G2025" t="s">
        <v>2351</v>
      </c>
      <c r="H2025" t="s">
        <v>458</v>
      </c>
      <c r="I2025" t="s">
        <v>374</v>
      </c>
      <c r="J2025" t="s">
        <v>1265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2347</v>
      </c>
      <c r="B2026" t="s">
        <v>2526</v>
      </c>
      <c r="C2026" t="s">
        <v>368</v>
      </c>
      <c r="D2026" t="s">
        <v>523</v>
      </c>
      <c r="E2026" t="s">
        <v>2540</v>
      </c>
      <c r="F2026" t="s">
        <v>2528</v>
      </c>
      <c r="G2026" t="s">
        <v>2351</v>
      </c>
      <c r="H2026" t="s">
        <v>458</v>
      </c>
      <c r="I2026" t="s">
        <v>374</v>
      </c>
      <c r="J2026" t="s">
        <v>1265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2347</v>
      </c>
      <c r="B2027" t="s">
        <v>2526</v>
      </c>
      <c r="C2027" t="s">
        <v>368</v>
      </c>
      <c r="D2027" t="s">
        <v>523</v>
      </c>
      <c r="E2027" t="s">
        <v>2541</v>
      </c>
      <c r="F2027" t="s">
        <v>2528</v>
      </c>
      <c r="G2027" t="s">
        <v>2351</v>
      </c>
      <c r="H2027" t="s">
        <v>458</v>
      </c>
      <c r="I2027" t="s">
        <v>374</v>
      </c>
      <c r="J2027" t="s">
        <v>1265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2347</v>
      </c>
      <c r="B2028" t="s">
        <v>2526</v>
      </c>
      <c r="C2028" t="s">
        <v>368</v>
      </c>
      <c r="D2028" t="s">
        <v>523</v>
      </c>
      <c r="E2028" t="s">
        <v>2542</v>
      </c>
      <c r="F2028" t="s">
        <v>2528</v>
      </c>
      <c r="G2028" t="s">
        <v>2351</v>
      </c>
      <c r="H2028" t="s">
        <v>458</v>
      </c>
      <c r="I2028" t="s">
        <v>374</v>
      </c>
      <c r="J2028" t="s">
        <v>1265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2347</v>
      </c>
      <c r="B2029" t="s">
        <v>2526</v>
      </c>
      <c r="C2029" t="s">
        <v>368</v>
      </c>
      <c r="D2029" t="s">
        <v>523</v>
      </c>
      <c r="E2029" t="s">
        <v>2543</v>
      </c>
      <c r="F2029" t="s">
        <v>2528</v>
      </c>
      <c r="G2029" t="s">
        <v>2351</v>
      </c>
      <c r="H2029" t="s">
        <v>458</v>
      </c>
      <c r="I2029" t="s">
        <v>374</v>
      </c>
      <c r="J2029" t="s">
        <v>1265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2347</v>
      </c>
      <c r="B2030" t="s">
        <v>2526</v>
      </c>
      <c r="C2030" t="s">
        <v>368</v>
      </c>
      <c r="D2030" t="s">
        <v>523</v>
      </c>
      <c r="E2030" t="s">
        <v>2544</v>
      </c>
      <c r="F2030" t="s">
        <v>2528</v>
      </c>
      <c r="G2030" t="s">
        <v>2351</v>
      </c>
      <c r="H2030" t="s">
        <v>458</v>
      </c>
      <c r="I2030" t="s">
        <v>374</v>
      </c>
      <c r="J2030" t="s">
        <v>1265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2347</v>
      </c>
      <c r="B2031" t="s">
        <v>2526</v>
      </c>
      <c r="C2031" t="s">
        <v>368</v>
      </c>
      <c r="D2031" t="s">
        <v>523</v>
      </c>
      <c r="E2031" t="s">
        <v>2545</v>
      </c>
      <c r="F2031" t="s">
        <v>2528</v>
      </c>
      <c r="G2031" t="s">
        <v>2351</v>
      </c>
      <c r="H2031" t="s">
        <v>458</v>
      </c>
      <c r="I2031" t="s">
        <v>374</v>
      </c>
      <c r="J2031" t="s">
        <v>1265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2347</v>
      </c>
      <c r="B2032" t="s">
        <v>2526</v>
      </c>
      <c r="C2032" t="s">
        <v>368</v>
      </c>
      <c r="D2032" t="s">
        <v>523</v>
      </c>
      <c r="E2032" t="s">
        <v>2546</v>
      </c>
      <c r="F2032" t="s">
        <v>2528</v>
      </c>
      <c r="G2032" t="s">
        <v>2351</v>
      </c>
      <c r="H2032" t="s">
        <v>458</v>
      </c>
      <c r="I2032" t="s">
        <v>374</v>
      </c>
      <c r="J2032" t="s">
        <v>1265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2347</v>
      </c>
      <c r="B2033" t="s">
        <v>2526</v>
      </c>
      <c r="C2033" t="s">
        <v>368</v>
      </c>
      <c r="D2033" t="s">
        <v>523</v>
      </c>
      <c r="E2033" t="s">
        <v>2547</v>
      </c>
      <c r="F2033" t="s">
        <v>2528</v>
      </c>
      <c r="G2033" t="s">
        <v>2351</v>
      </c>
      <c r="H2033" t="s">
        <v>458</v>
      </c>
      <c r="I2033" t="s">
        <v>374</v>
      </c>
      <c r="J2033" t="s">
        <v>1265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2347</v>
      </c>
      <c r="B2034" t="s">
        <v>2548</v>
      </c>
      <c r="C2034" t="s">
        <v>1438</v>
      </c>
      <c r="D2034" t="s">
        <v>523</v>
      </c>
      <c r="E2034" t="s">
        <v>2549</v>
      </c>
      <c r="F2034" t="s">
        <v>2550</v>
      </c>
      <c r="G2034" t="s">
        <v>2347</v>
      </c>
      <c r="H2034" t="s">
        <v>458</v>
      </c>
      <c r="I2034" t="s">
        <v>1438</v>
      </c>
      <c r="J2034" t="s">
        <v>2551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2347</v>
      </c>
      <c r="B2035" t="s">
        <v>2552</v>
      </c>
      <c r="C2035" t="s">
        <v>1438</v>
      </c>
      <c r="D2035" t="s">
        <v>523</v>
      </c>
      <c r="E2035" t="s">
        <v>2553</v>
      </c>
      <c r="F2035" t="s">
        <v>2554</v>
      </c>
      <c r="G2035" t="s">
        <v>2347</v>
      </c>
      <c r="H2035" t="s">
        <v>458</v>
      </c>
      <c r="I2035" t="s">
        <v>1438</v>
      </c>
      <c r="J2035" t="s">
        <v>2343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2347</v>
      </c>
      <c r="B2036" t="s">
        <v>2555</v>
      </c>
      <c r="C2036" t="s">
        <v>1438</v>
      </c>
      <c r="D2036" t="s">
        <v>523</v>
      </c>
      <c r="E2036" t="s">
        <v>2556</v>
      </c>
      <c r="F2036" t="s">
        <v>2557</v>
      </c>
      <c r="G2036" t="s">
        <v>2347</v>
      </c>
      <c r="H2036" t="s">
        <v>458</v>
      </c>
      <c r="I2036" t="s">
        <v>1438</v>
      </c>
      <c r="J2036" t="s">
        <v>2558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2347</v>
      </c>
      <c r="B2037" t="s">
        <v>2559</v>
      </c>
      <c r="C2037" t="s">
        <v>1438</v>
      </c>
      <c r="D2037" t="s">
        <v>523</v>
      </c>
      <c r="E2037" t="s">
        <v>2560</v>
      </c>
      <c r="F2037" t="s">
        <v>2561</v>
      </c>
      <c r="G2037" t="s">
        <v>2347</v>
      </c>
      <c r="H2037" t="s">
        <v>458</v>
      </c>
      <c r="I2037" t="s">
        <v>1438</v>
      </c>
      <c r="J2037" t="s">
        <v>2562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2563</v>
      </c>
      <c r="B2038" t="s">
        <v>2564</v>
      </c>
      <c r="C2038" t="s">
        <v>1438</v>
      </c>
      <c r="D2038" t="s">
        <v>523</v>
      </c>
      <c r="E2038" t="s">
        <v>2565</v>
      </c>
      <c r="F2038" t="s">
        <v>2566</v>
      </c>
      <c r="G2038" t="s">
        <v>2563</v>
      </c>
      <c r="H2038" t="s">
        <v>458</v>
      </c>
      <c r="I2038" t="s">
        <v>1438</v>
      </c>
      <c r="J2038" t="s">
        <v>386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2567</v>
      </c>
      <c r="B2039" t="s">
        <v>2568</v>
      </c>
      <c r="C2039" t="s">
        <v>368</v>
      </c>
      <c r="D2039" t="s">
        <v>523</v>
      </c>
      <c r="E2039" t="s">
        <v>2569</v>
      </c>
      <c r="F2039" t="s">
        <v>2570</v>
      </c>
      <c r="G2039" t="s">
        <v>2567</v>
      </c>
      <c r="H2039" t="s">
        <v>458</v>
      </c>
      <c r="I2039" t="s">
        <v>374</v>
      </c>
      <c r="J2039" t="s">
        <v>698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2567</v>
      </c>
      <c r="B2040" t="s">
        <v>2568</v>
      </c>
      <c r="C2040" t="s">
        <v>368</v>
      </c>
      <c r="D2040" t="s">
        <v>523</v>
      </c>
      <c r="E2040" t="s">
        <v>2571</v>
      </c>
      <c r="F2040" t="s">
        <v>2570</v>
      </c>
      <c r="G2040" t="s">
        <v>2567</v>
      </c>
      <c r="H2040" t="s">
        <v>458</v>
      </c>
      <c r="I2040" t="s">
        <v>374</v>
      </c>
      <c r="J2040" t="s">
        <v>698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2567</v>
      </c>
      <c r="B2041" t="s">
        <v>2568</v>
      </c>
      <c r="C2041" t="s">
        <v>368</v>
      </c>
      <c r="D2041" t="s">
        <v>523</v>
      </c>
      <c r="E2041" t="s">
        <v>2572</v>
      </c>
      <c r="F2041" t="s">
        <v>2570</v>
      </c>
      <c r="G2041" t="s">
        <v>2567</v>
      </c>
      <c r="H2041" t="s">
        <v>458</v>
      </c>
      <c r="I2041" t="s">
        <v>374</v>
      </c>
      <c r="J2041" t="s">
        <v>698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2567</v>
      </c>
      <c r="B2042" t="s">
        <v>2568</v>
      </c>
      <c r="C2042" t="s">
        <v>368</v>
      </c>
      <c r="D2042" t="s">
        <v>523</v>
      </c>
      <c r="E2042" t="s">
        <v>2573</v>
      </c>
      <c r="F2042" t="s">
        <v>2570</v>
      </c>
      <c r="G2042" t="s">
        <v>2567</v>
      </c>
      <c r="H2042" t="s">
        <v>458</v>
      </c>
      <c r="I2042" t="s">
        <v>374</v>
      </c>
      <c r="J2042" t="s">
        <v>698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2567</v>
      </c>
      <c r="B2043" t="s">
        <v>2568</v>
      </c>
      <c r="C2043" t="s">
        <v>368</v>
      </c>
      <c r="D2043" t="s">
        <v>523</v>
      </c>
      <c r="E2043" t="s">
        <v>2574</v>
      </c>
      <c r="F2043" t="s">
        <v>2570</v>
      </c>
      <c r="G2043" t="s">
        <v>2567</v>
      </c>
      <c r="H2043" t="s">
        <v>458</v>
      </c>
      <c r="I2043" t="s">
        <v>374</v>
      </c>
      <c r="J2043" t="s">
        <v>698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2567</v>
      </c>
      <c r="B2044" t="s">
        <v>2568</v>
      </c>
      <c r="C2044" t="s">
        <v>368</v>
      </c>
      <c r="D2044" t="s">
        <v>523</v>
      </c>
      <c r="E2044" t="s">
        <v>2575</v>
      </c>
      <c r="F2044" t="s">
        <v>2570</v>
      </c>
      <c r="G2044" t="s">
        <v>2567</v>
      </c>
      <c r="H2044" t="s">
        <v>458</v>
      </c>
      <c r="I2044" t="s">
        <v>374</v>
      </c>
      <c r="J2044" t="s">
        <v>698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2567</v>
      </c>
      <c r="B2045" t="s">
        <v>2568</v>
      </c>
      <c r="C2045" t="s">
        <v>368</v>
      </c>
      <c r="D2045" t="s">
        <v>523</v>
      </c>
      <c r="E2045" t="s">
        <v>2576</v>
      </c>
      <c r="F2045" t="s">
        <v>2570</v>
      </c>
      <c r="G2045" t="s">
        <v>2567</v>
      </c>
      <c r="H2045" t="s">
        <v>458</v>
      </c>
      <c r="I2045" t="s">
        <v>374</v>
      </c>
      <c r="J2045" t="s">
        <v>698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2567</v>
      </c>
      <c r="B2046" t="s">
        <v>2568</v>
      </c>
      <c r="C2046" t="s">
        <v>609</v>
      </c>
      <c r="D2046" t="s">
        <v>523</v>
      </c>
      <c r="E2046" t="s">
        <v>2577</v>
      </c>
      <c r="F2046" t="s">
        <v>2570</v>
      </c>
      <c r="G2046" t="s">
        <v>2567</v>
      </c>
      <c r="H2046" t="s">
        <v>458</v>
      </c>
      <c r="I2046" t="s">
        <v>374</v>
      </c>
      <c r="J2046" t="s">
        <v>698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2567</v>
      </c>
      <c r="B2047" t="s">
        <v>2568</v>
      </c>
      <c r="C2047" t="s">
        <v>609</v>
      </c>
      <c r="D2047" t="s">
        <v>523</v>
      </c>
      <c r="E2047" t="s">
        <v>2578</v>
      </c>
      <c r="F2047" t="s">
        <v>2570</v>
      </c>
      <c r="G2047" t="s">
        <v>2567</v>
      </c>
      <c r="H2047" t="s">
        <v>458</v>
      </c>
      <c r="I2047" t="s">
        <v>374</v>
      </c>
      <c r="J2047" t="s">
        <v>698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2567</v>
      </c>
      <c r="B2048" t="s">
        <v>2568</v>
      </c>
      <c r="C2048" t="s">
        <v>609</v>
      </c>
      <c r="D2048" t="s">
        <v>523</v>
      </c>
      <c r="E2048" t="s">
        <v>2579</v>
      </c>
      <c r="F2048" t="s">
        <v>2570</v>
      </c>
      <c r="G2048" t="s">
        <v>2567</v>
      </c>
      <c r="H2048" t="s">
        <v>458</v>
      </c>
      <c r="I2048" t="s">
        <v>374</v>
      </c>
      <c r="J2048" t="s">
        <v>698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2567</v>
      </c>
      <c r="B2049" t="s">
        <v>2568</v>
      </c>
      <c r="C2049" t="s">
        <v>609</v>
      </c>
      <c r="D2049" t="s">
        <v>523</v>
      </c>
      <c r="E2049" t="s">
        <v>2580</v>
      </c>
      <c r="F2049" t="s">
        <v>2570</v>
      </c>
      <c r="G2049" t="s">
        <v>2567</v>
      </c>
      <c r="H2049" t="s">
        <v>458</v>
      </c>
      <c r="I2049" t="s">
        <v>374</v>
      </c>
      <c r="J2049" t="s">
        <v>698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2567</v>
      </c>
      <c r="B2050" t="s">
        <v>2568</v>
      </c>
      <c r="C2050" t="s">
        <v>368</v>
      </c>
      <c r="D2050" t="s">
        <v>523</v>
      </c>
      <c r="E2050" t="s">
        <v>2581</v>
      </c>
      <c r="F2050" t="s">
        <v>2570</v>
      </c>
      <c r="G2050" t="s">
        <v>2567</v>
      </c>
      <c r="H2050" t="s">
        <v>458</v>
      </c>
      <c r="I2050" t="s">
        <v>374</v>
      </c>
      <c r="J2050" t="s">
        <v>698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2567</v>
      </c>
      <c r="B2051" t="s">
        <v>2582</v>
      </c>
      <c r="C2051" t="s">
        <v>368</v>
      </c>
      <c r="D2051" t="s">
        <v>523</v>
      </c>
      <c r="E2051" t="s">
        <v>2583</v>
      </c>
      <c r="F2051" t="s">
        <v>2584</v>
      </c>
      <c r="G2051" t="s">
        <v>2567</v>
      </c>
      <c r="H2051" t="s">
        <v>458</v>
      </c>
      <c r="I2051" t="s">
        <v>374</v>
      </c>
      <c r="J2051" t="s">
        <v>429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2567</v>
      </c>
      <c r="B2052" t="s">
        <v>2582</v>
      </c>
      <c r="C2052" t="s">
        <v>368</v>
      </c>
      <c r="D2052" t="s">
        <v>523</v>
      </c>
      <c r="E2052" t="s">
        <v>2585</v>
      </c>
      <c r="F2052" t="s">
        <v>2584</v>
      </c>
      <c r="G2052" t="s">
        <v>2567</v>
      </c>
      <c r="H2052" t="s">
        <v>458</v>
      </c>
      <c r="I2052" t="s">
        <v>374</v>
      </c>
      <c r="J2052" t="s">
        <v>429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2567</v>
      </c>
      <c r="B2053" t="s">
        <v>2582</v>
      </c>
      <c r="C2053" t="s">
        <v>368</v>
      </c>
      <c r="D2053" t="s">
        <v>523</v>
      </c>
      <c r="E2053" t="s">
        <v>2586</v>
      </c>
      <c r="F2053" t="s">
        <v>2584</v>
      </c>
      <c r="G2053" t="s">
        <v>2567</v>
      </c>
      <c r="H2053" t="s">
        <v>458</v>
      </c>
      <c r="I2053" t="s">
        <v>374</v>
      </c>
      <c r="J2053" t="s">
        <v>429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2567</v>
      </c>
      <c r="B2054" t="s">
        <v>2582</v>
      </c>
      <c r="C2054" t="s">
        <v>368</v>
      </c>
      <c r="D2054" t="s">
        <v>523</v>
      </c>
      <c r="E2054" t="s">
        <v>2587</v>
      </c>
      <c r="F2054" t="s">
        <v>2584</v>
      </c>
      <c r="G2054" t="s">
        <v>2567</v>
      </c>
      <c r="H2054" t="s">
        <v>458</v>
      </c>
      <c r="I2054" t="s">
        <v>374</v>
      </c>
      <c r="J2054" t="s">
        <v>429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2567</v>
      </c>
      <c r="B2055" t="s">
        <v>2582</v>
      </c>
      <c r="C2055" t="s">
        <v>368</v>
      </c>
      <c r="D2055" t="s">
        <v>523</v>
      </c>
      <c r="E2055" t="s">
        <v>2588</v>
      </c>
      <c r="F2055" t="s">
        <v>2584</v>
      </c>
      <c r="G2055" t="s">
        <v>2567</v>
      </c>
      <c r="H2055" t="s">
        <v>458</v>
      </c>
      <c r="I2055" t="s">
        <v>374</v>
      </c>
      <c r="J2055" t="s">
        <v>429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2567</v>
      </c>
      <c r="B2056" t="s">
        <v>2582</v>
      </c>
      <c r="C2056" t="s">
        <v>368</v>
      </c>
      <c r="D2056" t="s">
        <v>523</v>
      </c>
      <c r="E2056" t="s">
        <v>2589</v>
      </c>
      <c r="F2056" t="s">
        <v>2584</v>
      </c>
      <c r="G2056" t="s">
        <v>2567</v>
      </c>
      <c r="H2056" t="s">
        <v>458</v>
      </c>
      <c r="I2056" t="s">
        <v>374</v>
      </c>
      <c r="J2056" t="s">
        <v>429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2567</v>
      </c>
      <c r="B2057" t="s">
        <v>2582</v>
      </c>
      <c r="C2057" t="s">
        <v>368</v>
      </c>
      <c r="D2057" t="s">
        <v>523</v>
      </c>
      <c r="E2057" t="s">
        <v>2590</v>
      </c>
      <c r="F2057" t="s">
        <v>2584</v>
      </c>
      <c r="G2057" t="s">
        <v>2567</v>
      </c>
      <c r="H2057" t="s">
        <v>458</v>
      </c>
      <c r="I2057" t="s">
        <v>374</v>
      </c>
      <c r="J2057" t="s">
        <v>429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2567</v>
      </c>
      <c r="B2058" t="s">
        <v>2582</v>
      </c>
      <c r="C2058" t="s">
        <v>609</v>
      </c>
      <c r="D2058" t="s">
        <v>523</v>
      </c>
      <c r="E2058" t="s">
        <v>2591</v>
      </c>
      <c r="F2058" t="s">
        <v>2584</v>
      </c>
      <c r="G2058" t="s">
        <v>2567</v>
      </c>
      <c r="H2058" t="s">
        <v>458</v>
      </c>
      <c r="I2058" t="s">
        <v>374</v>
      </c>
      <c r="J2058" t="s">
        <v>429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2567</v>
      </c>
      <c r="B2059" t="s">
        <v>2582</v>
      </c>
      <c r="C2059" t="s">
        <v>609</v>
      </c>
      <c r="D2059" t="s">
        <v>523</v>
      </c>
      <c r="E2059" t="s">
        <v>2592</v>
      </c>
      <c r="F2059" t="s">
        <v>2584</v>
      </c>
      <c r="G2059" t="s">
        <v>2567</v>
      </c>
      <c r="H2059" t="s">
        <v>458</v>
      </c>
      <c r="I2059" t="s">
        <v>374</v>
      </c>
      <c r="J2059" t="s">
        <v>429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2567</v>
      </c>
      <c r="B2060" t="s">
        <v>2582</v>
      </c>
      <c r="C2060" t="s">
        <v>609</v>
      </c>
      <c r="D2060" t="s">
        <v>523</v>
      </c>
      <c r="E2060" t="s">
        <v>2593</v>
      </c>
      <c r="F2060" t="s">
        <v>2584</v>
      </c>
      <c r="G2060" t="s">
        <v>2567</v>
      </c>
      <c r="H2060" t="s">
        <v>458</v>
      </c>
      <c r="I2060" t="s">
        <v>374</v>
      </c>
      <c r="J2060" t="s">
        <v>429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2567</v>
      </c>
      <c r="B2061" t="s">
        <v>2582</v>
      </c>
      <c r="C2061" t="s">
        <v>368</v>
      </c>
      <c r="D2061" t="s">
        <v>523</v>
      </c>
      <c r="E2061" t="s">
        <v>2594</v>
      </c>
      <c r="F2061" t="s">
        <v>2584</v>
      </c>
      <c r="G2061" t="s">
        <v>2567</v>
      </c>
      <c r="H2061" t="s">
        <v>458</v>
      </c>
      <c r="I2061" t="s">
        <v>374</v>
      </c>
      <c r="J2061" t="s">
        <v>429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2595</v>
      </c>
      <c r="B2062" t="s">
        <v>2596</v>
      </c>
      <c r="C2062" t="s">
        <v>368</v>
      </c>
      <c r="D2062" t="s">
        <v>2597</v>
      </c>
      <c r="E2062" t="s">
        <v>230</v>
      </c>
      <c r="F2062" t="s">
        <v>2598</v>
      </c>
      <c r="G2062" t="s">
        <v>2599</v>
      </c>
      <c r="H2062" t="s">
        <v>2600</v>
      </c>
      <c r="I2062" t="s">
        <v>374</v>
      </c>
      <c r="J2062" t="s">
        <v>757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2595</v>
      </c>
      <c r="B2063" t="s">
        <v>2601</v>
      </c>
      <c r="C2063" t="s">
        <v>368</v>
      </c>
      <c r="D2063" t="s">
        <v>2597</v>
      </c>
      <c r="E2063" t="s">
        <v>2602</v>
      </c>
      <c r="F2063" t="s">
        <v>2603</v>
      </c>
      <c r="G2063" t="s">
        <v>2604</v>
      </c>
      <c r="H2063" t="s">
        <v>2600</v>
      </c>
      <c r="I2063" t="s">
        <v>374</v>
      </c>
      <c r="J2063" t="s">
        <v>429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2595</v>
      </c>
      <c r="B2064" t="s">
        <v>2605</v>
      </c>
      <c r="C2064" t="s">
        <v>368</v>
      </c>
      <c r="D2064" t="s">
        <v>2597</v>
      </c>
      <c r="E2064" t="s">
        <v>2606</v>
      </c>
      <c r="F2064" t="s">
        <v>2603</v>
      </c>
      <c r="G2064" t="s">
        <v>2604</v>
      </c>
      <c r="H2064" t="s">
        <v>2600</v>
      </c>
      <c r="I2064" t="s">
        <v>374</v>
      </c>
      <c r="J2064" t="s">
        <v>429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2595</v>
      </c>
      <c r="B2065" t="s">
        <v>2607</v>
      </c>
      <c r="C2065" t="s">
        <v>368</v>
      </c>
      <c r="D2065" t="s">
        <v>2597</v>
      </c>
      <c r="E2065" t="s">
        <v>2608</v>
      </c>
      <c r="F2065" t="s">
        <v>2609</v>
      </c>
      <c r="G2065" t="s">
        <v>2610</v>
      </c>
      <c r="H2065" t="s">
        <v>2611</v>
      </c>
      <c r="I2065" t="s">
        <v>374</v>
      </c>
      <c r="J2065" t="s">
        <v>849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2595</v>
      </c>
      <c r="B2066" t="s">
        <v>2596</v>
      </c>
      <c r="C2066" t="s">
        <v>368</v>
      </c>
      <c r="D2066" t="s">
        <v>2597</v>
      </c>
      <c r="E2066" t="s">
        <v>2612</v>
      </c>
      <c r="F2066" t="s">
        <v>2613</v>
      </c>
      <c r="G2066" t="s">
        <v>2610</v>
      </c>
      <c r="H2066" t="s">
        <v>2614</v>
      </c>
      <c r="I2066" t="s">
        <v>374</v>
      </c>
      <c r="J2066" t="s">
        <v>2615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2595</v>
      </c>
      <c r="B2067" t="s">
        <v>2616</v>
      </c>
      <c r="C2067" t="s">
        <v>368</v>
      </c>
      <c r="D2067" t="s">
        <v>2597</v>
      </c>
      <c r="E2067" t="s">
        <v>2617</v>
      </c>
      <c r="F2067" t="s">
        <v>2618</v>
      </c>
      <c r="G2067" t="s">
        <v>2610</v>
      </c>
      <c r="H2067" t="s">
        <v>2614</v>
      </c>
      <c r="I2067" t="s">
        <v>374</v>
      </c>
      <c r="J2067" t="s">
        <v>2619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2595</v>
      </c>
      <c r="B2068" t="s">
        <v>2616</v>
      </c>
      <c r="C2068" t="s">
        <v>368</v>
      </c>
      <c r="D2068" t="s">
        <v>2597</v>
      </c>
      <c r="E2068" t="s">
        <v>2620</v>
      </c>
      <c r="F2068" t="s">
        <v>2621</v>
      </c>
      <c r="G2068" t="s">
        <v>2622</v>
      </c>
      <c r="H2068" t="s">
        <v>2600</v>
      </c>
      <c r="I2068" t="s">
        <v>374</v>
      </c>
      <c r="J2068" t="s">
        <v>2623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2624</v>
      </c>
      <c r="B2069" t="s">
        <v>2625</v>
      </c>
      <c r="C2069" t="s">
        <v>368</v>
      </c>
      <c r="D2069" t="s">
        <v>2597</v>
      </c>
      <c r="E2069" t="s">
        <v>2626</v>
      </c>
      <c r="F2069" t="s">
        <v>2627</v>
      </c>
      <c r="G2069" t="s">
        <v>2628</v>
      </c>
      <c r="H2069" t="s">
        <v>409</v>
      </c>
      <c r="I2069" t="s">
        <v>374</v>
      </c>
      <c r="J2069" t="s">
        <v>429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2624</v>
      </c>
      <c r="B2070" t="s">
        <v>2625</v>
      </c>
      <c r="C2070" t="s">
        <v>368</v>
      </c>
      <c r="D2070" t="s">
        <v>2597</v>
      </c>
      <c r="E2070" t="s">
        <v>2629</v>
      </c>
      <c r="F2070" t="s">
        <v>2627</v>
      </c>
      <c r="G2070" t="s">
        <v>2628</v>
      </c>
      <c r="H2070" t="s">
        <v>409</v>
      </c>
      <c r="I2070" t="s">
        <v>374</v>
      </c>
      <c r="J2070" t="s">
        <v>429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2624</v>
      </c>
      <c r="B2071" t="s">
        <v>2625</v>
      </c>
      <c r="C2071" t="s">
        <v>368</v>
      </c>
      <c r="D2071" t="s">
        <v>2597</v>
      </c>
      <c r="E2071" t="s">
        <v>2630</v>
      </c>
      <c r="F2071" t="s">
        <v>2627</v>
      </c>
      <c r="G2071" t="s">
        <v>2628</v>
      </c>
      <c r="H2071" t="s">
        <v>409</v>
      </c>
      <c r="I2071" t="s">
        <v>374</v>
      </c>
      <c r="J2071" t="s">
        <v>429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2624</v>
      </c>
      <c r="B2072" t="s">
        <v>2625</v>
      </c>
      <c r="C2072" t="s">
        <v>368</v>
      </c>
      <c r="D2072" t="s">
        <v>2597</v>
      </c>
      <c r="E2072" t="s">
        <v>2631</v>
      </c>
      <c r="F2072" t="s">
        <v>2632</v>
      </c>
      <c r="G2072" t="s">
        <v>2628</v>
      </c>
      <c r="H2072" t="s">
        <v>2633</v>
      </c>
      <c r="I2072" t="s">
        <v>374</v>
      </c>
      <c r="J2072" t="s">
        <v>429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2624</v>
      </c>
      <c r="B2073" t="s">
        <v>2625</v>
      </c>
      <c r="C2073" t="s">
        <v>368</v>
      </c>
      <c r="D2073" t="s">
        <v>2597</v>
      </c>
      <c r="E2073" t="s">
        <v>2634</v>
      </c>
      <c r="F2073" t="s">
        <v>2632</v>
      </c>
      <c r="G2073" t="s">
        <v>2628</v>
      </c>
      <c r="H2073" t="s">
        <v>2633</v>
      </c>
      <c r="I2073" t="s">
        <v>374</v>
      </c>
      <c r="J2073" t="s">
        <v>429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2624</v>
      </c>
      <c r="B2074" t="s">
        <v>2625</v>
      </c>
      <c r="C2074" t="s">
        <v>368</v>
      </c>
      <c r="D2074" t="s">
        <v>2597</v>
      </c>
      <c r="E2074" t="s">
        <v>2635</v>
      </c>
      <c r="F2074" t="s">
        <v>2632</v>
      </c>
      <c r="G2074" t="s">
        <v>2628</v>
      </c>
      <c r="H2074" t="s">
        <v>2633</v>
      </c>
      <c r="I2074" t="s">
        <v>374</v>
      </c>
      <c r="J2074" t="s">
        <v>429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2595</v>
      </c>
      <c r="B2075" t="s">
        <v>2607</v>
      </c>
      <c r="C2075" t="s">
        <v>368</v>
      </c>
      <c r="D2075" t="s">
        <v>2597</v>
      </c>
      <c r="E2075" t="s">
        <v>2636</v>
      </c>
      <c r="F2075" t="s">
        <v>2637</v>
      </c>
      <c r="G2075" t="s">
        <v>2638</v>
      </c>
      <c r="H2075" t="s">
        <v>2611</v>
      </c>
      <c r="I2075" t="s">
        <v>374</v>
      </c>
      <c r="J2075" t="s">
        <v>849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2595</v>
      </c>
      <c r="B2076" t="s">
        <v>2596</v>
      </c>
      <c r="C2076" t="s">
        <v>368</v>
      </c>
      <c r="D2076" t="s">
        <v>2597</v>
      </c>
      <c r="E2076" t="s">
        <v>2639</v>
      </c>
      <c r="F2076" t="s">
        <v>2640</v>
      </c>
      <c r="G2076" t="s">
        <v>2638</v>
      </c>
      <c r="H2076" t="s">
        <v>2614</v>
      </c>
      <c r="I2076" t="s">
        <v>374</v>
      </c>
      <c r="J2076" t="s">
        <v>2615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2595</v>
      </c>
      <c r="B2077" t="s">
        <v>2605</v>
      </c>
      <c r="C2077" t="s">
        <v>368</v>
      </c>
      <c r="D2077" t="s">
        <v>2597</v>
      </c>
      <c r="E2077" t="s">
        <v>2641</v>
      </c>
      <c r="F2077" t="s">
        <v>2642</v>
      </c>
      <c r="G2077" t="s">
        <v>2638</v>
      </c>
      <c r="H2077" t="s">
        <v>2614</v>
      </c>
      <c r="I2077" t="s">
        <v>374</v>
      </c>
      <c r="J2077" t="s">
        <v>2643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2595</v>
      </c>
      <c r="B2078" t="s">
        <v>2616</v>
      </c>
      <c r="C2078" t="s">
        <v>368</v>
      </c>
      <c r="D2078" t="s">
        <v>2597</v>
      </c>
      <c r="E2078" t="s">
        <v>2644</v>
      </c>
      <c r="F2078" t="s">
        <v>2645</v>
      </c>
      <c r="G2078" t="s">
        <v>2638</v>
      </c>
      <c r="H2078" t="s">
        <v>2614</v>
      </c>
      <c r="I2078" t="s">
        <v>374</v>
      </c>
      <c r="J2078" t="s">
        <v>2619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2646</v>
      </c>
      <c r="B2079" t="s">
        <v>2647</v>
      </c>
      <c r="C2079" t="s">
        <v>368</v>
      </c>
      <c r="D2079" t="s">
        <v>2597</v>
      </c>
      <c r="E2079" t="s">
        <v>2648</v>
      </c>
      <c r="F2079" t="s">
        <v>2649</v>
      </c>
      <c r="G2079" t="s">
        <v>2650</v>
      </c>
      <c r="H2079" t="s">
        <v>2651</v>
      </c>
      <c r="I2079" t="s">
        <v>374</v>
      </c>
      <c r="J2079" t="s">
        <v>2652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2646</v>
      </c>
      <c r="B2080" t="s">
        <v>2647</v>
      </c>
      <c r="C2080" t="s">
        <v>368</v>
      </c>
      <c r="D2080" t="s">
        <v>2597</v>
      </c>
      <c r="E2080" t="s">
        <v>2653</v>
      </c>
      <c r="F2080" t="s">
        <v>2654</v>
      </c>
      <c r="G2080" t="s">
        <v>2650</v>
      </c>
      <c r="H2080" t="s">
        <v>2651</v>
      </c>
      <c r="I2080" t="s">
        <v>374</v>
      </c>
      <c r="J2080" t="s">
        <v>2655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2646</v>
      </c>
      <c r="B2081" t="s">
        <v>2647</v>
      </c>
      <c r="C2081" t="s">
        <v>368</v>
      </c>
      <c r="D2081" t="s">
        <v>2597</v>
      </c>
      <c r="E2081" t="s">
        <v>2656</v>
      </c>
      <c r="F2081" t="s">
        <v>2654</v>
      </c>
      <c r="G2081" t="s">
        <v>2650</v>
      </c>
      <c r="H2081" t="s">
        <v>2651</v>
      </c>
      <c r="I2081" t="s">
        <v>374</v>
      </c>
      <c r="J2081" t="s">
        <v>2655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2646</v>
      </c>
      <c r="B2082" t="s">
        <v>2647</v>
      </c>
      <c r="C2082" t="s">
        <v>368</v>
      </c>
      <c r="D2082" t="s">
        <v>2597</v>
      </c>
      <c r="E2082" t="s">
        <v>2657</v>
      </c>
      <c r="F2082" t="s">
        <v>2658</v>
      </c>
      <c r="G2082" t="s">
        <v>2659</v>
      </c>
      <c r="H2082" t="s">
        <v>2651</v>
      </c>
      <c r="I2082" t="s">
        <v>374</v>
      </c>
      <c r="J2082" t="s">
        <v>2655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2646</v>
      </c>
      <c r="B2083" t="s">
        <v>2647</v>
      </c>
      <c r="C2083" t="s">
        <v>368</v>
      </c>
      <c r="D2083" t="s">
        <v>2597</v>
      </c>
      <c r="E2083" t="s">
        <v>2660</v>
      </c>
      <c r="F2083" t="s">
        <v>2658</v>
      </c>
      <c r="G2083" t="s">
        <v>2659</v>
      </c>
      <c r="H2083" t="s">
        <v>2651</v>
      </c>
      <c r="I2083" t="s">
        <v>374</v>
      </c>
      <c r="J2083" t="s">
        <v>2655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2661</v>
      </c>
      <c r="B2084" t="s">
        <v>2662</v>
      </c>
      <c r="C2084" t="s">
        <v>368</v>
      </c>
      <c r="D2084" t="s">
        <v>2597</v>
      </c>
      <c r="E2084" t="s">
        <v>2663</v>
      </c>
      <c r="F2084" t="s">
        <v>2664</v>
      </c>
      <c r="G2084" t="s">
        <v>2665</v>
      </c>
      <c r="H2084" t="s">
        <v>2614</v>
      </c>
      <c r="I2084" t="s">
        <v>374</v>
      </c>
      <c r="J2084" t="s">
        <v>2619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2666</v>
      </c>
      <c r="B2085" t="s">
        <v>2662</v>
      </c>
      <c r="C2085" t="s">
        <v>368</v>
      </c>
      <c r="D2085" t="s">
        <v>2597</v>
      </c>
      <c r="E2085" t="s">
        <v>2667</v>
      </c>
      <c r="F2085" t="s">
        <v>2664</v>
      </c>
      <c r="G2085" t="s">
        <v>2665</v>
      </c>
      <c r="H2085" t="s">
        <v>2614</v>
      </c>
      <c r="I2085" t="s">
        <v>374</v>
      </c>
      <c r="J2085" t="s">
        <v>2619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2661</v>
      </c>
      <c r="B2086" t="s">
        <v>2668</v>
      </c>
      <c r="C2086" t="s">
        <v>368</v>
      </c>
      <c r="D2086" t="s">
        <v>2597</v>
      </c>
      <c r="E2086" t="s">
        <v>2669</v>
      </c>
      <c r="F2086" t="s">
        <v>2670</v>
      </c>
      <c r="G2086" t="s">
        <v>2665</v>
      </c>
      <c r="H2086" t="s">
        <v>2614</v>
      </c>
      <c r="I2086" t="s">
        <v>374</v>
      </c>
      <c r="J2086" t="s">
        <v>2615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2666</v>
      </c>
      <c r="B2087" t="s">
        <v>2668</v>
      </c>
      <c r="C2087" t="s">
        <v>368</v>
      </c>
      <c r="D2087" t="s">
        <v>2597</v>
      </c>
      <c r="E2087" t="s">
        <v>2671</v>
      </c>
      <c r="F2087" t="s">
        <v>2670</v>
      </c>
      <c r="G2087" t="s">
        <v>2665</v>
      </c>
      <c r="H2087" t="s">
        <v>2614</v>
      </c>
      <c r="I2087" t="s">
        <v>374</v>
      </c>
      <c r="J2087" t="s">
        <v>2615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2661</v>
      </c>
      <c r="B2088" t="s">
        <v>2607</v>
      </c>
      <c r="C2088" t="s">
        <v>368</v>
      </c>
      <c r="D2088" t="s">
        <v>2597</v>
      </c>
      <c r="E2088" t="s">
        <v>2672</v>
      </c>
      <c r="F2088" t="s">
        <v>2673</v>
      </c>
      <c r="G2088" t="s">
        <v>2665</v>
      </c>
      <c r="H2088" t="s">
        <v>2611</v>
      </c>
      <c r="I2088" t="s">
        <v>374</v>
      </c>
      <c r="J2088" t="s">
        <v>849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2666</v>
      </c>
      <c r="B2089" t="s">
        <v>2607</v>
      </c>
      <c r="C2089" t="s">
        <v>368</v>
      </c>
      <c r="D2089" t="s">
        <v>2597</v>
      </c>
      <c r="E2089" t="s">
        <v>2674</v>
      </c>
      <c r="F2089" t="s">
        <v>2673</v>
      </c>
      <c r="G2089" t="s">
        <v>2665</v>
      </c>
      <c r="H2089" t="s">
        <v>2611</v>
      </c>
      <c r="I2089" t="s">
        <v>374</v>
      </c>
      <c r="J2089" t="s">
        <v>849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2661</v>
      </c>
      <c r="B2090" t="s">
        <v>2625</v>
      </c>
      <c r="C2090" t="s">
        <v>368</v>
      </c>
      <c r="D2090" t="s">
        <v>2597</v>
      </c>
      <c r="E2090" t="s">
        <v>2675</v>
      </c>
      <c r="F2090" t="s">
        <v>2676</v>
      </c>
      <c r="G2090" t="s">
        <v>2665</v>
      </c>
      <c r="H2090" t="s">
        <v>2600</v>
      </c>
      <c r="I2090" t="s">
        <v>374</v>
      </c>
      <c r="J2090" t="s">
        <v>429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2666</v>
      </c>
      <c r="B2091" t="s">
        <v>2677</v>
      </c>
      <c r="C2091" t="s">
        <v>368</v>
      </c>
      <c r="D2091" t="s">
        <v>2597</v>
      </c>
      <c r="E2091" t="s">
        <v>2678</v>
      </c>
      <c r="F2091" t="s">
        <v>2679</v>
      </c>
      <c r="G2091" t="s">
        <v>2665</v>
      </c>
      <c r="H2091" t="s">
        <v>2600</v>
      </c>
      <c r="I2091" t="s">
        <v>374</v>
      </c>
      <c r="J2091" t="s">
        <v>2623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2661</v>
      </c>
      <c r="B2092" t="s">
        <v>2680</v>
      </c>
      <c r="C2092" t="s">
        <v>368</v>
      </c>
      <c r="D2092" t="s">
        <v>2597</v>
      </c>
      <c r="E2092" t="s">
        <v>2681</v>
      </c>
      <c r="F2092" t="s">
        <v>2682</v>
      </c>
      <c r="G2092" t="s">
        <v>2665</v>
      </c>
      <c r="H2092" t="s">
        <v>2600</v>
      </c>
      <c r="I2092" t="s">
        <v>374</v>
      </c>
      <c r="J2092" t="s">
        <v>757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2666</v>
      </c>
      <c r="B2093" t="s">
        <v>2680</v>
      </c>
      <c r="C2093" t="s">
        <v>368</v>
      </c>
      <c r="D2093" t="s">
        <v>2597</v>
      </c>
      <c r="E2093" t="s">
        <v>2683</v>
      </c>
      <c r="F2093" t="s">
        <v>2682</v>
      </c>
      <c r="G2093" t="s">
        <v>2665</v>
      </c>
      <c r="H2093" t="s">
        <v>2600</v>
      </c>
      <c r="I2093" t="s">
        <v>374</v>
      </c>
      <c r="J2093" t="s">
        <v>757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2666</v>
      </c>
      <c r="B2094" t="s">
        <v>2680</v>
      </c>
      <c r="C2094" t="s">
        <v>368</v>
      </c>
      <c r="D2094" t="s">
        <v>2597</v>
      </c>
      <c r="E2094" t="s">
        <v>2684</v>
      </c>
      <c r="F2094" t="s">
        <v>2682</v>
      </c>
      <c r="G2094" t="s">
        <v>2665</v>
      </c>
      <c r="H2094" t="s">
        <v>2600</v>
      </c>
      <c r="I2094" t="s">
        <v>374</v>
      </c>
      <c r="J2094" t="s">
        <v>757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2685</v>
      </c>
      <c r="B2095" t="s">
        <v>2686</v>
      </c>
      <c r="C2095" t="s">
        <v>368</v>
      </c>
      <c r="D2095" t="s">
        <v>2597</v>
      </c>
      <c r="E2095" t="s">
        <v>2687</v>
      </c>
      <c r="F2095" t="s">
        <v>2688</v>
      </c>
      <c r="G2095" t="s">
        <v>2689</v>
      </c>
      <c r="H2095" t="s">
        <v>2685</v>
      </c>
      <c r="I2095" t="s">
        <v>374</v>
      </c>
      <c r="J2095" t="s">
        <v>2690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2685</v>
      </c>
      <c r="B2096" t="s">
        <v>2686</v>
      </c>
      <c r="C2096" t="s">
        <v>368</v>
      </c>
      <c r="D2096" t="s">
        <v>2597</v>
      </c>
      <c r="E2096" t="s">
        <v>2691</v>
      </c>
      <c r="F2096" t="s">
        <v>2692</v>
      </c>
      <c r="G2096" t="s">
        <v>2689</v>
      </c>
      <c r="H2096" t="s">
        <v>2685</v>
      </c>
      <c r="I2096" t="s">
        <v>374</v>
      </c>
      <c r="J2096" t="s">
        <v>2053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2595</v>
      </c>
      <c r="B2097" t="s">
        <v>2605</v>
      </c>
      <c r="C2097" t="s">
        <v>368</v>
      </c>
      <c r="D2097" t="s">
        <v>2597</v>
      </c>
      <c r="E2097" t="s">
        <v>176</v>
      </c>
      <c r="F2097" t="s">
        <v>2693</v>
      </c>
      <c r="G2097" t="s">
        <v>2694</v>
      </c>
      <c r="H2097" t="s">
        <v>2600</v>
      </c>
      <c r="I2097" t="s">
        <v>374</v>
      </c>
      <c r="J2097" t="s">
        <v>429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2595</v>
      </c>
      <c r="B2098" t="s">
        <v>2605</v>
      </c>
      <c r="C2098" t="s">
        <v>368</v>
      </c>
      <c r="D2098" t="s">
        <v>2597</v>
      </c>
      <c r="E2098" t="s">
        <v>2695</v>
      </c>
      <c r="F2098" t="s">
        <v>2693</v>
      </c>
      <c r="G2098" t="s">
        <v>2694</v>
      </c>
      <c r="H2098" t="s">
        <v>2600</v>
      </c>
      <c r="I2098" t="s">
        <v>374</v>
      </c>
      <c r="J2098" t="s">
        <v>429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2595</v>
      </c>
      <c r="B2099" t="s">
        <v>2696</v>
      </c>
      <c r="C2099" t="s">
        <v>368</v>
      </c>
      <c r="D2099" t="s">
        <v>2597</v>
      </c>
      <c r="E2099" t="s">
        <v>334</v>
      </c>
      <c r="F2099" t="s">
        <v>2697</v>
      </c>
      <c r="G2099" t="s">
        <v>2698</v>
      </c>
      <c r="H2099" t="s">
        <v>2600</v>
      </c>
      <c r="I2099" t="s">
        <v>374</v>
      </c>
      <c r="J2099" t="s">
        <v>429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2595</v>
      </c>
      <c r="B2100" t="s">
        <v>2696</v>
      </c>
      <c r="C2100" t="s">
        <v>368</v>
      </c>
      <c r="D2100" t="s">
        <v>2597</v>
      </c>
      <c r="E2100" t="s">
        <v>335</v>
      </c>
      <c r="F2100" t="s">
        <v>2699</v>
      </c>
      <c r="G2100" t="s">
        <v>2700</v>
      </c>
      <c r="H2100" t="s">
        <v>2600</v>
      </c>
      <c r="I2100" t="s">
        <v>374</v>
      </c>
      <c r="J2100" t="s">
        <v>429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2595</v>
      </c>
      <c r="B2101" t="s">
        <v>2696</v>
      </c>
      <c r="C2101" t="s">
        <v>368</v>
      </c>
      <c r="D2101" t="s">
        <v>2597</v>
      </c>
      <c r="E2101" t="s">
        <v>336</v>
      </c>
      <c r="F2101" t="s">
        <v>2701</v>
      </c>
      <c r="G2101" t="s">
        <v>2702</v>
      </c>
      <c r="H2101" t="s">
        <v>2600</v>
      </c>
      <c r="I2101" t="s">
        <v>374</v>
      </c>
      <c r="J2101" t="s">
        <v>429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2595</v>
      </c>
      <c r="B2102" t="s">
        <v>2696</v>
      </c>
      <c r="C2102" t="s">
        <v>368</v>
      </c>
      <c r="D2102" t="s">
        <v>2597</v>
      </c>
      <c r="E2102" t="s">
        <v>337</v>
      </c>
      <c r="F2102" t="s">
        <v>2703</v>
      </c>
      <c r="G2102" t="s">
        <v>2704</v>
      </c>
      <c r="H2102" t="s">
        <v>2600</v>
      </c>
      <c r="I2102" t="s">
        <v>374</v>
      </c>
      <c r="J2102" t="s">
        <v>429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2595</v>
      </c>
      <c r="B2103" t="s">
        <v>2607</v>
      </c>
      <c r="C2103" t="s">
        <v>368</v>
      </c>
      <c r="D2103" t="s">
        <v>2597</v>
      </c>
      <c r="E2103" t="s">
        <v>2705</v>
      </c>
      <c r="F2103" t="s">
        <v>2706</v>
      </c>
      <c r="G2103" t="s">
        <v>2707</v>
      </c>
      <c r="H2103" t="s">
        <v>2611</v>
      </c>
      <c r="I2103" t="s">
        <v>374</v>
      </c>
      <c r="J2103" t="s">
        <v>849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2646</v>
      </c>
      <c r="B2104" t="s">
        <v>2647</v>
      </c>
      <c r="C2104" t="s">
        <v>368</v>
      </c>
      <c r="D2104" t="s">
        <v>2597</v>
      </c>
      <c r="E2104" t="s">
        <v>2708</v>
      </c>
      <c r="F2104" t="s">
        <v>2709</v>
      </c>
      <c r="G2104" t="s">
        <v>2707</v>
      </c>
      <c r="H2104" t="s">
        <v>2710</v>
      </c>
      <c r="I2104" t="s">
        <v>374</v>
      </c>
      <c r="J2104" t="s">
        <v>1265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2646</v>
      </c>
      <c r="B2105" t="s">
        <v>2647</v>
      </c>
      <c r="C2105" t="s">
        <v>368</v>
      </c>
      <c r="D2105" t="s">
        <v>2597</v>
      </c>
      <c r="E2105" t="s">
        <v>2711</v>
      </c>
      <c r="F2105" t="s">
        <v>2709</v>
      </c>
      <c r="G2105" t="s">
        <v>2707</v>
      </c>
      <c r="H2105" t="s">
        <v>2710</v>
      </c>
      <c r="I2105" t="s">
        <v>374</v>
      </c>
      <c r="J2105" t="s">
        <v>1265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2595</v>
      </c>
      <c r="B2106" t="s">
        <v>2596</v>
      </c>
      <c r="C2106" t="s">
        <v>368</v>
      </c>
      <c r="D2106" t="s">
        <v>2597</v>
      </c>
      <c r="E2106" t="s">
        <v>2712</v>
      </c>
      <c r="F2106" t="s">
        <v>2713</v>
      </c>
      <c r="G2106" t="s">
        <v>2707</v>
      </c>
      <c r="H2106" t="s">
        <v>2614</v>
      </c>
      <c r="I2106" t="s">
        <v>374</v>
      </c>
      <c r="J2106" t="s">
        <v>2615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2595</v>
      </c>
      <c r="B2107" t="s">
        <v>2605</v>
      </c>
      <c r="C2107" t="s">
        <v>368</v>
      </c>
      <c r="D2107" t="s">
        <v>2597</v>
      </c>
      <c r="E2107" t="s">
        <v>2714</v>
      </c>
      <c r="F2107" t="s">
        <v>2715</v>
      </c>
      <c r="G2107" t="s">
        <v>2707</v>
      </c>
      <c r="H2107" t="s">
        <v>2614</v>
      </c>
      <c r="I2107" t="s">
        <v>374</v>
      </c>
      <c r="J2107" t="s">
        <v>2643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2595</v>
      </c>
      <c r="B2108" t="s">
        <v>2616</v>
      </c>
      <c r="C2108" t="s">
        <v>368</v>
      </c>
      <c r="D2108" t="s">
        <v>2597</v>
      </c>
      <c r="E2108" t="s">
        <v>2716</v>
      </c>
      <c r="F2108" t="s">
        <v>2717</v>
      </c>
      <c r="G2108" t="s">
        <v>2707</v>
      </c>
      <c r="H2108" t="s">
        <v>2614</v>
      </c>
      <c r="I2108" t="s">
        <v>374</v>
      </c>
      <c r="J2108" t="s">
        <v>2619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2661</v>
      </c>
      <c r="B2109" t="s">
        <v>2662</v>
      </c>
      <c r="C2109" t="s">
        <v>368</v>
      </c>
      <c r="D2109" t="s">
        <v>2597</v>
      </c>
      <c r="E2109" t="s">
        <v>2718</v>
      </c>
      <c r="F2109" t="s">
        <v>2719</v>
      </c>
      <c r="G2109" t="s">
        <v>2720</v>
      </c>
      <c r="H2109" t="s">
        <v>2614</v>
      </c>
      <c r="I2109" t="s">
        <v>374</v>
      </c>
      <c r="J2109" t="s">
        <v>2619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2666</v>
      </c>
      <c r="B2110" t="s">
        <v>2662</v>
      </c>
      <c r="C2110" t="s">
        <v>368</v>
      </c>
      <c r="D2110" t="s">
        <v>2597</v>
      </c>
      <c r="E2110" t="s">
        <v>2721</v>
      </c>
      <c r="F2110" t="s">
        <v>2719</v>
      </c>
      <c r="G2110" t="s">
        <v>2720</v>
      </c>
      <c r="H2110" t="s">
        <v>2614</v>
      </c>
      <c r="I2110" t="s">
        <v>374</v>
      </c>
      <c r="J2110" t="s">
        <v>2619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2661</v>
      </c>
      <c r="B2111" t="s">
        <v>2668</v>
      </c>
      <c r="C2111" t="s">
        <v>368</v>
      </c>
      <c r="D2111" t="s">
        <v>2597</v>
      </c>
      <c r="E2111" t="s">
        <v>2722</v>
      </c>
      <c r="F2111" t="s">
        <v>2723</v>
      </c>
      <c r="G2111" t="s">
        <v>2720</v>
      </c>
      <c r="H2111" t="s">
        <v>2614</v>
      </c>
      <c r="I2111" t="s">
        <v>374</v>
      </c>
      <c r="J2111" t="s">
        <v>2615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2666</v>
      </c>
      <c r="B2112" t="s">
        <v>2668</v>
      </c>
      <c r="C2112" t="s">
        <v>368</v>
      </c>
      <c r="D2112" t="s">
        <v>2597</v>
      </c>
      <c r="E2112" t="s">
        <v>2724</v>
      </c>
      <c r="F2112" t="s">
        <v>2723</v>
      </c>
      <c r="G2112" t="s">
        <v>2720</v>
      </c>
      <c r="H2112" t="s">
        <v>2614</v>
      </c>
      <c r="I2112" t="s">
        <v>374</v>
      </c>
      <c r="J2112" t="s">
        <v>2615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2661</v>
      </c>
      <c r="B2113" t="s">
        <v>2607</v>
      </c>
      <c r="C2113" t="s">
        <v>368</v>
      </c>
      <c r="D2113" t="s">
        <v>2597</v>
      </c>
      <c r="E2113" t="s">
        <v>2725</v>
      </c>
      <c r="F2113" t="s">
        <v>2726</v>
      </c>
      <c r="G2113" t="s">
        <v>2720</v>
      </c>
      <c r="H2113" t="s">
        <v>2611</v>
      </c>
      <c r="I2113" t="s">
        <v>374</v>
      </c>
      <c r="J2113" t="s">
        <v>849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2666</v>
      </c>
      <c r="B2114" t="s">
        <v>2607</v>
      </c>
      <c r="C2114" t="s">
        <v>368</v>
      </c>
      <c r="D2114" t="s">
        <v>2597</v>
      </c>
      <c r="E2114" t="s">
        <v>2727</v>
      </c>
      <c r="F2114" t="s">
        <v>2726</v>
      </c>
      <c r="G2114" t="s">
        <v>2720</v>
      </c>
      <c r="H2114" t="s">
        <v>2611</v>
      </c>
      <c r="I2114" t="s">
        <v>374</v>
      </c>
      <c r="J2114" t="s">
        <v>849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2661</v>
      </c>
      <c r="B2115" t="s">
        <v>2625</v>
      </c>
      <c r="C2115" t="s">
        <v>368</v>
      </c>
      <c r="D2115" t="s">
        <v>2597</v>
      </c>
      <c r="E2115" t="s">
        <v>2728</v>
      </c>
      <c r="F2115" t="s">
        <v>2729</v>
      </c>
      <c r="G2115" t="s">
        <v>2720</v>
      </c>
      <c r="H2115" t="s">
        <v>2600</v>
      </c>
      <c r="I2115" t="s">
        <v>374</v>
      </c>
      <c r="J2115" t="s">
        <v>429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2666</v>
      </c>
      <c r="B2116" t="s">
        <v>2677</v>
      </c>
      <c r="C2116" t="s">
        <v>368</v>
      </c>
      <c r="D2116" t="s">
        <v>2597</v>
      </c>
      <c r="E2116" t="s">
        <v>2730</v>
      </c>
      <c r="F2116" t="s">
        <v>2731</v>
      </c>
      <c r="G2116" t="s">
        <v>2720</v>
      </c>
      <c r="H2116" t="s">
        <v>2600</v>
      </c>
      <c r="I2116" t="s">
        <v>374</v>
      </c>
      <c r="J2116" t="s">
        <v>2623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2661</v>
      </c>
      <c r="B2117" t="s">
        <v>2680</v>
      </c>
      <c r="C2117" t="s">
        <v>368</v>
      </c>
      <c r="D2117" t="s">
        <v>2597</v>
      </c>
      <c r="E2117" t="s">
        <v>2732</v>
      </c>
      <c r="F2117" t="s">
        <v>2733</v>
      </c>
      <c r="G2117" t="s">
        <v>2720</v>
      </c>
      <c r="H2117" t="s">
        <v>2600</v>
      </c>
      <c r="I2117" t="s">
        <v>374</v>
      </c>
      <c r="J2117" t="s">
        <v>757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2666</v>
      </c>
      <c r="B2118" t="s">
        <v>2680</v>
      </c>
      <c r="C2118" t="s">
        <v>368</v>
      </c>
      <c r="D2118" t="s">
        <v>2597</v>
      </c>
      <c r="E2118" t="s">
        <v>2734</v>
      </c>
      <c r="F2118" t="s">
        <v>2733</v>
      </c>
      <c r="G2118" t="s">
        <v>2720</v>
      </c>
      <c r="H2118" t="s">
        <v>2600</v>
      </c>
      <c r="I2118" t="s">
        <v>374</v>
      </c>
      <c r="J2118" t="s">
        <v>757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2595</v>
      </c>
      <c r="B2119" t="s">
        <v>2601</v>
      </c>
      <c r="C2119" t="s">
        <v>368</v>
      </c>
      <c r="D2119" t="s">
        <v>2597</v>
      </c>
      <c r="E2119" t="s">
        <v>2735</v>
      </c>
      <c r="F2119" t="s">
        <v>2736</v>
      </c>
      <c r="G2119" t="s">
        <v>2737</v>
      </c>
      <c r="H2119" t="s">
        <v>2600</v>
      </c>
      <c r="I2119" t="s">
        <v>374</v>
      </c>
      <c r="J2119" t="s">
        <v>429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2595</v>
      </c>
      <c r="B2120" t="s">
        <v>2596</v>
      </c>
      <c r="C2120" t="s">
        <v>368</v>
      </c>
      <c r="D2120" t="s">
        <v>2597</v>
      </c>
      <c r="E2120" t="s">
        <v>2738</v>
      </c>
      <c r="F2120" t="s">
        <v>2739</v>
      </c>
      <c r="G2120" t="s">
        <v>2740</v>
      </c>
      <c r="H2120" t="s">
        <v>2600</v>
      </c>
      <c r="I2120" t="s">
        <v>374</v>
      </c>
      <c r="J2120" t="s">
        <v>757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2624</v>
      </c>
      <c r="B2121" t="s">
        <v>2625</v>
      </c>
      <c r="C2121" t="s">
        <v>368</v>
      </c>
      <c r="D2121" t="s">
        <v>2597</v>
      </c>
      <c r="E2121" t="s">
        <v>2741</v>
      </c>
      <c r="F2121" t="s">
        <v>2742</v>
      </c>
      <c r="G2121" t="s">
        <v>2743</v>
      </c>
      <c r="H2121" t="s">
        <v>409</v>
      </c>
      <c r="I2121" t="s">
        <v>374</v>
      </c>
      <c r="J2121" t="s">
        <v>429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2624</v>
      </c>
      <c r="B2122" t="s">
        <v>2625</v>
      </c>
      <c r="C2122" t="s">
        <v>368</v>
      </c>
      <c r="D2122" t="s">
        <v>2597</v>
      </c>
      <c r="E2122" t="s">
        <v>2744</v>
      </c>
      <c r="F2122" t="s">
        <v>2742</v>
      </c>
      <c r="G2122" t="s">
        <v>2743</v>
      </c>
      <c r="H2122" t="s">
        <v>409</v>
      </c>
      <c r="I2122" t="s">
        <v>374</v>
      </c>
      <c r="J2122" t="s">
        <v>429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2624</v>
      </c>
      <c r="B2123" t="s">
        <v>2625</v>
      </c>
      <c r="C2123" t="s">
        <v>368</v>
      </c>
      <c r="D2123" t="s">
        <v>2597</v>
      </c>
      <c r="E2123" t="s">
        <v>2745</v>
      </c>
      <c r="F2123" t="s">
        <v>2742</v>
      </c>
      <c r="G2123" t="s">
        <v>2743</v>
      </c>
      <c r="H2123" t="s">
        <v>409</v>
      </c>
      <c r="I2123" t="s">
        <v>374</v>
      </c>
      <c r="J2123" t="s">
        <v>429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2624</v>
      </c>
      <c r="B2124" t="s">
        <v>2625</v>
      </c>
      <c r="C2124" t="s">
        <v>368</v>
      </c>
      <c r="D2124" t="s">
        <v>2597</v>
      </c>
      <c r="E2124" t="s">
        <v>2746</v>
      </c>
      <c r="F2124" t="s">
        <v>2747</v>
      </c>
      <c r="G2124" t="s">
        <v>2743</v>
      </c>
      <c r="H2124" t="s">
        <v>2633</v>
      </c>
      <c r="I2124" t="s">
        <v>374</v>
      </c>
      <c r="J2124" t="s">
        <v>429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2624</v>
      </c>
      <c r="B2125" t="s">
        <v>2625</v>
      </c>
      <c r="C2125" t="s">
        <v>368</v>
      </c>
      <c r="D2125" t="s">
        <v>2597</v>
      </c>
      <c r="E2125" t="s">
        <v>2748</v>
      </c>
      <c r="F2125" t="s">
        <v>2747</v>
      </c>
      <c r="G2125" t="s">
        <v>2743</v>
      </c>
      <c r="H2125" t="s">
        <v>2633</v>
      </c>
      <c r="I2125" t="s">
        <v>374</v>
      </c>
      <c r="J2125" t="s">
        <v>429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2624</v>
      </c>
      <c r="B2126" t="s">
        <v>2625</v>
      </c>
      <c r="C2126" t="s">
        <v>368</v>
      </c>
      <c r="D2126" t="s">
        <v>2597</v>
      </c>
      <c r="E2126" t="s">
        <v>2749</v>
      </c>
      <c r="F2126" t="s">
        <v>2747</v>
      </c>
      <c r="G2126" t="s">
        <v>2743</v>
      </c>
      <c r="H2126" t="s">
        <v>2633</v>
      </c>
      <c r="I2126" t="s">
        <v>374</v>
      </c>
      <c r="J2126" t="s">
        <v>429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2646</v>
      </c>
      <c r="B2127" t="s">
        <v>2647</v>
      </c>
      <c r="C2127" t="s">
        <v>368</v>
      </c>
      <c r="D2127" t="s">
        <v>2597</v>
      </c>
      <c r="E2127" t="s">
        <v>2750</v>
      </c>
      <c r="F2127" t="s">
        <v>2751</v>
      </c>
      <c r="G2127" t="s">
        <v>1436</v>
      </c>
      <c r="H2127" t="s">
        <v>2752</v>
      </c>
      <c r="I2127" t="s">
        <v>374</v>
      </c>
      <c r="J2127" t="s">
        <v>2652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2646</v>
      </c>
      <c r="B2128" t="s">
        <v>2647</v>
      </c>
      <c r="C2128" t="s">
        <v>368</v>
      </c>
      <c r="D2128" t="s">
        <v>2597</v>
      </c>
      <c r="E2128" t="s">
        <v>2753</v>
      </c>
      <c r="F2128" t="s">
        <v>2751</v>
      </c>
      <c r="G2128" t="s">
        <v>1436</v>
      </c>
      <c r="H2128" t="s">
        <v>2752</v>
      </c>
      <c r="I2128" t="s">
        <v>374</v>
      </c>
      <c r="J2128" t="s">
        <v>2652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2646</v>
      </c>
      <c r="B2129" t="s">
        <v>2647</v>
      </c>
      <c r="C2129" t="s">
        <v>368</v>
      </c>
      <c r="D2129" t="s">
        <v>2597</v>
      </c>
      <c r="E2129" t="s">
        <v>2754</v>
      </c>
      <c r="F2129" t="s">
        <v>2755</v>
      </c>
      <c r="G2129" t="s">
        <v>1436</v>
      </c>
      <c r="H2129" t="s">
        <v>2756</v>
      </c>
      <c r="I2129" t="s">
        <v>374</v>
      </c>
      <c r="J2129" t="s">
        <v>2757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2646</v>
      </c>
      <c r="B2130" t="s">
        <v>2647</v>
      </c>
      <c r="C2130" t="s">
        <v>368</v>
      </c>
      <c r="D2130" t="s">
        <v>2597</v>
      </c>
      <c r="E2130" t="s">
        <v>2758</v>
      </c>
      <c r="F2130" t="s">
        <v>2759</v>
      </c>
      <c r="G2130" t="s">
        <v>1436</v>
      </c>
      <c r="H2130" t="s">
        <v>2760</v>
      </c>
      <c r="I2130" t="s">
        <v>374</v>
      </c>
      <c r="J2130" t="s">
        <v>2757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2646</v>
      </c>
      <c r="B2131" t="s">
        <v>2647</v>
      </c>
      <c r="C2131" t="s">
        <v>368</v>
      </c>
      <c r="D2131" t="s">
        <v>2597</v>
      </c>
      <c r="E2131" t="s">
        <v>2761</v>
      </c>
      <c r="F2131" t="s">
        <v>2762</v>
      </c>
      <c r="G2131" t="s">
        <v>1436</v>
      </c>
      <c r="H2131" t="s">
        <v>2763</v>
      </c>
      <c r="I2131" t="s">
        <v>374</v>
      </c>
      <c r="J2131" t="s">
        <v>2764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2646</v>
      </c>
      <c r="B2132" t="s">
        <v>2647</v>
      </c>
      <c r="C2132" t="s">
        <v>368</v>
      </c>
      <c r="D2132" t="s">
        <v>2597</v>
      </c>
      <c r="E2132" t="s">
        <v>2765</v>
      </c>
      <c r="F2132" t="s">
        <v>2766</v>
      </c>
      <c r="G2132" t="s">
        <v>1436</v>
      </c>
      <c r="H2132" t="s">
        <v>2767</v>
      </c>
      <c r="I2132" t="s">
        <v>374</v>
      </c>
      <c r="J2132" t="s">
        <v>2768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2646</v>
      </c>
      <c r="B2133" t="s">
        <v>2647</v>
      </c>
      <c r="C2133" t="s">
        <v>368</v>
      </c>
      <c r="D2133" t="s">
        <v>2597</v>
      </c>
      <c r="E2133" t="s">
        <v>2769</v>
      </c>
      <c r="F2133" t="s">
        <v>2770</v>
      </c>
      <c r="G2133" t="s">
        <v>1436</v>
      </c>
      <c r="H2133" t="s">
        <v>2771</v>
      </c>
      <c r="I2133" t="s">
        <v>374</v>
      </c>
      <c r="J2133" t="s">
        <v>2772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2661</v>
      </c>
      <c r="B2134" t="s">
        <v>2662</v>
      </c>
      <c r="C2134" t="s">
        <v>368</v>
      </c>
      <c r="D2134" t="s">
        <v>2597</v>
      </c>
      <c r="E2134" t="s">
        <v>2773</v>
      </c>
      <c r="F2134" t="s">
        <v>2774</v>
      </c>
      <c r="G2134" t="s">
        <v>1436</v>
      </c>
      <c r="H2134" t="s">
        <v>2614</v>
      </c>
      <c r="I2134" t="s">
        <v>374</v>
      </c>
      <c r="J2134" t="s">
        <v>2619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2666</v>
      </c>
      <c r="B2135" t="s">
        <v>2662</v>
      </c>
      <c r="C2135" t="s">
        <v>368</v>
      </c>
      <c r="D2135" t="s">
        <v>2597</v>
      </c>
      <c r="E2135" t="s">
        <v>2775</v>
      </c>
      <c r="F2135" t="s">
        <v>2774</v>
      </c>
      <c r="G2135" t="s">
        <v>1436</v>
      </c>
      <c r="H2135" t="s">
        <v>2614</v>
      </c>
      <c r="I2135" t="s">
        <v>374</v>
      </c>
      <c r="J2135" t="s">
        <v>2619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2661</v>
      </c>
      <c r="B2136" t="s">
        <v>2668</v>
      </c>
      <c r="C2136" t="s">
        <v>368</v>
      </c>
      <c r="D2136" t="s">
        <v>2597</v>
      </c>
      <c r="E2136" t="s">
        <v>2776</v>
      </c>
      <c r="F2136" t="s">
        <v>2777</v>
      </c>
      <c r="G2136" t="s">
        <v>1436</v>
      </c>
      <c r="H2136" t="s">
        <v>2614</v>
      </c>
      <c r="I2136" t="s">
        <v>374</v>
      </c>
      <c r="J2136" t="s">
        <v>2615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2666</v>
      </c>
      <c r="B2137" t="s">
        <v>2668</v>
      </c>
      <c r="C2137" t="s">
        <v>368</v>
      </c>
      <c r="D2137" t="s">
        <v>2597</v>
      </c>
      <c r="E2137" t="s">
        <v>2778</v>
      </c>
      <c r="F2137" t="s">
        <v>2777</v>
      </c>
      <c r="G2137" t="s">
        <v>1436</v>
      </c>
      <c r="H2137" t="s">
        <v>2614</v>
      </c>
      <c r="I2137" t="s">
        <v>374</v>
      </c>
      <c r="J2137" t="s">
        <v>2615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2661</v>
      </c>
      <c r="B2138" t="s">
        <v>2668</v>
      </c>
      <c r="C2138" t="s">
        <v>368</v>
      </c>
      <c r="D2138" t="s">
        <v>2597</v>
      </c>
      <c r="E2138" t="s">
        <v>2779</v>
      </c>
      <c r="F2138" t="s">
        <v>2777</v>
      </c>
      <c r="G2138" t="s">
        <v>1436</v>
      </c>
      <c r="H2138" t="s">
        <v>2614</v>
      </c>
      <c r="I2138" t="s">
        <v>374</v>
      </c>
      <c r="J2138" t="s">
        <v>2615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2661</v>
      </c>
      <c r="B2139" t="s">
        <v>2780</v>
      </c>
      <c r="C2139" t="s">
        <v>368</v>
      </c>
      <c r="D2139" t="s">
        <v>2597</v>
      </c>
      <c r="E2139" t="s">
        <v>2781</v>
      </c>
      <c r="F2139" t="s">
        <v>2782</v>
      </c>
      <c r="G2139" t="s">
        <v>1436</v>
      </c>
      <c r="H2139" t="s">
        <v>2614</v>
      </c>
      <c r="I2139" t="s">
        <v>374</v>
      </c>
      <c r="J2139" t="s">
        <v>1811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2661</v>
      </c>
      <c r="B2140" t="s">
        <v>2780</v>
      </c>
      <c r="C2140" t="s">
        <v>368</v>
      </c>
      <c r="D2140" t="s">
        <v>2597</v>
      </c>
      <c r="E2140" t="s">
        <v>2783</v>
      </c>
      <c r="F2140" t="s">
        <v>2782</v>
      </c>
      <c r="G2140" t="s">
        <v>2784</v>
      </c>
      <c r="H2140" t="s">
        <v>2614</v>
      </c>
      <c r="I2140" t="s">
        <v>374</v>
      </c>
      <c r="J2140" t="s">
        <v>1811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2661</v>
      </c>
      <c r="B2141" t="s">
        <v>2780</v>
      </c>
      <c r="C2141" t="s">
        <v>368</v>
      </c>
      <c r="D2141" t="s">
        <v>2597</v>
      </c>
      <c r="E2141" t="s">
        <v>2785</v>
      </c>
      <c r="F2141" t="s">
        <v>2782</v>
      </c>
      <c r="G2141" t="s">
        <v>2784</v>
      </c>
      <c r="H2141" t="s">
        <v>2614</v>
      </c>
      <c r="I2141" t="s">
        <v>374</v>
      </c>
      <c r="J2141" t="s">
        <v>1811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2661</v>
      </c>
      <c r="B2142" t="s">
        <v>2607</v>
      </c>
      <c r="C2142" t="s">
        <v>368</v>
      </c>
      <c r="D2142" t="s">
        <v>2597</v>
      </c>
      <c r="E2142" t="s">
        <v>2786</v>
      </c>
      <c r="F2142" t="s">
        <v>2787</v>
      </c>
      <c r="G2142" t="s">
        <v>1436</v>
      </c>
      <c r="H2142" t="s">
        <v>2611</v>
      </c>
      <c r="I2142" t="s">
        <v>374</v>
      </c>
      <c r="J2142" t="s">
        <v>849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2666</v>
      </c>
      <c r="B2143" t="s">
        <v>2607</v>
      </c>
      <c r="C2143" t="s">
        <v>368</v>
      </c>
      <c r="D2143" t="s">
        <v>2597</v>
      </c>
      <c r="E2143" t="s">
        <v>2788</v>
      </c>
      <c r="F2143" t="s">
        <v>2787</v>
      </c>
      <c r="G2143" t="s">
        <v>1436</v>
      </c>
      <c r="H2143" t="s">
        <v>2611</v>
      </c>
      <c r="I2143" t="s">
        <v>374</v>
      </c>
      <c r="J2143" t="s">
        <v>849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2661</v>
      </c>
      <c r="B2144" t="s">
        <v>2625</v>
      </c>
      <c r="C2144" t="s">
        <v>368</v>
      </c>
      <c r="D2144" t="s">
        <v>2597</v>
      </c>
      <c r="E2144" t="s">
        <v>332</v>
      </c>
      <c r="F2144" t="s">
        <v>2789</v>
      </c>
      <c r="G2144" t="s">
        <v>1436</v>
      </c>
      <c r="H2144" t="s">
        <v>2600</v>
      </c>
      <c r="I2144" t="s">
        <v>374</v>
      </c>
      <c r="J2144" t="s">
        <v>429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2666</v>
      </c>
      <c r="B2145" t="s">
        <v>2677</v>
      </c>
      <c r="C2145" t="s">
        <v>368</v>
      </c>
      <c r="D2145" t="s">
        <v>2597</v>
      </c>
      <c r="E2145" t="s">
        <v>2790</v>
      </c>
      <c r="F2145" t="s">
        <v>2791</v>
      </c>
      <c r="G2145" t="s">
        <v>1436</v>
      </c>
      <c r="H2145" t="s">
        <v>2600</v>
      </c>
      <c r="I2145" t="s">
        <v>374</v>
      </c>
      <c r="J2145" t="s">
        <v>2623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2661</v>
      </c>
      <c r="B2146" t="s">
        <v>2680</v>
      </c>
      <c r="C2146" t="s">
        <v>368</v>
      </c>
      <c r="D2146" t="s">
        <v>2597</v>
      </c>
      <c r="E2146" t="s">
        <v>178</v>
      </c>
      <c r="F2146" t="s">
        <v>2792</v>
      </c>
      <c r="G2146" t="s">
        <v>1436</v>
      </c>
      <c r="H2146" t="s">
        <v>2600</v>
      </c>
      <c r="I2146" t="s">
        <v>374</v>
      </c>
      <c r="J2146" t="s">
        <v>757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2666</v>
      </c>
      <c r="B2147" t="s">
        <v>2680</v>
      </c>
      <c r="C2147" t="s">
        <v>368</v>
      </c>
      <c r="D2147" t="s">
        <v>2597</v>
      </c>
      <c r="E2147" t="s">
        <v>2793</v>
      </c>
      <c r="F2147" t="s">
        <v>2792</v>
      </c>
      <c r="G2147" t="s">
        <v>1436</v>
      </c>
      <c r="H2147" t="s">
        <v>2600</v>
      </c>
      <c r="I2147" t="s">
        <v>374</v>
      </c>
      <c r="J2147" t="s">
        <v>757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2624</v>
      </c>
      <c r="B2148" t="s">
        <v>2625</v>
      </c>
      <c r="C2148" t="s">
        <v>368</v>
      </c>
      <c r="D2148" t="s">
        <v>2597</v>
      </c>
      <c r="E2148" t="s">
        <v>2794</v>
      </c>
      <c r="F2148" t="s">
        <v>2795</v>
      </c>
      <c r="G2148" t="s">
        <v>2796</v>
      </c>
      <c r="H2148" t="s">
        <v>409</v>
      </c>
      <c r="I2148" t="s">
        <v>374</v>
      </c>
      <c r="J2148" t="s">
        <v>429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2624</v>
      </c>
      <c r="B2149" t="s">
        <v>2625</v>
      </c>
      <c r="C2149" t="s">
        <v>368</v>
      </c>
      <c r="D2149" t="s">
        <v>2597</v>
      </c>
      <c r="E2149" t="s">
        <v>2797</v>
      </c>
      <c r="F2149" t="s">
        <v>2795</v>
      </c>
      <c r="G2149" t="s">
        <v>2796</v>
      </c>
      <c r="H2149" t="s">
        <v>409</v>
      </c>
      <c r="I2149" t="s">
        <v>374</v>
      </c>
      <c r="J2149" t="s">
        <v>429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2624</v>
      </c>
      <c r="B2150" t="s">
        <v>2625</v>
      </c>
      <c r="C2150" t="s">
        <v>368</v>
      </c>
      <c r="D2150" t="s">
        <v>2597</v>
      </c>
      <c r="E2150" t="s">
        <v>2798</v>
      </c>
      <c r="F2150" t="s">
        <v>2795</v>
      </c>
      <c r="G2150" t="s">
        <v>2796</v>
      </c>
      <c r="H2150" t="s">
        <v>409</v>
      </c>
      <c r="I2150" t="s">
        <v>374</v>
      </c>
      <c r="J2150" t="s">
        <v>429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2624</v>
      </c>
      <c r="B2151" t="s">
        <v>2680</v>
      </c>
      <c r="C2151" t="s">
        <v>368</v>
      </c>
      <c r="D2151" t="s">
        <v>2597</v>
      </c>
      <c r="E2151" t="s">
        <v>2799</v>
      </c>
      <c r="F2151" t="s">
        <v>2800</v>
      </c>
      <c r="G2151" t="s">
        <v>2796</v>
      </c>
      <c r="H2151" t="s">
        <v>2801</v>
      </c>
      <c r="I2151" t="s">
        <v>374</v>
      </c>
      <c r="J2151" t="s">
        <v>757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2624</v>
      </c>
      <c r="B2152" t="s">
        <v>2625</v>
      </c>
      <c r="C2152" t="s">
        <v>368</v>
      </c>
      <c r="D2152" t="s">
        <v>2597</v>
      </c>
      <c r="E2152" t="s">
        <v>2802</v>
      </c>
      <c r="F2152" t="s">
        <v>2803</v>
      </c>
      <c r="G2152" t="s">
        <v>2796</v>
      </c>
      <c r="H2152" t="s">
        <v>2633</v>
      </c>
      <c r="I2152" t="s">
        <v>374</v>
      </c>
      <c r="J2152" t="s">
        <v>429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2595</v>
      </c>
      <c r="B2153" t="s">
        <v>2607</v>
      </c>
      <c r="C2153" t="s">
        <v>368</v>
      </c>
      <c r="D2153" t="s">
        <v>2597</v>
      </c>
      <c r="E2153" t="s">
        <v>2804</v>
      </c>
      <c r="F2153" t="s">
        <v>2805</v>
      </c>
      <c r="G2153" t="s">
        <v>2806</v>
      </c>
      <c r="H2153" t="s">
        <v>2611</v>
      </c>
      <c r="I2153" t="s">
        <v>374</v>
      </c>
      <c r="J2153" t="s">
        <v>849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2595</v>
      </c>
      <c r="B2154" t="s">
        <v>2607</v>
      </c>
      <c r="C2154" t="s">
        <v>368</v>
      </c>
      <c r="D2154" t="s">
        <v>2597</v>
      </c>
      <c r="E2154" t="s">
        <v>2807</v>
      </c>
      <c r="F2154" t="s">
        <v>2805</v>
      </c>
      <c r="G2154" t="s">
        <v>2806</v>
      </c>
      <c r="H2154" t="s">
        <v>2611</v>
      </c>
      <c r="I2154" t="s">
        <v>374</v>
      </c>
      <c r="J2154" t="s">
        <v>849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2595</v>
      </c>
      <c r="B2155" t="s">
        <v>2596</v>
      </c>
      <c r="C2155" t="s">
        <v>368</v>
      </c>
      <c r="D2155" t="s">
        <v>2597</v>
      </c>
      <c r="E2155" t="s">
        <v>2808</v>
      </c>
      <c r="F2155" t="s">
        <v>2809</v>
      </c>
      <c r="G2155" t="s">
        <v>2806</v>
      </c>
      <c r="H2155" t="s">
        <v>2614</v>
      </c>
      <c r="I2155" t="s">
        <v>374</v>
      </c>
      <c r="J2155" t="s">
        <v>2615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2595</v>
      </c>
      <c r="B2156" t="s">
        <v>2605</v>
      </c>
      <c r="C2156" t="s">
        <v>368</v>
      </c>
      <c r="D2156" t="s">
        <v>2597</v>
      </c>
      <c r="E2156" t="s">
        <v>2810</v>
      </c>
      <c r="F2156" t="s">
        <v>2811</v>
      </c>
      <c r="G2156" t="s">
        <v>2806</v>
      </c>
      <c r="H2156" t="s">
        <v>2614</v>
      </c>
      <c r="I2156" t="s">
        <v>374</v>
      </c>
      <c r="J2156" t="s">
        <v>2643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2595</v>
      </c>
      <c r="B2157" t="s">
        <v>2616</v>
      </c>
      <c r="C2157" t="s">
        <v>368</v>
      </c>
      <c r="D2157" t="s">
        <v>2597</v>
      </c>
      <c r="E2157" t="s">
        <v>2812</v>
      </c>
      <c r="F2157" t="s">
        <v>2813</v>
      </c>
      <c r="G2157" t="s">
        <v>2806</v>
      </c>
      <c r="H2157" t="s">
        <v>2614</v>
      </c>
      <c r="I2157" t="s">
        <v>374</v>
      </c>
      <c r="J2157" t="s">
        <v>2619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2595</v>
      </c>
      <c r="B2158" t="s">
        <v>2596</v>
      </c>
      <c r="C2158" t="s">
        <v>368</v>
      </c>
      <c r="D2158" t="s">
        <v>2597</v>
      </c>
      <c r="E2158" t="s">
        <v>2814</v>
      </c>
      <c r="F2158" t="s">
        <v>2815</v>
      </c>
      <c r="G2158" t="s">
        <v>2816</v>
      </c>
      <c r="H2158" t="s">
        <v>2600</v>
      </c>
      <c r="I2158" t="s">
        <v>374</v>
      </c>
      <c r="J2158" t="s">
        <v>757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2595</v>
      </c>
      <c r="B2159" t="s">
        <v>2616</v>
      </c>
      <c r="C2159" t="s">
        <v>368</v>
      </c>
      <c r="D2159" t="s">
        <v>2597</v>
      </c>
      <c r="E2159" t="s">
        <v>2817</v>
      </c>
      <c r="F2159" t="s">
        <v>2818</v>
      </c>
      <c r="G2159" t="s">
        <v>2819</v>
      </c>
      <c r="H2159" t="s">
        <v>2600</v>
      </c>
      <c r="I2159" t="s">
        <v>374</v>
      </c>
      <c r="J2159" t="s">
        <v>2623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2646</v>
      </c>
      <c r="B2160" t="s">
        <v>2647</v>
      </c>
      <c r="C2160" t="s">
        <v>368</v>
      </c>
      <c r="D2160" t="s">
        <v>2597</v>
      </c>
      <c r="E2160" t="s">
        <v>2820</v>
      </c>
      <c r="F2160" t="s">
        <v>2821</v>
      </c>
      <c r="G2160" t="s">
        <v>2822</v>
      </c>
      <c r="H2160" t="s">
        <v>2823</v>
      </c>
      <c r="I2160" t="s">
        <v>374</v>
      </c>
      <c r="J2160" t="s">
        <v>2652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2646</v>
      </c>
      <c r="B2161" t="s">
        <v>2647</v>
      </c>
      <c r="C2161" t="s">
        <v>368</v>
      </c>
      <c r="D2161" t="s">
        <v>2597</v>
      </c>
      <c r="E2161" t="s">
        <v>2824</v>
      </c>
      <c r="F2161" t="s">
        <v>2825</v>
      </c>
      <c r="G2161" t="s">
        <v>2822</v>
      </c>
      <c r="H2161" t="s">
        <v>2756</v>
      </c>
      <c r="I2161" t="s">
        <v>374</v>
      </c>
      <c r="J2161" t="s">
        <v>2757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2646</v>
      </c>
      <c r="B2162" t="s">
        <v>2647</v>
      </c>
      <c r="C2162" t="s">
        <v>368</v>
      </c>
      <c r="D2162" t="s">
        <v>2597</v>
      </c>
      <c r="E2162" t="s">
        <v>2826</v>
      </c>
      <c r="F2162" t="s">
        <v>2827</v>
      </c>
      <c r="G2162" t="s">
        <v>2822</v>
      </c>
      <c r="H2162" t="s">
        <v>2710</v>
      </c>
      <c r="I2162" t="s">
        <v>374</v>
      </c>
      <c r="J2162" t="s">
        <v>1265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2646</v>
      </c>
      <c r="B2163" t="s">
        <v>2647</v>
      </c>
      <c r="C2163" t="s">
        <v>368</v>
      </c>
      <c r="D2163" t="s">
        <v>2597</v>
      </c>
      <c r="E2163" t="s">
        <v>2828</v>
      </c>
      <c r="F2163" t="s">
        <v>2829</v>
      </c>
      <c r="G2163" t="s">
        <v>2822</v>
      </c>
      <c r="H2163" t="s">
        <v>2763</v>
      </c>
      <c r="I2163" t="s">
        <v>374</v>
      </c>
      <c r="J2163" t="s">
        <v>2764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2646</v>
      </c>
      <c r="B2164" t="s">
        <v>2647</v>
      </c>
      <c r="C2164" t="s">
        <v>368</v>
      </c>
      <c r="D2164" t="s">
        <v>2597</v>
      </c>
      <c r="E2164" t="s">
        <v>2830</v>
      </c>
      <c r="F2164" t="s">
        <v>2831</v>
      </c>
      <c r="G2164" t="s">
        <v>2822</v>
      </c>
      <c r="H2164" t="s">
        <v>2767</v>
      </c>
      <c r="I2164" t="s">
        <v>374</v>
      </c>
      <c r="J2164" t="s">
        <v>2768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2646</v>
      </c>
      <c r="B2165" t="s">
        <v>2647</v>
      </c>
      <c r="C2165" t="s">
        <v>368</v>
      </c>
      <c r="D2165" t="s">
        <v>2597</v>
      </c>
      <c r="E2165" t="s">
        <v>2832</v>
      </c>
      <c r="F2165" t="s">
        <v>2833</v>
      </c>
      <c r="G2165" t="s">
        <v>2822</v>
      </c>
      <c r="H2165" t="s">
        <v>2771</v>
      </c>
      <c r="I2165" t="s">
        <v>374</v>
      </c>
      <c r="J2165" t="s">
        <v>2772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2595</v>
      </c>
      <c r="B2166" t="s">
        <v>2596</v>
      </c>
      <c r="C2166" t="s">
        <v>368</v>
      </c>
      <c r="D2166" t="s">
        <v>2597</v>
      </c>
      <c r="E2166" t="s">
        <v>2834</v>
      </c>
      <c r="F2166" t="s">
        <v>2835</v>
      </c>
      <c r="G2166" t="s">
        <v>2836</v>
      </c>
      <c r="H2166" t="s">
        <v>2600</v>
      </c>
      <c r="I2166" t="s">
        <v>374</v>
      </c>
      <c r="J2166" t="s">
        <v>757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2595</v>
      </c>
      <c r="B2167" t="s">
        <v>2616</v>
      </c>
      <c r="C2167" t="s">
        <v>368</v>
      </c>
      <c r="D2167" t="s">
        <v>2597</v>
      </c>
      <c r="E2167" t="s">
        <v>333</v>
      </c>
      <c r="F2167" t="s">
        <v>2837</v>
      </c>
      <c r="G2167" t="s">
        <v>2838</v>
      </c>
      <c r="H2167" t="s">
        <v>2600</v>
      </c>
      <c r="I2167" t="s">
        <v>374</v>
      </c>
      <c r="J2167" t="s">
        <v>2623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2595</v>
      </c>
      <c r="B2168" t="s">
        <v>2605</v>
      </c>
      <c r="C2168" t="s">
        <v>368</v>
      </c>
      <c r="D2168" t="s">
        <v>2597</v>
      </c>
      <c r="E2168" t="s">
        <v>177</v>
      </c>
      <c r="F2168" t="s">
        <v>2839</v>
      </c>
      <c r="G2168" t="s">
        <v>2840</v>
      </c>
      <c r="H2168" t="s">
        <v>2600</v>
      </c>
      <c r="I2168" t="s">
        <v>374</v>
      </c>
      <c r="J2168" t="s">
        <v>429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2595</v>
      </c>
      <c r="B2169" t="s">
        <v>2601</v>
      </c>
      <c r="C2169" t="s">
        <v>368</v>
      </c>
      <c r="D2169" t="s">
        <v>2597</v>
      </c>
      <c r="E2169" t="s">
        <v>2841</v>
      </c>
      <c r="F2169" t="s">
        <v>2842</v>
      </c>
      <c r="G2169" t="s">
        <v>2843</v>
      </c>
      <c r="H2169" t="s">
        <v>2600</v>
      </c>
      <c r="I2169" t="s">
        <v>374</v>
      </c>
      <c r="J2169" t="s">
        <v>429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2595</v>
      </c>
      <c r="B2170" t="s">
        <v>2605</v>
      </c>
      <c r="C2170" t="s">
        <v>2844</v>
      </c>
      <c r="D2170" t="s">
        <v>2597</v>
      </c>
      <c r="E2170" t="s">
        <v>2845</v>
      </c>
      <c r="F2170" t="s">
        <v>2846</v>
      </c>
      <c r="G2170" t="s">
        <v>2847</v>
      </c>
      <c r="H2170" t="s">
        <v>2848</v>
      </c>
      <c r="I2170" t="s">
        <v>374</v>
      </c>
      <c r="J2170" t="s">
        <v>2848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2595</v>
      </c>
      <c r="B2171" t="s">
        <v>2605</v>
      </c>
      <c r="C2171" t="s">
        <v>2844</v>
      </c>
      <c r="D2171" t="s">
        <v>2597</v>
      </c>
      <c r="E2171" t="s">
        <v>2849</v>
      </c>
      <c r="F2171" t="s">
        <v>2846</v>
      </c>
      <c r="G2171" t="s">
        <v>2847</v>
      </c>
      <c r="H2171" t="s">
        <v>2848</v>
      </c>
      <c r="I2171" t="s">
        <v>374</v>
      </c>
      <c r="J2171" t="s">
        <v>2848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2595</v>
      </c>
      <c r="B2172" t="s">
        <v>2605</v>
      </c>
      <c r="C2172" t="s">
        <v>2844</v>
      </c>
      <c r="D2172" t="s">
        <v>2597</v>
      </c>
      <c r="E2172" t="s">
        <v>2850</v>
      </c>
      <c r="F2172" t="s">
        <v>2846</v>
      </c>
      <c r="G2172" t="s">
        <v>2847</v>
      </c>
      <c r="H2172" t="s">
        <v>2848</v>
      </c>
      <c r="I2172" t="s">
        <v>374</v>
      </c>
      <c r="J2172" t="s">
        <v>2848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2595</v>
      </c>
      <c r="B2173" t="s">
        <v>2605</v>
      </c>
      <c r="C2173" t="s">
        <v>2844</v>
      </c>
      <c r="D2173" t="s">
        <v>2597</v>
      </c>
      <c r="E2173" t="s">
        <v>2851</v>
      </c>
      <c r="F2173" t="s">
        <v>2846</v>
      </c>
      <c r="G2173" t="s">
        <v>2847</v>
      </c>
      <c r="H2173" t="s">
        <v>2848</v>
      </c>
      <c r="I2173" t="s">
        <v>374</v>
      </c>
      <c r="J2173" t="s">
        <v>2848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2595</v>
      </c>
      <c r="B2174" t="s">
        <v>2605</v>
      </c>
      <c r="C2174" t="s">
        <v>2844</v>
      </c>
      <c r="D2174" t="s">
        <v>2597</v>
      </c>
      <c r="E2174" t="s">
        <v>2852</v>
      </c>
      <c r="F2174" t="s">
        <v>2846</v>
      </c>
      <c r="G2174" t="s">
        <v>2847</v>
      </c>
      <c r="H2174" t="s">
        <v>2848</v>
      </c>
      <c r="I2174" t="s">
        <v>374</v>
      </c>
      <c r="J2174" t="s">
        <v>2848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2595</v>
      </c>
      <c r="B2175" t="s">
        <v>2601</v>
      </c>
      <c r="C2175" t="s">
        <v>2853</v>
      </c>
      <c r="D2175" t="s">
        <v>2597</v>
      </c>
      <c r="E2175" t="s">
        <v>2854</v>
      </c>
      <c r="F2175" t="s">
        <v>2855</v>
      </c>
      <c r="G2175" t="s">
        <v>2856</v>
      </c>
      <c r="H2175" t="s">
        <v>2848</v>
      </c>
      <c r="I2175" t="s">
        <v>374</v>
      </c>
      <c r="J2175" t="s">
        <v>2848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2595</v>
      </c>
      <c r="B2176" t="s">
        <v>2605</v>
      </c>
      <c r="C2176" t="s">
        <v>2853</v>
      </c>
      <c r="D2176" t="s">
        <v>2597</v>
      </c>
      <c r="E2176" t="s">
        <v>2857</v>
      </c>
      <c r="F2176" t="s">
        <v>2855</v>
      </c>
      <c r="G2176" t="s">
        <v>2856</v>
      </c>
      <c r="H2176" t="s">
        <v>2848</v>
      </c>
      <c r="I2176" t="s">
        <v>374</v>
      </c>
      <c r="J2176" t="s">
        <v>2848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2595</v>
      </c>
      <c r="B2177" t="s">
        <v>2605</v>
      </c>
      <c r="C2177" t="s">
        <v>2853</v>
      </c>
      <c r="D2177" t="s">
        <v>2597</v>
      </c>
      <c r="E2177" t="s">
        <v>2858</v>
      </c>
      <c r="F2177" t="s">
        <v>2855</v>
      </c>
      <c r="G2177" t="s">
        <v>2856</v>
      </c>
      <c r="H2177" t="s">
        <v>2848</v>
      </c>
      <c r="I2177" t="s">
        <v>374</v>
      </c>
      <c r="J2177" t="s">
        <v>2848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2595</v>
      </c>
      <c r="B2178" t="s">
        <v>2605</v>
      </c>
      <c r="C2178" t="s">
        <v>2853</v>
      </c>
      <c r="D2178" t="s">
        <v>2597</v>
      </c>
      <c r="E2178" t="s">
        <v>2859</v>
      </c>
      <c r="F2178" t="s">
        <v>2855</v>
      </c>
      <c r="G2178" t="s">
        <v>2856</v>
      </c>
      <c r="H2178" t="s">
        <v>2848</v>
      </c>
      <c r="I2178" t="s">
        <v>374</v>
      </c>
      <c r="J2178" t="s">
        <v>2848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2595</v>
      </c>
      <c r="B2179" t="s">
        <v>2605</v>
      </c>
      <c r="C2179" t="s">
        <v>2853</v>
      </c>
      <c r="D2179" t="s">
        <v>2597</v>
      </c>
      <c r="E2179" t="s">
        <v>2860</v>
      </c>
      <c r="F2179" t="s">
        <v>2855</v>
      </c>
      <c r="G2179" t="s">
        <v>2856</v>
      </c>
      <c r="H2179" t="s">
        <v>2848</v>
      </c>
      <c r="I2179" t="s">
        <v>374</v>
      </c>
      <c r="J2179" t="s">
        <v>2848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2661</v>
      </c>
      <c r="B2180" t="s">
        <v>2662</v>
      </c>
      <c r="C2180" t="s">
        <v>368</v>
      </c>
      <c r="D2180" t="s">
        <v>2597</v>
      </c>
      <c r="E2180" t="s">
        <v>2861</v>
      </c>
      <c r="F2180" t="s">
        <v>2862</v>
      </c>
      <c r="G2180" t="s">
        <v>2863</v>
      </c>
      <c r="H2180" t="s">
        <v>2614</v>
      </c>
      <c r="I2180" t="s">
        <v>374</v>
      </c>
      <c r="J2180" t="s">
        <v>2619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2666</v>
      </c>
      <c r="B2181" t="s">
        <v>2662</v>
      </c>
      <c r="C2181" t="s">
        <v>368</v>
      </c>
      <c r="D2181" t="s">
        <v>2597</v>
      </c>
      <c r="E2181" t="s">
        <v>2864</v>
      </c>
      <c r="F2181" t="s">
        <v>2862</v>
      </c>
      <c r="G2181" t="s">
        <v>2863</v>
      </c>
      <c r="H2181" t="s">
        <v>2614</v>
      </c>
      <c r="I2181" t="s">
        <v>374</v>
      </c>
      <c r="J2181" t="s">
        <v>2619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2661</v>
      </c>
      <c r="B2182" t="s">
        <v>2668</v>
      </c>
      <c r="C2182" t="s">
        <v>368</v>
      </c>
      <c r="D2182" t="s">
        <v>2597</v>
      </c>
      <c r="E2182" t="s">
        <v>2865</v>
      </c>
      <c r="F2182" t="s">
        <v>2866</v>
      </c>
      <c r="G2182" t="s">
        <v>2863</v>
      </c>
      <c r="H2182" t="s">
        <v>2614</v>
      </c>
      <c r="I2182" t="s">
        <v>374</v>
      </c>
      <c r="J2182" t="s">
        <v>2615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2666</v>
      </c>
      <c r="B2183" t="s">
        <v>2668</v>
      </c>
      <c r="C2183" t="s">
        <v>368</v>
      </c>
      <c r="D2183" t="s">
        <v>2597</v>
      </c>
      <c r="E2183" t="s">
        <v>2867</v>
      </c>
      <c r="F2183" t="s">
        <v>2866</v>
      </c>
      <c r="G2183" t="s">
        <v>2863</v>
      </c>
      <c r="H2183" t="s">
        <v>2614</v>
      </c>
      <c r="I2183" t="s">
        <v>374</v>
      </c>
      <c r="J2183" t="s">
        <v>2615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2661</v>
      </c>
      <c r="B2184" t="s">
        <v>2607</v>
      </c>
      <c r="C2184" t="s">
        <v>368</v>
      </c>
      <c r="D2184" t="s">
        <v>2597</v>
      </c>
      <c r="E2184" t="s">
        <v>113</v>
      </c>
      <c r="F2184" t="s">
        <v>2868</v>
      </c>
      <c r="G2184" t="s">
        <v>2863</v>
      </c>
      <c r="H2184" t="s">
        <v>2611</v>
      </c>
      <c r="I2184" t="s">
        <v>374</v>
      </c>
      <c r="J2184" t="s">
        <v>849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2666</v>
      </c>
      <c r="B2185" t="s">
        <v>2607</v>
      </c>
      <c r="C2185" t="s">
        <v>368</v>
      </c>
      <c r="D2185" t="s">
        <v>2597</v>
      </c>
      <c r="E2185" t="s">
        <v>2869</v>
      </c>
      <c r="F2185" t="s">
        <v>2868</v>
      </c>
      <c r="G2185" t="s">
        <v>2863</v>
      </c>
      <c r="H2185" t="s">
        <v>2611</v>
      </c>
      <c r="I2185" t="s">
        <v>374</v>
      </c>
      <c r="J2185" t="s">
        <v>849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2661</v>
      </c>
      <c r="B2186" t="s">
        <v>2625</v>
      </c>
      <c r="C2186" t="s">
        <v>368</v>
      </c>
      <c r="D2186" t="s">
        <v>2597</v>
      </c>
      <c r="E2186" t="s">
        <v>338</v>
      </c>
      <c r="F2186" t="s">
        <v>2870</v>
      </c>
      <c r="G2186" t="s">
        <v>2863</v>
      </c>
      <c r="H2186" t="s">
        <v>2600</v>
      </c>
      <c r="I2186" t="s">
        <v>374</v>
      </c>
      <c r="J2186" t="s">
        <v>429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2661</v>
      </c>
      <c r="B2187" t="s">
        <v>2677</v>
      </c>
      <c r="C2187" t="s">
        <v>368</v>
      </c>
      <c r="D2187" t="s">
        <v>2597</v>
      </c>
      <c r="E2187" t="s">
        <v>2871</v>
      </c>
      <c r="F2187" t="s">
        <v>2872</v>
      </c>
      <c r="G2187" t="s">
        <v>2863</v>
      </c>
      <c r="H2187" t="s">
        <v>2600</v>
      </c>
      <c r="I2187" t="s">
        <v>374</v>
      </c>
      <c r="J2187" t="s">
        <v>2623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2666</v>
      </c>
      <c r="B2188" t="s">
        <v>2677</v>
      </c>
      <c r="C2188" t="s">
        <v>368</v>
      </c>
      <c r="D2188" t="s">
        <v>2597</v>
      </c>
      <c r="E2188" t="s">
        <v>2873</v>
      </c>
      <c r="F2188" t="s">
        <v>2872</v>
      </c>
      <c r="G2188" t="s">
        <v>2863</v>
      </c>
      <c r="H2188" t="s">
        <v>2600</v>
      </c>
      <c r="I2188" t="s">
        <v>374</v>
      </c>
      <c r="J2188" t="s">
        <v>2623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2661</v>
      </c>
      <c r="B2189" t="s">
        <v>2680</v>
      </c>
      <c r="C2189" t="s">
        <v>368</v>
      </c>
      <c r="D2189" t="s">
        <v>2597</v>
      </c>
      <c r="E2189" t="s">
        <v>2874</v>
      </c>
      <c r="F2189" t="s">
        <v>2875</v>
      </c>
      <c r="G2189" t="s">
        <v>2863</v>
      </c>
      <c r="H2189" t="s">
        <v>2600</v>
      </c>
      <c r="I2189" t="s">
        <v>374</v>
      </c>
      <c r="J2189" t="s">
        <v>757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2666</v>
      </c>
      <c r="B2190" t="s">
        <v>2680</v>
      </c>
      <c r="C2190" t="s">
        <v>368</v>
      </c>
      <c r="D2190" t="s">
        <v>2597</v>
      </c>
      <c r="E2190" t="s">
        <v>2876</v>
      </c>
      <c r="F2190" t="s">
        <v>2875</v>
      </c>
      <c r="G2190" t="s">
        <v>2863</v>
      </c>
      <c r="H2190" t="s">
        <v>2600</v>
      </c>
      <c r="I2190" t="s">
        <v>374</v>
      </c>
      <c r="J2190" t="s">
        <v>757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2661</v>
      </c>
      <c r="B2191" t="s">
        <v>2662</v>
      </c>
      <c r="C2191" t="s">
        <v>368</v>
      </c>
      <c r="D2191" t="s">
        <v>2597</v>
      </c>
      <c r="E2191" t="s">
        <v>2877</v>
      </c>
      <c r="F2191" t="s">
        <v>2878</v>
      </c>
      <c r="G2191" t="s">
        <v>2567</v>
      </c>
      <c r="H2191" t="s">
        <v>2614</v>
      </c>
      <c r="I2191" t="s">
        <v>374</v>
      </c>
      <c r="J2191" t="s">
        <v>2619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2666</v>
      </c>
      <c r="B2192" t="s">
        <v>2662</v>
      </c>
      <c r="C2192" t="s">
        <v>368</v>
      </c>
      <c r="D2192" t="s">
        <v>2597</v>
      </c>
      <c r="E2192" t="s">
        <v>2879</v>
      </c>
      <c r="F2192" t="s">
        <v>2878</v>
      </c>
      <c r="G2192" t="s">
        <v>2567</v>
      </c>
      <c r="H2192" t="s">
        <v>2614</v>
      </c>
      <c r="I2192" t="s">
        <v>374</v>
      </c>
      <c r="J2192" t="s">
        <v>2619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2661</v>
      </c>
      <c r="B2193" t="s">
        <v>2668</v>
      </c>
      <c r="C2193" t="s">
        <v>368</v>
      </c>
      <c r="D2193" t="s">
        <v>2597</v>
      </c>
      <c r="E2193" t="s">
        <v>2880</v>
      </c>
      <c r="F2193" t="s">
        <v>2881</v>
      </c>
      <c r="G2193" t="s">
        <v>2567</v>
      </c>
      <c r="H2193" t="s">
        <v>2614</v>
      </c>
      <c r="I2193" t="s">
        <v>374</v>
      </c>
      <c r="J2193" t="s">
        <v>2615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2666</v>
      </c>
      <c r="B2194" t="s">
        <v>2668</v>
      </c>
      <c r="C2194" t="s">
        <v>368</v>
      </c>
      <c r="D2194" t="s">
        <v>2597</v>
      </c>
      <c r="E2194" t="s">
        <v>2882</v>
      </c>
      <c r="F2194" t="s">
        <v>2881</v>
      </c>
      <c r="G2194" t="s">
        <v>2567</v>
      </c>
      <c r="H2194" t="s">
        <v>2614</v>
      </c>
      <c r="I2194" t="s">
        <v>374</v>
      </c>
      <c r="J2194" t="s">
        <v>2615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2661</v>
      </c>
      <c r="B2195" t="s">
        <v>2607</v>
      </c>
      <c r="C2195" t="s">
        <v>368</v>
      </c>
      <c r="D2195" t="s">
        <v>2597</v>
      </c>
      <c r="E2195" t="s">
        <v>2883</v>
      </c>
      <c r="F2195" t="s">
        <v>2884</v>
      </c>
      <c r="G2195" t="s">
        <v>2567</v>
      </c>
      <c r="H2195" t="s">
        <v>2611</v>
      </c>
      <c r="I2195" t="s">
        <v>374</v>
      </c>
      <c r="J2195" t="s">
        <v>849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2666</v>
      </c>
      <c r="B2196" t="s">
        <v>2607</v>
      </c>
      <c r="C2196" t="s">
        <v>368</v>
      </c>
      <c r="D2196" t="s">
        <v>2597</v>
      </c>
      <c r="E2196" t="s">
        <v>2885</v>
      </c>
      <c r="F2196" t="s">
        <v>2884</v>
      </c>
      <c r="G2196" t="s">
        <v>2567</v>
      </c>
      <c r="H2196" t="s">
        <v>2611</v>
      </c>
      <c r="I2196" t="s">
        <v>374</v>
      </c>
      <c r="J2196" t="s">
        <v>849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2661</v>
      </c>
      <c r="B2197" t="s">
        <v>2625</v>
      </c>
      <c r="C2197" t="s">
        <v>368</v>
      </c>
      <c r="D2197" t="s">
        <v>2597</v>
      </c>
      <c r="E2197" t="s">
        <v>2886</v>
      </c>
      <c r="F2197" t="s">
        <v>2887</v>
      </c>
      <c r="G2197" t="s">
        <v>2567</v>
      </c>
      <c r="H2197" t="s">
        <v>2600</v>
      </c>
      <c r="I2197" t="s">
        <v>374</v>
      </c>
      <c r="J2197" t="s">
        <v>429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2661</v>
      </c>
      <c r="B2198" t="s">
        <v>2677</v>
      </c>
      <c r="C2198" t="s">
        <v>368</v>
      </c>
      <c r="D2198" t="s">
        <v>2597</v>
      </c>
      <c r="E2198" t="s">
        <v>2888</v>
      </c>
      <c r="F2198" t="s">
        <v>2889</v>
      </c>
      <c r="G2198" t="s">
        <v>2567</v>
      </c>
      <c r="H2198" t="s">
        <v>2600</v>
      </c>
      <c r="I2198" t="s">
        <v>374</v>
      </c>
      <c r="J2198" t="s">
        <v>2623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2666</v>
      </c>
      <c r="B2199" t="s">
        <v>2677</v>
      </c>
      <c r="C2199" t="s">
        <v>368</v>
      </c>
      <c r="D2199" t="s">
        <v>2597</v>
      </c>
      <c r="E2199" t="s">
        <v>2890</v>
      </c>
      <c r="F2199" t="s">
        <v>2889</v>
      </c>
      <c r="G2199" t="s">
        <v>2567</v>
      </c>
      <c r="H2199" t="s">
        <v>2600</v>
      </c>
      <c r="I2199" t="s">
        <v>374</v>
      </c>
      <c r="J2199" t="s">
        <v>2623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2661</v>
      </c>
      <c r="B2200" t="s">
        <v>2680</v>
      </c>
      <c r="C2200" t="s">
        <v>368</v>
      </c>
      <c r="D2200" t="s">
        <v>2597</v>
      </c>
      <c r="E2200" t="s">
        <v>2891</v>
      </c>
      <c r="F2200" t="s">
        <v>2892</v>
      </c>
      <c r="G2200" t="s">
        <v>2567</v>
      </c>
      <c r="H2200" t="s">
        <v>2600</v>
      </c>
      <c r="I2200" t="s">
        <v>374</v>
      </c>
      <c r="J2200" t="s">
        <v>757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2666</v>
      </c>
      <c r="B2201" t="s">
        <v>2680</v>
      </c>
      <c r="C2201" t="s">
        <v>368</v>
      </c>
      <c r="D2201" t="s">
        <v>2597</v>
      </c>
      <c r="E2201" t="s">
        <v>2893</v>
      </c>
      <c r="F2201" t="s">
        <v>2892</v>
      </c>
      <c r="G2201" t="s">
        <v>2567</v>
      </c>
      <c r="H2201" t="s">
        <v>2600</v>
      </c>
      <c r="I2201" t="s">
        <v>374</v>
      </c>
      <c r="J2201" t="s">
        <v>757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2595</v>
      </c>
      <c r="B2202" t="s">
        <v>2616</v>
      </c>
      <c r="C2202" t="s">
        <v>368</v>
      </c>
      <c r="D2202" t="s">
        <v>2597</v>
      </c>
      <c r="E2202" t="s">
        <v>2894</v>
      </c>
      <c r="F2202" t="s">
        <v>2895</v>
      </c>
      <c r="G2202" t="s">
        <v>2896</v>
      </c>
      <c r="H2202" t="s">
        <v>2600</v>
      </c>
      <c r="I2202" t="s">
        <v>374</v>
      </c>
      <c r="J2202" t="s">
        <v>2623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2646</v>
      </c>
      <c r="B2203" t="s">
        <v>2897</v>
      </c>
      <c r="C2203" t="s">
        <v>368</v>
      </c>
      <c r="D2203" t="s">
        <v>2597</v>
      </c>
      <c r="E2203" t="s">
        <v>2898</v>
      </c>
      <c r="F2203" t="s">
        <v>2899</v>
      </c>
      <c r="G2203" t="s">
        <v>2900</v>
      </c>
      <c r="H2203" t="s">
        <v>2801</v>
      </c>
      <c r="I2203" t="s">
        <v>374</v>
      </c>
      <c r="J2203" t="s">
        <v>757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2595</v>
      </c>
      <c r="B2204" t="s">
        <v>2601</v>
      </c>
      <c r="C2204" t="s">
        <v>368</v>
      </c>
      <c r="D2204" t="s">
        <v>2597</v>
      </c>
      <c r="E2204" t="s">
        <v>2901</v>
      </c>
      <c r="F2204" t="s">
        <v>2902</v>
      </c>
      <c r="G2204" t="s">
        <v>2903</v>
      </c>
      <c r="H2204" t="s">
        <v>2600</v>
      </c>
      <c r="I2204" t="s">
        <v>374</v>
      </c>
      <c r="J2204" t="s">
        <v>429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2661</v>
      </c>
      <c r="B2205" t="s">
        <v>2904</v>
      </c>
      <c r="C2205" t="s">
        <v>368</v>
      </c>
      <c r="D2205" t="s">
        <v>2597</v>
      </c>
      <c r="E2205" t="s">
        <v>2905</v>
      </c>
      <c r="F2205" t="s">
        <v>2906</v>
      </c>
      <c r="G2205" t="s">
        <v>2907</v>
      </c>
      <c r="H2205" t="s">
        <v>2600</v>
      </c>
      <c r="I2205" t="s">
        <v>374</v>
      </c>
      <c r="J2205" t="s">
        <v>2908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2909</v>
      </c>
      <c r="B2206" t="s">
        <v>2910</v>
      </c>
      <c r="C2206" t="s">
        <v>2909</v>
      </c>
      <c r="D2206" t="s">
        <v>2911</v>
      </c>
      <c r="E2206" t="s">
        <v>2912</v>
      </c>
      <c r="F2206" t="s">
        <v>2910</v>
      </c>
      <c r="G2206" t="s">
        <v>2910</v>
      </c>
      <c r="H2206" t="s">
        <v>374</v>
      </c>
      <c r="I2206" t="s">
        <v>374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2909</v>
      </c>
      <c r="B2207" t="s">
        <v>2910</v>
      </c>
      <c r="C2207" t="s">
        <v>2909</v>
      </c>
      <c r="D2207" t="s">
        <v>2911</v>
      </c>
      <c r="E2207" t="s">
        <v>2913</v>
      </c>
      <c r="F2207" t="s">
        <v>2910</v>
      </c>
      <c r="G2207" t="s">
        <v>2910</v>
      </c>
      <c r="H2207" t="s">
        <v>374</v>
      </c>
      <c r="I2207" t="s">
        <v>374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2909</v>
      </c>
      <c r="B2208" t="s">
        <v>2910</v>
      </c>
      <c r="C2208" t="s">
        <v>2909</v>
      </c>
      <c r="D2208" t="s">
        <v>2911</v>
      </c>
      <c r="E2208" t="s">
        <v>2914</v>
      </c>
      <c r="F2208" t="s">
        <v>2910</v>
      </c>
      <c r="G2208" t="s">
        <v>2910</v>
      </c>
      <c r="H2208" t="s">
        <v>374</v>
      </c>
      <c r="I2208" t="s">
        <v>374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2909</v>
      </c>
      <c r="B2209" t="s">
        <v>2910</v>
      </c>
      <c r="C2209" t="s">
        <v>2909</v>
      </c>
      <c r="D2209" t="s">
        <v>2911</v>
      </c>
      <c r="E2209" t="s">
        <v>2915</v>
      </c>
      <c r="F2209" t="s">
        <v>2910</v>
      </c>
      <c r="G2209" t="s">
        <v>2910</v>
      </c>
      <c r="H2209" t="s">
        <v>374</v>
      </c>
      <c r="I2209" t="s">
        <v>374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2909</v>
      </c>
      <c r="B2210" t="s">
        <v>2910</v>
      </c>
      <c r="C2210" t="s">
        <v>2909</v>
      </c>
      <c r="D2210" t="s">
        <v>2911</v>
      </c>
      <c r="E2210" t="s">
        <v>2916</v>
      </c>
      <c r="F2210" t="s">
        <v>2910</v>
      </c>
      <c r="G2210" t="s">
        <v>2910</v>
      </c>
      <c r="H2210" t="s">
        <v>374</v>
      </c>
      <c r="I2210" t="s">
        <v>374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2909</v>
      </c>
      <c r="B2211" t="s">
        <v>2910</v>
      </c>
      <c r="C2211" t="s">
        <v>2909</v>
      </c>
      <c r="D2211" t="s">
        <v>2911</v>
      </c>
      <c r="E2211" t="s">
        <v>2917</v>
      </c>
      <c r="F2211" t="s">
        <v>2910</v>
      </c>
      <c r="G2211" t="s">
        <v>2910</v>
      </c>
      <c r="H2211" t="s">
        <v>374</v>
      </c>
      <c r="I2211" t="s">
        <v>374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2909</v>
      </c>
      <c r="B2212" t="s">
        <v>2910</v>
      </c>
      <c r="C2212" t="s">
        <v>2909</v>
      </c>
      <c r="D2212" t="s">
        <v>2911</v>
      </c>
      <c r="E2212" t="s">
        <v>2918</v>
      </c>
      <c r="F2212" t="s">
        <v>2910</v>
      </c>
      <c r="G2212" t="s">
        <v>2910</v>
      </c>
      <c r="H2212" t="s">
        <v>374</v>
      </c>
      <c r="I2212" t="s">
        <v>374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2909</v>
      </c>
      <c r="B2213" t="s">
        <v>2910</v>
      </c>
      <c r="C2213" t="s">
        <v>2909</v>
      </c>
      <c r="D2213" t="s">
        <v>2911</v>
      </c>
      <c r="E2213" t="s">
        <v>2919</v>
      </c>
      <c r="F2213" t="s">
        <v>2910</v>
      </c>
      <c r="G2213" t="s">
        <v>2910</v>
      </c>
      <c r="H2213" t="s">
        <v>374</v>
      </c>
      <c r="I2213" t="s">
        <v>374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2909</v>
      </c>
      <c r="B2214" t="s">
        <v>2910</v>
      </c>
      <c r="C2214" t="s">
        <v>2909</v>
      </c>
      <c r="D2214" t="s">
        <v>2911</v>
      </c>
      <c r="E2214" t="s">
        <v>2920</v>
      </c>
      <c r="F2214" t="s">
        <v>2910</v>
      </c>
      <c r="G2214" t="s">
        <v>2910</v>
      </c>
      <c r="H2214" t="s">
        <v>374</v>
      </c>
      <c r="I2214" t="s">
        <v>374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2909</v>
      </c>
      <c r="B2215" t="s">
        <v>2921</v>
      </c>
      <c r="C2215" t="s">
        <v>2909</v>
      </c>
      <c r="D2215" t="s">
        <v>2911</v>
      </c>
      <c r="E2215" t="s">
        <v>2922</v>
      </c>
      <c r="F2215" t="s">
        <v>2923</v>
      </c>
      <c r="G2215" t="s">
        <v>2923</v>
      </c>
      <c r="H2215" t="s">
        <v>374</v>
      </c>
      <c r="I2215" t="s">
        <v>374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2909</v>
      </c>
      <c r="B2216" t="s">
        <v>2921</v>
      </c>
      <c r="C2216" t="s">
        <v>2909</v>
      </c>
      <c r="D2216" t="s">
        <v>2911</v>
      </c>
      <c r="E2216" t="s">
        <v>2924</v>
      </c>
      <c r="F2216" t="s">
        <v>2923</v>
      </c>
      <c r="G2216" t="s">
        <v>2923</v>
      </c>
      <c r="H2216" t="s">
        <v>374</v>
      </c>
      <c r="I2216" t="s">
        <v>374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2909</v>
      </c>
      <c r="B2217" t="s">
        <v>2921</v>
      </c>
      <c r="C2217" t="s">
        <v>2909</v>
      </c>
      <c r="D2217" t="s">
        <v>2911</v>
      </c>
      <c r="E2217" t="s">
        <v>2925</v>
      </c>
      <c r="F2217" t="s">
        <v>2923</v>
      </c>
      <c r="G2217" t="s">
        <v>2923</v>
      </c>
      <c r="H2217" t="s">
        <v>374</v>
      </c>
      <c r="I2217" t="s">
        <v>374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2909</v>
      </c>
      <c r="B2218" t="s">
        <v>2926</v>
      </c>
      <c r="C2218" t="s">
        <v>2909</v>
      </c>
      <c r="D2218" t="s">
        <v>2911</v>
      </c>
      <c r="E2218" t="s">
        <v>2927</v>
      </c>
      <c r="F2218" t="s">
        <v>2928</v>
      </c>
      <c r="G2218" t="s">
        <v>2928</v>
      </c>
      <c r="H2218" t="s">
        <v>374</v>
      </c>
      <c r="I2218" t="s">
        <v>374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2909</v>
      </c>
      <c r="B2219" t="s">
        <v>2926</v>
      </c>
      <c r="C2219" t="s">
        <v>2909</v>
      </c>
      <c r="D2219" t="s">
        <v>2911</v>
      </c>
      <c r="E2219" t="s">
        <v>2929</v>
      </c>
      <c r="F2219" t="s">
        <v>2928</v>
      </c>
      <c r="G2219" t="s">
        <v>2928</v>
      </c>
      <c r="H2219" t="s">
        <v>374</v>
      </c>
      <c r="I2219" t="s">
        <v>374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2909</v>
      </c>
      <c r="B2220" t="s">
        <v>2926</v>
      </c>
      <c r="C2220" t="s">
        <v>2909</v>
      </c>
      <c r="D2220" t="s">
        <v>2911</v>
      </c>
      <c r="E2220" t="s">
        <v>2930</v>
      </c>
      <c r="F2220" t="s">
        <v>2928</v>
      </c>
      <c r="G2220" t="s">
        <v>2928</v>
      </c>
      <c r="H2220" t="s">
        <v>374</v>
      </c>
      <c r="I2220" t="s">
        <v>374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2909</v>
      </c>
      <c r="B2221" t="s">
        <v>2926</v>
      </c>
      <c r="C2221" t="s">
        <v>2909</v>
      </c>
      <c r="D2221" t="s">
        <v>2911</v>
      </c>
      <c r="E2221" t="s">
        <v>2931</v>
      </c>
      <c r="F2221" t="s">
        <v>2928</v>
      </c>
      <c r="G2221" t="s">
        <v>2928</v>
      </c>
      <c r="H2221" t="s">
        <v>374</v>
      </c>
      <c r="I2221" t="s">
        <v>374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2909</v>
      </c>
      <c r="B2222" t="s">
        <v>2926</v>
      </c>
      <c r="C2222" t="s">
        <v>2909</v>
      </c>
      <c r="D2222" t="s">
        <v>2911</v>
      </c>
      <c r="E2222" t="s">
        <v>2932</v>
      </c>
      <c r="F2222" t="s">
        <v>2928</v>
      </c>
      <c r="G2222" t="s">
        <v>2928</v>
      </c>
      <c r="H2222" t="s">
        <v>374</v>
      </c>
      <c r="I2222" t="s">
        <v>374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2909</v>
      </c>
      <c r="B2223" t="s">
        <v>2926</v>
      </c>
      <c r="C2223" t="s">
        <v>2909</v>
      </c>
      <c r="D2223" t="s">
        <v>2911</v>
      </c>
      <c r="E2223" t="s">
        <v>2933</v>
      </c>
      <c r="F2223" t="s">
        <v>2928</v>
      </c>
      <c r="G2223" t="s">
        <v>2928</v>
      </c>
      <c r="H2223" t="s">
        <v>374</v>
      </c>
      <c r="I2223" t="s">
        <v>374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2909</v>
      </c>
      <c r="B2224" t="s">
        <v>2926</v>
      </c>
      <c r="C2224" t="s">
        <v>2909</v>
      </c>
      <c r="D2224" t="s">
        <v>2911</v>
      </c>
      <c r="E2224" t="s">
        <v>2934</v>
      </c>
      <c r="F2224" t="s">
        <v>2928</v>
      </c>
      <c r="G2224" t="s">
        <v>2928</v>
      </c>
      <c r="H2224" t="s">
        <v>374</v>
      </c>
      <c r="I2224" t="s">
        <v>374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2909</v>
      </c>
      <c r="B2225" t="s">
        <v>2926</v>
      </c>
      <c r="C2225" t="s">
        <v>2909</v>
      </c>
      <c r="D2225" t="s">
        <v>2911</v>
      </c>
      <c r="E2225" t="s">
        <v>2935</v>
      </c>
      <c r="F2225" t="s">
        <v>2928</v>
      </c>
      <c r="G2225" t="s">
        <v>2928</v>
      </c>
      <c r="H2225" t="s">
        <v>374</v>
      </c>
      <c r="I2225" t="s">
        <v>374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2909</v>
      </c>
      <c r="B2226" t="s">
        <v>2926</v>
      </c>
      <c r="C2226" t="s">
        <v>2909</v>
      </c>
      <c r="D2226" t="s">
        <v>2911</v>
      </c>
      <c r="E2226" t="s">
        <v>2936</v>
      </c>
      <c r="F2226" t="s">
        <v>2928</v>
      </c>
      <c r="G2226" t="s">
        <v>2928</v>
      </c>
      <c r="H2226" t="s">
        <v>374</v>
      </c>
      <c r="I2226" t="s">
        <v>374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2909</v>
      </c>
      <c r="B2227" t="s">
        <v>2926</v>
      </c>
      <c r="C2227" t="s">
        <v>2909</v>
      </c>
      <c r="D2227" t="s">
        <v>2911</v>
      </c>
      <c r="E2227" t="s">
        <v>2937</v>
      </c>
      <c r="F2227" t="s">
        <v>2928</v>
      </c>
      <c r="G2227" t="s">
        <v>2928</v>
      </c>
      <c r="H2227" t="s">
        <v>374</v>
      </c>
      <c r="I2227" t="s">
        <v>374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2909</v>
      </c>
      <c r="B2228" t="s">
        <v>2926</v>
      </c>
      <c r="C2228" t="s">
        <v>2909</v>
      </c>
      <c r="D2228" t="s">
        <v>2911</v>
      </c>
      <c r="E2228" t="s">
        <v>2938</v>
      </c>
      <c r="F2228" t="s">
        <v>2928</v>
      </c>
      <c r="G2228" t="s">
        <v>2928</v>
      </c>
      <c r="H2228" t="s">
        <v>374</v>
      </c>
      <c r="I2228" t="s">
        <v>374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2909</v>
      </c>
      <c r="B2229" t="s">
        <v>2926</v>
      </c>
      <c r="C2229" t="s">
        <v>2909</v>
      </c>
      <c r="D2229" t="s">
        <v>2911</v>
      </c>
      <c r="E2229" t="s">
        <v>2939</v>
      </c>
      <c r="F2229" t="s">
        <v>2928</v>
      </c>
      <c r="G2229" t="s">
        <v>2928</v>
      </c>
      <c r="H2229" t="s">
        <v>374</v>
      </c>
      <c r="I2229" t="s">
        <v>374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2909</v>
      </c>
      <c r="B2230" t="s">
        <v>2926</v>
      </c>
      <c r="C2230" t="s">
        <v>2909</v>
      </c>
      <c r="D2230" t="s">
        <v>2911</v>
      </c>
      <c r="E2230" t="s">
        <v>2940</v>
      </c>
      <c r="F2230" t="s">
        <v>2928</v>
      </c>
      <c r="G2230" t="s">
        <v>2928</v>
      </c>
      <c r="H2230" t="s">
        <v>374</v>
      </c>
      <c r="I2230" t="s">
        <v>374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2909</v>
      </c>
      <c r="B2231" t="s">
        <v>2926</v>
      </c>
      <c r="C2231" t="s">
        <v>2909</v>
      </c>
      <c r="D2231" t="s">
        <v>2911</v>
      </c>
      <c r="E2231" t="s">
        <v>2941</v>
      </c>
      <c r="F2231" t="s">
        <v>2928</v>
      </c>
      <c r="G2231" t="s">
        <v>2928</v>
      </c>
      <c r="H2231" t="s">
        <v>374</v>
      </c>
      <c r="I2231" t="s">
        <v>374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2909</v>
      </c>
      <c r="B2232" t="s">
        <v>2926</v>
      </c>
      <c r="C2232" t="s">
        <v>2909</v>
      </c>
      <c r="D2232" t="s">
        <v>2911</v>
      </c>
      <c r="E2232" t="s">
        <v>2942</v>
      </c>
      <c r="F2232" t="s">
        <v>2928</v>
      </c>
      <c r="G2232" t="s">
        <v>2928</v>
      </c>
      <c r="H2232" t="s">
        <v>374</v>
      </c>
      <c r="I2232" t="s">
        <v>374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2909</v>
      </c>
      <c r="B2233" t="s">
        <v>2926</v>
      </c>
      <c r="C2233" t="s">
        <v>2909</v>
      </c>
      <c r="D2233" t="s">
        <v>2911</v>
      </c>
      <c r="E2233" t="s">
        <v>2943</v>
      </c>
      <c r="F2233" t="s">
        <v>2928</v>
      </c>
      <c r="G2233" t="s">
        <v>2928</v>
      </c>
      <c r="H2233" t="s">
        <v>374</v>
      </c>
      <c r="I2233" t="s">
        <v>374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2909</v>
      </c>
      <c r="B2234" t="s">
        <v>2926</v>
      </c>
      <c r="C2234" t="s">
        <v>2909</v>
      </c>
      <c r="D2234" t="s">
        <v>2911</v>
      </c>
      <c r="E2234" t="s">
        <v>2944</v>
      </c>
      <c r="F2234" t="s">
        <v>2928</v>
      </c>
      <c r="G2234" t="s">
        <v>2928</v>
      </c>
      <c r="H2234" t="s">
        <v>374</v>
      </c>
      <c r="I2234" t="s">
        <v>374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2909</v>
      </c>
      <c r="B2235" t="s">
        <v>2926</v>
      </c>
      <c r="C2235" t="s">
        <v>2909</v>
      </c>
      <c r="D2235" t="s">
        <v>2911</v>
      </c>
      <c r="E2235" t="s">
        <v>2945</v>
      </c>
      <c r="F2235" t="s">
        <v>2928</v>
      </c>
      <c r="G2235" t="s">
        <v>2928</v>
      </c>
      <c r="H2235" t="s">
        <v>374</v>
      </c>
      <c r="I2235" t="s">
        <v>374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2909</v>
      </c>
      <c r="B2236" t="s">
        <v>2926</v>
      </c>
      <c r="C2236" t="s">
        <v>2909</v>
      </c>
      <c r="D2236" t="s">
        <v>2911</v>
      </c>
      <c r="E2236" t="s">
        <v>2946</v>
      </c>
      <c r="F2236" t="s">
        <v>2928</v>
      </c>
      <c r="G2236" t="s">
        <v>2928</v>
      </c>
      <c r="H2236" t="s">
        <v>374</v>
      </c>
      <c r="I2236" t="s">
        <v>374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2909</v>
      </c>
      <c r="B2237" t="s">
        <v>2926</v>
      </c>
      <c r="C2237" t="s">
        <v>2909</v>
      </c>
      <c r="D2237" t="s">
        <v>2911</v>
      </c>
      <c r="E2237" t="s">
        <v>2947</v>
      </c>
      <c r="F2237" t="s">
        <v>2928</v>
      </c>
      <c r="G2237" t="s">
        <v>2928</v>
      </c>
      <c r="H2237" t="s">
        <v>374</v>
      </c>
      <c r="I2237" t="s">
        <v>374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2909</v>
      </c>
      <c r="B2238" t="s">
        <v>2926</v>
      </c>
      <c r="C2238" t="s">
        <v>2909</v>
      </c>
      <c r="D2238" t="s">
        <v>2911</v>
      </c>
      <c r="E2238" t="s">
        <v>2948</v>
      </c>
      <c r="F2238" t="s">
        <v>2928</v>
      </c>
      <c r="G2238" t="s">
        <v>2928</v>
      </c>
      <c r="H2238" t="s">
        <v>374</v>
      </c>
      <c r="I2238" t="s">
        <v>374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2909</v>
      </c>
      <c r="B2239" t="s">
        <v>2926</v>
      </c>
      <c r="C2239" t="s">
        <v>2909</v>
      </c>
      <c r="D2239" t="s">
        <v>2911</v>
      </c>
      <c r="E2239" t="s">
        <v>2949</v>
      </c>
      <c r="F2239" t="s">
        <v>2928</v>
      </c>
      <c r="G2239" t="s">
        <v>2928</v>
      </c>
      <c r="H2239" t="s">
        <v>374</v>
      </c>
      <c r="I2239" t="s">
        <v>374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2909</v>
      </c>
      <c r="B2240" t="s">
        <v>2926</v>
      </c>
      <c r="C2240" t="s">
        <v>2909</v>
      </c>
      <c r="D2240" t="s">
        <v>2911</v>
      </c>
      <c r="E2240" t="s">
        <v>2950</v>
      </c>
      <c r="F2240" t="s">
        <v>2928</v>
      </c>
      <c r="G2240" t="s">
        <v>2928</v>
      </c>
      <c r="H2240" t="s">
        <v>374</v>
      </c>
      <c r="I2240" t="s">
        <v>374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2909</v>
      </c>
      <c r="B2241" t="s">
        <v>2951</v>
      </c>
      <c r="C2241" t="s">
        <v>2909</v>
      </c>
      <c r="D2241" t="s">
        <v>2911</v>
      </c>
      <c r="E2241" t="s">
        <v>2952</v>
      </c>
      <c r="F2241" t="s">
        <v>2951</v>
      </c>
      <c r="G2241" t="s">
        <v>374</v>
      </c>
      <c r="H2241" t="s">
        <v>374</v>
      </c>
      <c r="I2241" t="s">
        <v>374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2909</v>
      </c>
      <c r="B2242" t="s">
        <v>2951</v>
      </c>
      <c r="C2242" t="s">
        <v>2909</v>
      </c>
      <c r="D2242" t="s">
        <v>2911</v>
      </c>
      <c r="E2242" t="s">
        <v>2953</v>
      </c>
      <c r="F2242" t="s">
        <v>2951</v>
      </c>
      <c r="G2242" t="s">
        <v>374</v>
      </c>
      <c r="H2242" t="s">
        <v>374</v>
      </c>
      <c r="I2242" t="s">
        <v>374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2909</v>
      </c>
      <c r="B2243" t="s">
        <v>2951</v>
      </c>
      <c r="C2243" t="s">
        <v>2909</v>
      </c>
      <c r="D2243" t="s">
        <v>2911</v>
      </c>
      <c r="E2243" t="s">
        <v>2954</v>
      </c>
      <c r="F2243" t="s">
        <v>2951</v>
      </c>
      <c r="G2243" t="s">
        <v>374</v>
      </c>
      <c r="H2243" t="s">
        <v>374</v>
      </c>
      <c r="I2243" t="s">
        <v>374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2909</v>
      </c>
      <c r="B2244" t="s">
        <v>2951</v>
      </c>
      <c r="C2244" t="s">
        <v>2909</v>
      </c>
      <c r="D2244" t="s">
        <v>2911</v>
      </c>
      <c r="E2244" t="s">
        <v>2955</v>
      </c>
      <c r="F2244" t="s">
        <v>2951</v>
      </c>
      <c r="G2244" t="s">
        <v>374</v>
      </c>
      <c r="H2244" t="s">
        <v>374</v>
      </c>
      <c r="I2244" t="s">
        <v>374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2909</v>
      </c>
      <c r="B2245" t="s">
        <v>2956</v>
      </c>
      <c r="C2245" t="s">
        <v>2909</v>
      </c>
      <c r="D2245" t="s">
        <v>2911</v>
      </c>
      <c r="E2245" t="s">
        <v>2957</v>
      </c>
      <c r="F2245" t="s">
        <v>2956</v>
      </c>
      <c r="G2245" t="s">
        <v>374</v>
      </c>
      <c r="H2245" t="s">
        <v>374</v>
      </c>
      <c r="I2245" t="s">
        <v>374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2909</v>
      </c>
      <c r="B2246" t="s">
        <v>2956</v>
      </c>
      <c r="C2246" t="s">
        <v>2909</v>
      </c>
      <c r="D2246" t="s">
        <v>2911</v>
      </c>
      <c r="E2246" t="s">
        <v>2958</v>
      </c>
      <c r="F2246" t="s">
        <v>2956</v>
      </c>
      <c r="G2246" t="s">
        <v>374</v>
      </c>
      <c r="H2246" t="s">
        <v>374</v>
      </c>
      <c r="I2246" t="s">
        <v>374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2909</v>
      </c>
      <c r="B2247" t="s">
        <v>2959</v>
      </c>
      <c r="C2247" t="s">
        <v>2909</v>
      </c>
      <c r="D2247" t="s">
        <v>2911</v>
      </c>
      <c r="E2247" t="s">
        <v>2960</v>
      </c>
      <c r="F2247" t="s">
        <v>2961</v>
      </c>
      <c r="G2247" t="s">
        <v>2961</v>
      </c>
      <c r="H2247" t="s">
        <v>374</v>
      </c>
      <c r="I2247" t="s">
        <v>374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2909</v>
      </c>
      <c r="B2248" t="s">
        <v>2959</v>
      </c>
      <c r="C2248" t="s">
        <v>2909</v>
      </c>
      <c r="D2248" t="s">
        <v>2911</v>
      </c>
      <c r="E2248" t="s">
        <v>2962</v>
      </c>
      <c r="F2248" t="s">
        <v>2961</v>
      </c>
      <c r="G2248" t="s">
        <v>2961</v>
      </c>
      <c r="H2248" t="s">
        <v>374</v>
      </c>
      <c r="I2248" t="s">
        <v>374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2909</v>
      </c>
      <c r="B2249" t="s">
        <v>2959</v>
      </c>
      <c r="C2249" t="s">
        <v>2909</v>
      </c>
      <c r="D2249" t="s">
        <v>2911</v>
      </c>
      <c r="E2249" t="s">
        <v>2963</v>
      </c>
      <c r="F2249" t="s">
        <v>2961</v>
      </c>
      <c r="G2249" t="s">
        <v>2961</v>
      </c>
      <c r="H2249" t="s">
        <v>374</v>
      </c>
      <c r="I2249" t="s">
        <v>374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2909</v>
      </c>
      <c r="B2250" t="s">
        <v>2959</v>
      </c>
      <c r="C2250" t="s">
        <v>2909</v>
      </c>
      <c r="D2250" t="s">
        <v>2911</v>
      </c>
      <c r="E2250" t="s">
        <v>2964</v>
      </c>
      <c r="F2250" t="s">
        <v>2961</v>
      </c>
      <c r="G2250" t="s">
        <v>2961</v>
      </c>
      <c r="H2250" t="s">
        <v>374</v>
      </c>
      <c r="I2250" t="s">
        <v>374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2965</v>
      </c>
      <c r="B2251" t="s">
        <v>2965</v>
      </c>
      <c r="C2251" t="s">
        <v>2965</v>
      </c>
      <c r="D2251" t="s">
        <v>2911</v>
      </c>
      <c r="E2251" t="s">
        <v>2966</v>
      </c>
      <c r="F2251" t="s">
        <v>2965</v>
      </c>
      <c r="G2251" t="s">
        <v>2965</v>
      </c>
      <c r="H2251" t="s">
        <v>374</v>
      </c>
      <c r="I2251" t="s">
        <v>374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2909</v>
      </c>
      <c r="B2252" t="s">
        <v>2967</v>
      </c>
      <c r="C2252" t="s">
        <v>2909</v>
      </c>
      <c r="D2252" t="s">
        <v>2911</v>
      </c>
      <c r="E2252" t="s">
        <v>2968</v>
      </c>
      <c r="F2252" t="s">
        <v>2967</v>
      </c>
      <c r="G2252" t="s">
        <v>374</v>
      </c>
      <c r="H2252" t="s">
        <v>374</v>
      </c>
      <c r="I2252" t="s">
        <v>374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2969</v>
      </c>
      <c r="B2253" t="s">
        <v>2970</v>
      </c>
      <c r="C2253" t="s">
        <v>2971</v>
      </c>
      <c r="D2253" t="s">
        <v>2969</v>
      </c>
      <c r="E2253" t="s">
        <v>2972</v>
      </c>
      <c r="F2253" t="s">
        <v>2973</v>
      </c>
      <c r="G2253" t="s">
        <v>2974</v>
      </c>
      <c r="H2253" t="s">
        <v>2975</v>
      </c>
      <c r="I2253" t="s">
        <v>2976</v>
      </c>
      <c r="J2253" t="s">
        <v>2977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2969</v>
      </c>
      <c r="B2254" t="s">
        <v>2978</v>
      </c>
      <c r="C2254" t="s">
        <v>2971</v>
      </c>
      <c r="D2254" t="s">
        <v>2969</v>
      </c>
      <c r="E2254" t="s">
        <v>2979</v>
      </c>
      <c r="F2254" t="s">
        <v>2973</v>
      </c>
      <c r="G2254" t="s">
        <v>2974</v>
      </c>
      <c r="H2254" t="s">
        <v>2975</v>
      </c>
      <c r="I2254" t="s">
        <v>2976</v>
      </c>
      <c r="J2254" t="s">
        <v>2980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2969</v>
      </c>
      <c r="B2255" t="s">
        <v>2981</v>
      </c>
      <c r="C2255" t="s">
        <v>2971</v>
      </c>
      <c r="D2255" t="s">
        <v>2969</v>
      </c>
      <c r="E2255" t="s">
        <v>2982</v>
      </c>
      <c r="F2255" t="s">
        <v>2973</v>
      </c>
      <c r="G2255" t="s">
        <v>2974</v>
      </c>
      <c r="H2255" t="s">
        <v>2975</v>
      </c>
      <c r="I2255" t="s">
        <v>2976</v>
      </c>
      <c r="J2255" t="s">
        <v>2983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2969</v>
      </c>
      <c r="B2256" t="s">
        <v>2984</v>
      </c>
      <c r="C2256" t="s">
        <v>2971</v>
      </c>
      <c r="D2256" t="s">
        <v>2969</v>
      </c>
      <c r="E2256" t="s">
        <v>2985</v>
      </c>
      <c r="F2256" t="s">
        <v>2973</v>
      </c>
      <c r="G2256" t="s">
        <v>2974</v>
      </c>
      <c r="H2256" t="s">
        <v>2975</v>
      </c>
      <c r="I2256" t="s">
        <v>2976</v>
      </c>
      <c r="J2256" t="s">
        <v>2986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2969</v>
      </c>
      <c r="B2257" t="s">
        <v>2978</v>
      </c>
      <c r="C2257" t="s">
        <v>2971</v>
      </c>
      <c r="D2257" t="s">
        <v>2969</v>
      </c>
      <c r="E2257" t="s">
        <v>2987</v>
      </c>
      <c r="F2257" t="s">
        <v>2988</v>
      </c>
      <c r="G2257" t="s">
        <v>2989</v>
      </c>
      <c r="H2257" t="s">
        <v>2975</v>
      </c>
      <c r="I2257" t="s">
        <v>2976</v>
      </c>
      <c r="J2257" t="s">
        <v>2980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2969</v>
      </c>
      <c r="B2258" t="s">
        <v>2981</v>
      </c>
      <c r="C2258" t="s">
        <v>2971</v>
      </c>
      <c r="D2258" t="s">
        <v>2969</v>
      </c>
      <c r="E2258" t="s">
        <v>2990</v>
      </c>
      <c r="F2258" t="s">
        <v>2988</v>
      </c>
      <c r="G2258" t="s">
        <v>2989</v>
      </c>
      <c r="H2258" t="s">
        <v>2975</v>
      </c>
      <c r="I2258" t="s">
        <v>2976</v>
      </c>
      <c r="J2258" t="s">
        <v>2983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2969</v>
      </c>
      <c r="B2259" t="s">
        <v>2970</v>
      </c>
      <c r="C2259" t="s">
        <v>2971</v>
      </c>
      <c r="D2259" t="s">
        <v>2969</v>
      </c>
      <c r="E2259" t="s">
        <v>2991</v>
      </c>
      <c r="F2259" t="s">
        <v>2988</v>
      </c>
      <c r="G2259" t="s">
        <v>2989</v>
      </c>
      <c r="H2259" t="s">
        <v>2975</v>
      </c>
      <c r="I2259" t="s">
        <v>2976</v>
      </c>
      <c r="J2259" t="s">
        <v>2977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2969</v>
      </c>
      <c r="B2260" t="s">
        <v>2984</v>
      </c>
      <c r="C2260" t="s">
        <v>2971</v>
      </c>
      <c r="D2260" t="s">
        <v>2969</v>
      </c>
      <c r="E2260" t="s">
        <v>2992</v>
      </c>
      <c r="F2260" t="s">
        <v>2988</v>
      </c>
      <c r="G2260" t="s">
        <v>2989</v>
      </c>
      <c r="H2260" t="s">
        <v>2975</v>
      </c>
      <c r="I2260" t="s">
        <v>2976</v>
      </c>
      <c r="J2260" t="s">
        <v>2986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2969</v>
      </c>
      <c r="B2261" t="s">
        <v>2970</v>
      </c>
      <c r="C2261" t="s">
        <v>2971</v>
      </c>
      <c r="D2261" t="s">
        <v>2969</v>
      </c>
      <c r="E2261" t="s">
        <v>2993</v>
      </c>
      <c r="F2261" t="s">
        <v>2994</v>
      </c>
      <c r="G2261" t="s">
        <v>2995</v>
      </c>
      <c r="H2261" t="s">
        <v>2975</v>
      </c>
      <c r="I2261" t="s">
        <v>2976</v>
      </c>
      <c r="J2261" t="s">
        <v>2977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2969</v>
      </c>
      <c r="B2262" t="s">
        <v>2984</v>
      </c>
      <c r="C2262" t="s">
        <v>2971</v>
      </c>
      <c r="D2262" t="s">
        <v>2969</v>
      </c>
      <c r="E2262" t="s">
        <v>2996</v>
      </c>
      <c r="F2262" t="s">
        <v>2994</v>
      </c>
      <c r="G2262" t="s">
        <v>2995</v>
      </c>
      <c r="H2262" t="s">
        <v>2975</v>
      </c>
      <c r="I2262" t="s">
        <v>2976</v>
      </c>
      <c r="J2262" t="s">
        <v>2986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2969</v>
      </c>
      <c r="B2263" t="s">
        <v>2981</v>
      </c>
      <c r="C2263" t="s">
        <v>2971</v>
      </c>
      <c r="D2263" t="s">
        <v>2969</v>
      </c>
      <c r="E2263" t="s">
        <v>2997</v>
      </c>
      <c r="F2263" t="s">
        <v>2994</v>
      </c>
      <c r="G2263" t="s">
        <v>2995</v>
      </c>
      <c r="H2263" t="s">
        <v>2975</v>
      </c>
      <c r="I2263" t="s">
        <v>2976</v>
      </c>
      <c r="J2263" t="s">
        <v>2983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2969</v>
      </c>
      <c r="B2264" t="s">
        <v>2978</v>
      </c>
      <c r="C2264" t="s">
        <v>2971</v>
      </c>
      <c r="D2264" t="s">
        <v>2969</v>
      </c>
      <c r="E2264" t="s">
        <v>2998</v>
      </c>
      <c r="F2264" t="s">
        <v>2994</v>
      </c>
      <c r="G2264" t="s">
        <v>2995</v>
      </c>
      <c r="H2264" t="s">
        <v>2975</v>
      </c>
      <c r="I2264" t="s">
        <v>2976</v>
      </c>
      <c r="J2264" t="s">
        <v>2980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2969</v>
      </c>
      <c r="B2265" t="s">
        <v>2978</v>
      </c>
      <c r="C2265" t="s">
        <v>2971</v>
      </c>
      <c r="D2265" t="s">
        <v>2969</v>
      </c>
      <c r="E2265" t="s">
        <v>2999</v>
      </c>
      <c r="F2265" t="s">
        <v>3000</v>
      </c>
      <c r="G2265" t="s">
        <v>2995</v>
      </c>
      <c r="H2265" t="s">
        <v>3001</v>
      </c>
      <c r="I2265" t="s">
        <v>374</v>
      </c>
      <c r="J2265" t="s">
        <v>2980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2969</v>
      </c>
      <c r="B2266" t="s">
        <v>2981</v>
      </c>
      <c r="C2266" t="s">
        <v>2971</v>
      </c>
      <c r="D2266" t="s">
        <v>2969</v>
      </c>
      <c r="E2266" t="s">
        <v>3002</v>
      </c>
      <c r="F2266" t="s">
        <v>3000</v>
      </c>
      <c r="G2266" t="s">
        <v>2995</v>
      </c>
      <c r="H2266" t="s">
        <v>3001</v>
      </c>
      <c r="I2266" t="s">
        <v>374</v>
      </c>
      <c r="J2266" t="s">
        <v>2983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2969</v>
      </c>
      <c r="B2267" t="s">
        <v>2970</v>
      </c>
      <c r="C2267" t="s">
        <v>2971</v>
      </c>
      <c r="D2267" t="s">
        <v>2969</v>
      </c>
      <c r="E2267" t="s">
        <v>3003</v>
      </c>
      <c r="F2267" t="s">
        <v>3000</v>
      </c>
      <c r="G2267" t="s">
        <v>2995</v>
      </c>
      <c r="H2267" t="s">
        <v>3001</v>
      </c>
      <c r="I2267" t="s">
        <v>374</v>
      </c>
      <c r="J2267" t="s">
        <v>2977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2969</v>
      </c>
      <c r="B2268" t="s">
        <v>2984</v>
      </c>
      <c r="C2268" t="s">
        <v>2971</v>
      </c>
      <c r="D2268" t="s">
        <v>2969</v>
      </c>
      <c r="E2268" t="s">
        <v>3004</v>
      </c>
      <c r="F2268" t="s">
        <v>3000</v>
      </c>
      <c r="G2268" t="s">
        <v>2995</v>
      </c>
      <c r="H2268" t="s">
        <v>3001</v>
      </c>
      <c r="I2268" t="s">
        <v>374</v>
      </c>
      <c r="J2268" t="s">
        <v>2986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2969</v>
      </c>
      <c r="B2269" t="s">
        <v>2970</v>
      </c>
      <c r="C2269" t="s">
        <v>2971</v>
      </c>
      <c r="D2269" t="s">
        <v>2969</v>
      </c>
      <c r="E2269" t="s">
        <v>3005</v>
      </c>
      <c r="F2269" t="s">
        <v>3006</v>
      </c>
      <c r="G2269" t="s">
        <v>3007</v>
      </c>
      <c r="H2269" t="s">
        <v>2975</v>
      </c>
      <c r="I2269" t="s">
        <v>2976</v>
      </c>
      <c r="J2269" t="s">
        <v>2977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2969</v>
      </c>
      <c r="B2270" t="s">
        <v>2984</v>
      </c>
      <c r="C2270" t="s">
        <v>2971</v>
      </c>
      <c r="D2270" t="s">
        <v>2969</v>
      </c>
      <c r="E2270" t="s">
        <v>3008</v>
      </c>
      <c r="F2270" t="s">
        <v>3006</v>
      </c>
      <c r="G2270" t="s">
        <v>3007</v>
      </c>
      <c r="H2270" t="s">
        <v>2975</v>
      </c>
      <c r="I2270" t="s">
        <v>2976</v>
      </c>
      <c r="J2270" t="s">
        <v>2986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2969</v>
      </c>
      <c r="B2271" t="s">
        <v>2978</v>
      </c>
      <c r="C2271" t="s">
        <v>2971</v>
      </c>
      <c r="D2271" t="s">
        <v>2969</v>
      </c>
      <c r="E2271" t="s">
        <v>3009</v>
      </c>
      <c r="F2271" t="s">
        <v>3006</v>
      </c>
      <c r="G2271" t="s">
        <v>3007</v>
      </c>
      <c r="H2271" t="s">
        <v>2975</v>
      </c>
      <c r="I2271" t="s">
        <v>2976</v>
      </c>
      <c r="J2271" t="s">
        <v>2980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2969</v>
      </c>
      <c r="B2272" t="s">
        <v>2981</v>
      </c>
      <c r="C2272" t="s">
        <v>2971</v>
      </c>
      <c r="D2272" t="s">
        <v>2969</v>
      </c>
      <c r="E2272" t="s">
        <v>3010</v>
      </c>
      <c r="F2272" t="s">
        <v>3006</v>
      </c>
      <c r="G2272" t="s">
        <v>3007</v>
      </c>
      <c r="H2272" t="s">
        <v>2975</v>
      </c>
      <c r="I2272" t="s">
        <v>2976</v>
      </c>
      <c r="J2272" t="s">
        <v>2983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2969</v>
      </c>
      <c r="B2273" t="s">
        <v>2978</v>
      </c>
      <c r="C2273" t="s">
        <v>2971</v>
      </c>
      <c r="D2273" t="s">
        <v>2969</v>
      </c>
      <c r="E2273" t="s">
        <v>3011</v>
      </c>
      <c r="F2273" t="s">
        <v>3012</v>
      </c>
      <c r="G2273" t="s">
        <v>3007</v>
      </c>
      <c r="H2273" t="s">
        <v>3001</v>
      </c>
      <c r="I2273" t="s">
        <v>374</v>
      </c>
      <c r="J2273" t="s">
        <v>2980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2969</v>
      </c>
      <c r="B2274" t="s">
        <v>2981</v>
      </c>
      <c r="C2274" t="s">
        <v>2971</v>
      </c>
      <c r="D2274" t="s">
        <v>2969</v>
      </c>
      <c r="E2274" t="s">
        <v>3013</v>
      </c>
      <c r="F2274" t="s">
        <v>3012</v>
      </c>
      <c r="G2274" t="s">
        <v>3007</v>
      </c>
      <c r="H2274" t="s">
        <v>3001</v>
      </c>
      <c r="I2274" t="s">
        <v>374</v>
      </c>
      <c r="J2274" t="s">
        <v>2983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2969</v>
      </c>
      <c r="B2275" t="s">
        <v>2970</v>
      </c>
      <c r="C2275" t="s">
        <v>2971</v>
      </c>
      <c r="D2275" t="s">
        <v>2969</v>
      </c>
      <c r="E2275" t="s">
        <v>3014</v>
      </c>
      <c r="F2275" t="s">
        <v>3012</v>
      </c>
      <c r="G2275" t="s">
        <v>3007</v>
      </c>
      <c r="H2275" t="s">
        <v>3001</v>
      </c>
      <c r="I2275" t="s">
        <v>374</v>
      </c>
      <c r="J2275" t="s">
        <v>2977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2969</v>
      </c>
      <c r="B2276" t="s">
        <v>2984</v>
      </c>
      <c r="C2276" t="s">
        <v>2971</v>
      </c>
      <c r="D2276" t="s">
        <v>2969</v>
      </c>
      <c r="E2276" t="s">
        <v>3015</v>
      </c>
      <c r="F2276" t="s">
        <v>3012</v>
      </c>
      <c r="G2276" t="s">
        <v>3007</v>
      </c>
      <c r="H2276" t="s">
        <v>3001</v>
      </c>
      <c r="I2276" t="s">
        <v>374</v>
      </c>
      <c r="J2276" t="s">
        <v>2986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2969</v>
      </c>
      <c r="B2277" t="s">
        <v>2978</v>
      </c>
      <c r="C2277" t="s">
        <v>2971</v>
      </c>
      <c r="D2277" t="s">
        <v>2969</v>
      </c>
      <c r="E2277" t="s">
        <v>3016</v>
      </c>
      <c r="F2277" t="s">
        <v>3012</v>
      </c>
      <c r="G2277" t="s">
        <v>3007</v>
      </c>
      <c r="H2277" t="s">
        <v>3001</v>
      </c>
      <c r="I2277" t="s">
        <v>374</v>
      </c>
      <c r="J2277" t="s">
        <v>2980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2969</v>
      </c>
      <c r="B2278" t="s">
        <v>2981</v>
      </c>
      <c r="C2278" t="s">
        <v>2971</v>
      </c>
      <c r="D2278" t="s">
        <v>2969</v>
      </c>
      <c r="E2278" t="s">
        <v>3017</v>
      </c>
      <c r="F2278" t="s">
        <v>3012</v>
      </c>
      <c r="G2278" t="s">
        <v>3007</v>
      </c>
      <c r="H2278" t="s">
        <v>3001</v>
      </c>
      <c r="I2278" t="s">
        <v>374</v>
      </c>
      <c r="J2278" t="s">
        <v>2983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2969</v>
      </c>
      <c r="B2279" t="s">
        <v>2970</v>
      </c>
      <c r="C2279" t="s">
        <v>2971</v>
      </c>
      <c r="D2279" t="s">
        <v>2969</v>
      </c>
      <c r="E2279" t="s">
        <v>3018</v>
      </c>
      <c r="F2279" t="s">
        <v>3019</v>
      </c>
      <c r="G2279" t="s">
        <v>3020</v>
      </c>
      <c r="H2279" t="s">
        <v>2975</v>
      </c>
      <c r="I2279" t="s">
        <v>3021</v>
      </c>
      <c r="J2279" t="s">
        <v>2977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2969</v>
      </c>
      <c r="B2280" t="s">
        <v>2984</v>
      </c>
      <c r="C2280" t="s">
        <v>2971</v>
      </c>
      <c r="D2280" t="s">
        <v>2969</v>
      </c>
      <c r="E2280" t="s">
        <v>3022</v>
      </c>
      <c r="F2280" t="s">
        <v>3019</v>
      </c>
      <c r="G2280" t="s">
        <v>3020</v>
      </c>
      <c r="H2280" t="s">
        <v>2975</v>
      </c>
      <c r="I2280" t="s">
        <v>3021</v>
      </c>
      <c r="J2280" t="s">
        <v>2986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2969</v>
      </c>
      <c r="B2281" t="s">
        <v>2981</v>
      </c>
      <c r="C2281" t="s">
        <v>2971</v>
      </c>
      <c r="D2281" t="s">
        <v>2969</v>
      </c>
      <c r="E2281" t="s">
        <v>3023</v>
      </c>
      <c r="F2281" t="s">
        <v>3019</v>
      </c>
      <c r="G2281" t="s">
        <v>3020</v>
      </c>
      <c r="H2281" t="s">
        <v>2975</v>
      </c>
      <c r="I2281" t="s">
        <v>3021</v>
      </c>
      <c r="J2281" t="s">
        <v>2983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2969</v>
      </c>
      <c r="B2282" t="s">
        <v>2978</v>
      </c>
      <c r="C2282" t="s">
        <v>2971</v>
      </c>
      <c r="D2282" t="s">
        <v>2969</v>
      </c>
      <c r="E2282" t="s">
        <v>3024</v>
      </c>
      <c r="F2282" t="s">
        <v>3019</v>
      </c>
      <c r="G2282" t="s">
        <v>3020</v>
      </c>
      <c r="H2282" t="s">
        <v>2975</v>
      </c>
      <c r="I2282" t="s">
        <v>3021</v>
      </c>
      <c r="J2282" t="s">
        <v>2980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2969</v>
      </c>
      <c r="B2283" t="s">
        <v>2970</v>
      </c>
      <c r="C2283" t="s">
        <v>2971</v>
      </c>
      <c r="D2283" t="s">
        <v>2969</v>
      </c>
      <c r="E2283" t="s">
        <v>3025</v>
      </c>
      <c r="F2283" t="s">
        <v>3026</v>
      </c>
      <c r="G2283" t="s">
        <v>2665</v>
      </c>
      <c r="H2283" t="s">
        <v>2975</v>
      </c>
      <c r="I2283" t="s">
        <v>2976</v>
      </c>
      <c r="J2283" t="s">
        <v>2977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2969</v>
      </c>
      <c r="B2284" t="s">
        <v>2984</v>
      </c>
      <c r="C2284" t="s">
        <v>2971</v>
      </c>
      <c r="D2284" t="s">
        <v>2969</v>
      </c>
      <c r="E2284" t="s">
        <v>3027</v>
      </c>
      <c r="F2284" t="s">
        <v>3026</v>
      </c>
      <c r="G2284" t="s">
        <v>2665</v>
      </c>
      <c r="H2284" t="s">
        <v>2975</v>
      </c>
      <c r="I2284" t="s">
        <v>2976</v>
      </c>
      <c r="J2284" t="s">
        <v>2986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2969</v>
      </c>
      <c r="B2285" t="s">
        <v>2978</v>
      </c>
      <c r="C2285" t="s">
        <v>2971</v>
      </c>
      <c r="D2285" t="s">
        <v>2969</v>
      </c>
      <c r="E2285" t="s">
        <v>3028</v>
      </c>
      <c r="F2285" t="s">
        <v>3026</v>
      </c>
      <c r="G2285" t="s">
        <v>2665</v>
      </c>
      <c r="H2285" t="s">
        <v>2975</v>
      </c>
      <c r="I2285" t="s">
        <v>2976</v>
      </c>
      <c r="J2285" t="s">
        <v>2980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2969</v>
      </c>
      <c r="B2286" t="s">
        <v>2981</v>
      </c>
      <c r="C2286" t="s">
        <v>2971</v>
      </c>
      <c r="D2286" t="s">
        <v>2969</v>
      </c>
      <c r="E2286" t="s">
        <v>3029</v>
      </c>
      <c r="F2286" t="s">
        <v>3026</v>
      </c>
      <c r="G2286" t="s">
        <v>2665</v>
      </c>
      <c r="H2286" t="s">
        <v>2975</v>
      </c>
      <c r="I2286" t="s">
        <v>2976</v>
      </c>
      <c r="J2286" t="s">
        <v>2983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2969</v>
      </c>
      <c r="B2287" t="s">
        <v>3030</v>
      </c>
      <c r="C2287" t="s">
        <v>3031</v>
      </c>
      <c r="D2287" t="s">
        <v>2969</v>
      </c>
      <c r="E2287" t="s">
        <v>3032</v>
      </c>
      <c r="F2287" t="s">
        <v>3033</v>
      </c>
      <c r="G2287" t="s">
        <v>3034</v>
      </c>
      <c r="H2287" t="s">
        <v>3035</v>
      </c>
      <c r="I2287" t="s">
        <v>3036</v>
      </c>
      <c r="J2287" t="s">
        <v>3037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2969</v>
      </c>
      <c r="B2288" t="s">
        <v>3038</v>
      </c>
      <c r="C2288" t="s">
        <v>3031</v>
      </c>
      <c r="D2288" t="s">
        <v>2969</v>
      </c>
      <c r="E2288" t="s">
        <v>3039</v>
      </c>
      <c r="F2288" t="s">
        <v>3040</v>
      </c>
      <c r="G2288" t="s">
        <v>3034</v>
      </c>
      <c r="H2288" t="s">
        <v>3041</v>
      </c>
      <c r="I2288" t="s">
        <v>3036</v>
      </c>
      <c r="J2288" t="s">
        <v>3042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2969</v>
      </c>
      <c r="B2289" t="s">
        <v>2970</v>
      </c>
      <c r="C2289" t="s">
        <v>2971</v>
      </c>
      <c r="D2289" t="s">
        <v>2969</v>
      </c>
      <c r="E2289" t="s">
        <v>3043</v>
      </c>
      <c r="F2289" t="s">
        <v>3044</v>
      </c>
      <c r="G2289" t="s">
        <v>2822</v>
      </c>
      <c r="H2289" t="s">
        <v>2975</v>
      </c>
      <c r="I2289" t="s">
        <v>2976</v>
      </c>
      <c r="J2289" t="s">
        <v>2977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2969</v>
      </c>
      <c r="B2290" t="s">
        <v>2984</v>
      </c>
      <c r="C2290" t="s">
        <v>2971</v>
      </c>
      <c r="D2290" t="s">
        <v>2969</v>
      </c>
      <c r="E2290" t="s">
        <v>3045</v>
      </c>
      <c r="F2290" t="s">
        <v>3044</v>
      </c>
      <c r="G2290" t="s">
        <v>2822</v>
      </c>
      <c r="H2290" t="s">
        <v>2975</v>
      </c>
      <c r="I2290" t="s">
        <v>2976</v>
      </c>
      <c r="J2290" t="s">
        <v>2986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2969</v>
      </c>
      <c r="B2291" t="s">
        <v>2978</v>
      </c>
      <c r="C2291" t="s">
        <v>2971</v>
      </c>
      <c r="D2291" t="s">
        <v>2969</v>
      </c>
      <c r="E2291" t="s">
        <v>3046</v>
      </c>
      <c r="F2291" t="s">
        <v>3044</v>
      </c>
      <c r="G2291" t="s">
        <v>2822</v>
      </c>
      <c r="H2291" t="s">
        <v>2975</v>
      </c>
      <c r="I2291" t="s">
        <v>2976</v>
      </c>
      <c r="J2291" t="s">
        <v>2980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2969</v>
      </c>
      <c r="B2292" t="s">
        <v>2981</v>
      </c>
      <c r="C2292" t="s">
        <v>2971</v>
      </c>
      <c r="D2292" t="s">
        <v>2969</v>
      </c>
      <c r="E2292" t="s">
        <v>3047</v>
      </c>
      <c r="F2292" t="s">
        <v>3044</v>
      </c>
      <c r="G2292" t="s">
        <v>2822</v>
      </c>
      <c r="H2292" t="s">
        <v>2975</v>
      </c>
      <c r="I2292" t="s">
        <v>2976</v>
      </c>
      <c r="J2292" t="s">
        <v>2983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2969</v>
      </c>
      <c r="B2293" t="s">
        <v>2981</v>
      </c>
      <c r="C2293" t="s">
        <v>2971</v>
      </c>
      <c r="D2293" t="s">
        <v>2969</v>
      </c>
      <c r="E2293" t="s">
        <v>3048</v>
      </c>
      <c r="F2293" t="s">
        <v>3049</v>
      </c>
      <c r="G2293" t="s">
        <v>3050</v>
      </c>
      <c r="H2293" t="s">
        <v>2975</v>
      </c>
      <c r="I2293" t="s">
        <v>2976</v>
      </c>
      <c r="J2293" t="s">
        <v>2983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2969</v>
      </c>
      <c r="B2294" t="s">
        <v>2978</v>
      </c>
      <c r="C2294" t="s">
        <v>2971</v>
      </c>
      <c r="D2294" t="s">
        <v>2969</v>
      </c>
      <c r="E2294" t="s">
        <v>3051</v>
      </c>
      <c r="F2294" t="s">
        <v>3049</v>
      </c>
      <c r="G2294" t="s">
        <v>3050</v>
      </c>
      <c r="H2294" t="s">
        <v>2975</v>
      </c>
      <c r="I2294" t="s">
        <v>2976</v>
      </c>
      <c r="J2294" t="s">
        <v>2980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2969</v>
      </c>
      <c r="B2295" t="s">
        <v>2970</v>
      </c>
      <c r="C2295" t="s">
        <v>2971</v>
      </c>
      <c r="D2295" t="s">
        <v>2969</v>
      </c>
      <c r="E2295" t="s">
        <v>3052</v>
      </c>
      <c r="F2295" t="s">
        <v>3049</v>
      </c>
      <c r="G2295" t="s">
        <v>3050</v>
      </c>
      <c r="H2295" t="s">
        <v>2975</v>
      </c>
      <c r="I2295" t="s">
        <v>2976</v>
      </c>
      <c r="J2295" t="s">
        <v>2977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2969</v>
      </c>
      <c r="B2296" t="s">
        <v>2984</v>
      </c>
      <c r="C2296" t="s">
        <v>2971</v>
      </c>
      <c r="D2296" t="s">
        <v>2969</v>
      </c>
      <c r="E2296" t="s">
        <v>3053</v>
      </c>
      <c r="F2296" t="s">
        <v>3049</v>
      </c>
      <c r="G2296" t="s">
        <v>3050</v>
      </c>
      <c r="H2296" t="s">
        <v>2975</v>
      </c>
      <c r="I2296" t="s">
        <v>2976</v>
      </c>
      <c r="J2296" t="s">
        <v>2986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2969</v>
      </c>
      <c r="B2297" t="s">
        <v>2978</v>
      </c>
      <c r="C2297" t="s">
        <v>2971</v>
      </c>
      <c r="D2297" t="s">
        <v>2969</v>
      </c>
      <c r="E2297" t="s">
        <v>3054</v>
      </c>
      <c r="F2297" t="s">
        <v>3055</v>
      </c>
      <c r="G2297" t="s">
        <v>3056</v>
      </c>
      <c r="H2297" t="s">
        <v>2975</v>
      </c>
      <c r="I2297" t="s">
        <v>2976</v>
      </c>
      <c r="J2297" t="s">
        <v>2980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2969</v>
      </c>
      <c r="B2298" t="s">
        <v>2981</v>
      </c>
      <c r="C2298" t="s">
        <v>2971</v>
      </c>
      <c r="D2298" t="s">
        <v>2969</v>
      </c>
      <c r="E2298" t="s">
        <v>3057</v>
      </c>
      <c r="F2298" t="s">
        <v>3055</v>
      </c>
      <c r="G2298" t="s">
        <v>3056</v>
      </c>
      <c r="H2298" t="s">
        <v>2975</v>
      </c>
      <c r="I2298" t="s">
        <v>2976</v>
      </c>
      <c r="J2298" t="s">
        <v>2983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2969</v>
      </c>
      <c r="B2299" t="s">
        <v>2970</v>
      </c>
      <c r="C2299" t="s">
        <v>2971</v>
      </c>
      <c r="D2299" t="s">
        <v>2969</v>
      </c>
      <c r="E2299" t="s">
        <v>3058</v>
      </c>
      <c r="F2299" t="s">
        <v>3055</v>
      </c>
      <c r="G2299" t="s">
        <v>3056</v>
      </c>
      <c r="H2299" t="s">
        <v>2975</v>
      </c>
      <c r="I2299" t="s">
        <v>2976</v>
      </c>
      <c r="J2299" t="s">
        <v>2977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2969</v>
      </c>
      <c r="B2300" t="s">
        <v>2984</v>
      </c>
      <c r="C2300" t="s">
        <v>2971</v>
      </c>
      <c r="D2300" t="s">
        <v>2969</v>
      </c>
      <c r="E2300" t="s">
        <v>3059</v>
      </c>
      <c r="F2300" t="s">
        <v>3055</v>
      </c>
      <c r="G2300" t="s">
        <v>3056</v>
      </c>
      <c r="H2300" t="s">
        <v>2975</v>
      </c>
      <c r="I2300" t="s">
        <v>2976</v>
      </c>
      <c r="J2300" t="s">
        <v>2986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2969</v>
      </c>
      <c r="B2301" t="s">
        <v>2970</v>
      </c>
      <c r="C2301" t="s">
        <v>2971</v>
      </c>
      <c r="D2301" t="s">
        <v>2969</v>
      </c>
      <c r="E2301" t="s">
        <v>3060</v>
      </c>
      <c r="F2301" t="s">
        <v>3061</v>
      </c>
      <c r="G2301" t="s">
        <v>3062</v>
      </c>
      <c r="H2301" t="s">
        <v>2975</v>
      </c>
      <c r="I2301" t="s">
        <v>2976</v>
      </c>
      <c r="J2301" t="s">
        <v>2977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2969</v>
      </c>
      <c r="B2302" t="s">
        <v>2978</v>
      </c>
      <c r="C2302" t="s">
        <v>2971</v>
      </c>
      <c r="D2302" t="s">
        <v>2969</v>
      </c>
      <c r="E2302" t="s">
        <v>3063</v>
      </c>
      <c r="F2302" t="s">
        <v>3061</v>
      </c>
      <c r="G2302" t="s">
        <v>3062</v>
      </c>
      <c r="H2302" t="s">
        <v>2975</v>
      </c>
      <c r="I2302" t="s">
        <v>2976</v>
      </c>
      <c r="J2302" t="s">
        <v>2980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2969</v>
      </c>
      <c r="B2303" t="s">
        <v>2981</v>
      </c>
      <c r="C2303" t="s">
        <v>2971</v>
      </c>
      <c r="D2303" t="s">
        <v>2969</v>
      </c>
      <c r="E2303" t="s">
        <v>3064</v>
      </c>
      <c r="F2303" t="s">
        <v>3061</v>
      </c>
      <c r="G2303" t="s">
        <v>3062</v>
      </c>
      <c r="H2303" t="s">
        <v>2975</v>
      </c>
      <c r="I2303" t="s">
        <v>2976</v>
      </c>
      <c r="J2303" t="s">
        <v>2983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2969</v>
      </c>
      <c r="B2304" t="s">
        <v>2984</v>
      </c>
      <c r="C2304" t="s">
        <v>2971</v>
      </c>
      <c r="D2304" t="s">
        <v>2969</v>
      </c>
      <c r="E2304" t="s">
        <v>3065</v>
      </c>
      <c r="F2304" t="s">
        <v>3061</v>
      </c>
      <c r="G2304" t="s">
        <v>3062</v>
      </c>
      <c r="H2304" t="s">
        <v>2975</v>
      </c>
      <c r="I2304" t="s">
        <v>2976</v>
      </c>
      <c r="J2304" t="s">
        <v>2986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2969</v>
      </c>
      <c r="B2305" t="s">
        <v>3066</v>
      </c>
      <c r="C2305" t="s">
        <v>3067</v>
      </c>
      <c r="D2305" t="s">
        <v>2969</v>
      </c>
      <c r="E2305" t="s">
        <v>3068</v>
      </c>
      <c r="F2305" t="s">
        <v>3069</v>
      </c>
      <c r="G2305" t="s">
        <v>3067</v>
      </c>
      <c r="H2305" t="s">
        <v>3070</v>
      </c>
      <c r="I2305" t="s">
        <v>374</v>
      </c>
      <c r="J2305" t="s">
        <v>3071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2969</v>
      </c>
      <c r="B2306" t="s">
        <v>3072</v>
      </c>
      <c r="C2306" t="s">
        <v>3067</v>
      </c>
      <c r="D2306" t="s">
        <v>2969</v>
      </c>
      <c r="E2306" t="s">
        <v>3073</v>
      </c>
      <c r="F2306" t="s">
        <v>3074</v>
      </c>
      <c r="G2306" t="s">
        <v>3067</v>
      </c>
      <c r="H2306" t="s">
        <v>3070</v>
      </c>
      <c r="I2306" t="s">
        <v>374</v>
      </c>
      <c r="J2306" t="s">
        <v>3075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2969</v>
      </c>
      <c r="B2307" t="s">
        <v>3076</v>
      </c>
      <c r="C2307" t="s">
        <v>3067</v>
      </c>
      <c r="D2307" t="s">
        <v>2969</v>
      </c>
      <c r="E2307" t="s">
        <v>3077</v>
      </c>
      <c r="F2307" t="s">
        <v>3078</v>
      </c>
      <c r="G2307" t="s">
        <v>3067</v>
      </c>
      <c r="H2307" t="s">
        <v>3070</v>
      </c>
      <c r="I2307" t="s">
        <v>374</v>
      </c>
      <c r="J2307" t="s">
        <v>3079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2969</v>
      </c>
      <c r="B2308" t="s">
        <v>3080</v>
      </c>
      <c r="C2308" t="s">
        <v>3067</v>
      </c>
      <c r="D2308" t="s">
        <v>2969</v>
      </c>
      <c r="E2308" t="s">
        <v>3081</v>
      </c>
      <c r="F2308" t="s">
        <v>3082</v>
      </c>
      <c r="G2308" t="s">
        <v>3067</v>
      </c>
      <c r="H2308" t="s">
        <v>3070</v>
      </c>
      <c r="I2308" t="s">
        <v>374</v>
      </c>
      <c r="J2308" t="s">
        <v>3083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2969</v>
      </c>
      <c r="B2309" t="s">
        <v>3084</v>
      </c>
      <c r="C2309" t="s">
        <v>3067</v>
      </c>
      <c r="D2309" t="s">
        <v>2969</v>
      </c>
      <c r="E2309" t="s">
        <v>3085</v>
      </c>
      <c r="F2309" t="s">
        <v>3086</v>
      </c>
      <c r="G2309" t="s">
        <v>3067</v>
      </c>
      <c r="H2309" t="s">
        <v>3070</v>
      </c>
      <c r="I2309" t="s">
        <v>374</v>
      </c>
      <c r="J2309" t="s">
        <v>3087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2969</v>
      </c>
      <c r="B2310" t="s">
        <v>3088</v>
      </c>
      <c r="C2310" t="s">
        <v>3067</v>
      </c>
      <c r="D2310" t="s">
        <v>2969</v>
      </c>
      <c r="E2310" t="s">
        <v>3089</v>
      </c>
      <c r="F2310" t="s">
        <v>3090</v>
      </c>
      <c r="G2310" t="s">
        <v>3067</v>
      </c>
      <c r="H2310" t="s">
        <v>3070</v>
      </c>
      <c r="I2310" t="s">
        <v>374</v>
      </c>
      <c r="J2310" t="s">
        <v>3091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2969</v>
      </c>
      <c r="B2311" t="s">
        <v>2970</v>
      </c>
      <c r="C2311" t="s">
        <v>2971</v>
      </c>
      <c r="D2311" t="s">
        <v>2969</v>
      </c>
      <c r="E2311" t="s">
        <v>3092</v>
      </c>
      <c r="F2311" t="s">
        <v>3093</v>
      </c>
      <c r="G2311" t="s">
        <v>3094</v>
      </c>
      <c r="H2311" t="s">
        <v>3095</v>
      </c>
      <c r="I2311" t="s">
        <v>374</v>
      </c>
      <c r="J2311" t="s">
        <v>2977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2969</v>
      </c>
      <c r="B2312" t="s">
        <v>2984</v>
      </c>
      <c r="C2312" t="s">
        <v>2971</v>
      </c>
      <c r="D2312" t="s">
        <v>2969</v>
      </c>
      <c r="E2312" t="s">
        <v>3096</v>
      </c>
      <c r="F2312" t="s">
        <v>3093</v>
      </c>
      <c r="G2312" t="s">
        <v>3094</v>
      </c>
      <c r="H2312" t="s">
        <v>3095</v>
      </c>
      <c r="I2312" t="s">
        <v>374</v>
      </c>
      <c r="J2312" t="s">
        <v>2986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2969</v>
      </c>
      <c r="B2313" t="s">
        <v>2978</v>
      </c>
      <c r="C2313" t="s">
        <v>2971</v>
      </c>
      <c r="D2313" t="s">
        <v>2969</v>
      </c>
      <c r="E2313" t="s">
        <v>3097</v>
      </c>
      <c r="F2313" t="s">
        <v>3093</v>
      </c>
      <c r="G2313" t="s">
        <v>3094</v>
      </c>
      <c r="H2313" t="s">
        <v>3095</v>
      </c>
      <c r="I2313" t="s">
        <v>374</v>
      </c>
      <c r="J2313" t="s">
        <v>2980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2969</v>
      </c>
      <c r="B2314" t="s">
        <v>2981</v>
      </c>
      <c r="C2314" t="s">
        <v>2971</v>
      </c>
      <c r="D2314" t="s">
        <v>2969</v>
      </c>
      <c r="E2314" t="s">
        <v>3098</v>
      </c>
      <c r="F2314" t="s">
        <v>3093</v>
      </c>
      <c r="G2314" t="s">
        <v>3094</v>
      </c>
      <c r="H2314" t="s">
        <v>3095</v>
      </c>
      <c r="I2314" t="s">
        <v>374</v>
      </c>
      <c r="J2314" t="s">
        <v>2983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2969</v>
      </c>
      <c r="B2315" t="s">
        <v>2981</v>
      </c>
      <c r="C2315" t="s">
        <v>2971</v>
      </c>
      <c r="D2315" t="s">
        <v>2969</v>
      </c>
      <c r="E2315" t="s">
        <v>3099</v>
      </c>
      <c r="F2315" t="s">
        <v>3100</v>
      </c>
      <c r="G2315" t="s">
        <v>3101</v>
      </c>
      <c r="H2315" t="s">
        <v>2975</v>
      </c>
      <c r="I2315" t="s">
        <v>2976</v>
      </c>
      <c r="J2315" t="s">
        <v>2983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2969</v>
      </c>
      <c r="B2316" t="s">
        <v>2978</v>
      </c>
      <c r="C2316" t="s">
        <v>2971</v>
      </c>
      <c r="D2316" t="s">
        <v>2969</v>
      </c>
      <c r="E2316" t="s">
        <v>3102</v>
      </c>
      <c r="F2316" t="s">
        <v>3100</v>
      </c>
      <c r="G2316" t="s">
        <v>3101</v>
      </c>
      <c r="H2316" t="s">
        <v>2975</v>
      </c>
      <c r="I2316" t="s">
        <v>2976</v>
      </c>
      <c r="J2316" t="s">
        <v>2980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2969</v>
      </c>
      <c r="B2317" t="s">
        <v>2970</v>
      </c>
      <c r="C2317" t="s">
        <v>2971</v>
      </c>
      <c r="D2317" t="s">
        <v>2969</v>
      </c>
      <c r="E2317" t="s">
        <v>3103</v>
      </c>
      <c r="F2317" t="s">
        <v>3100</v>
      </c>
      <c r="G2317" t="s">
        <v>3101</v>
      </c>
      <c r="H2317" t="s">
        <v>2975</v>
      </c>
      <c r="I2317" t="s">
        <v>2976</v>
      </c>
      <c r="J2317" t="s">
        <v>2977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2969</v>
      </c>
      <c r="B2318" t="s">
        <v>2984</v>
      </c>
      <c r="C2318" t="s">
        <v>2971</v>
      </c>
      <c r="D2318" t="s">
        <v>2969</v>
      </c>
      <c r="E2318" t="s">
        <v>3104</v>
      </c>
      <c r="F2318" t="s">
        <v>3100</v>
      </c>
      <c r="G2318" t="s">
        <v>3101</v>
      </c>
      <c r="H2318" t="s">
        <v>2975</v>
      </c>
      <c r="I2318" t="s">
        <v>2976</v>
      </c>
      <c r="J2318" t="s">
        <v>2986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2969</v>
      </c>
      <c r="B2319" t="s">
        <v>2970</v>
      </c>
      <c r="C2319" t="s">
        <v>2971</v>
      </c>
      <c r="D2319" t="s">
        <v>2969</v>
      </c>
      <c r="E2319" t="s">
        <v>3105</v>
      </c>
      <c r="F2319" t="s">
        <v>3106</v>
      </c>
      <c r="G2319" t="s">
        <v>3107</v>
      </c>
      <c r="H2319" t="s">
        <v>3108</v>
      </c>
      <c r="I2319" t="s">
        <v>374</v>
      </c>
      <c r="J2319" t="s">
        <v>2977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2969</v>
      </c>
      <c r="B2320" t="s">
        <v>2984</v>
      </c>
      <c r="C2320" t="s">
        <v>2971</v>
      </c>
      <c r="D2320" t="s">
        <v>2969</v>
      </c>
      <c r="E2320" t="s">
        <v>3109</v>
      </c>
      <c r="F2320" t="s">
        <v>3106</v>
      </c>
      <c r="G2320" t="s">
        <v>3107</v>
      </c>
      <c r="H2320" t="s">
        <v>3108</v>
      </c>
      <c r="I2320" t="s">
        <v>374</v>
      </c>
      <c r="J2320" t="s">
        <v>2986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2969</v>
      </c>
      <c r="B2321" t="s">
        <v>2978</v>
      </c>
      <c r="C2321" t="s">
        <v>2971</v>
      </c>
      <c r="D2321" t="s">
        <v>2969</v>
      </c>
      <c r="E2321" t="s">
        <v>3110</v>
      </c>
      <c r="F2321" t="s">
        <v>3106</v>
      </c>
      <c r="G2321" t="s">
        <v>3107</v>
      </c>
      <c r="H2321" t="s">
        <v>3108</v>
      </c>
      <c r="I2321" t="s">
        <v>374</v>
      </c>
      <c r="J2321" t="s">
        <v>2980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2969</v>
      </c>
      <c r="B2322" t="s">
        <v>2981</v>
      </c>
      <c r="C2322" t="s">
        <v>2971</v>
      </c>
      <c r="D2322" t="s">
        <v>2969</v>
      </c>
      <c r="E2322" t="s">
        <v>3111</v>
      </c>
      <c r="F2322" t="s">
        <v>3106</v>
      </c>
      <c r="G2322" t="s">
        <v>3107</v>
      </c>
      <c r="H2322" t="s">
        <v>3108</v>
      </c>
      <c r="I2322" t="s">
        <v>374</v>
      </c>
      <c r="J2322" t="s">
        <v>2983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2969</v>
      </c>
      <c r="B2323" t="s">
        <v>2970</v>
      </c>
      <c r="C2323" t="s">
        <v>2971</v>
      </c>
      <c r="D2323" t="s">
        <v>2969</v>
      </c>
      <c r="E2323" t="s">
        <v>3112</v>
      </c>
      <c r="F2323" t="s">
        <v>3113</v>
      </c>
      <c r="G2323" t="s">
        <v>3114</v>
      </c>
      <c r="H2323" t="s">
        <v>3001</v>
      </c>
      <c r="I2323" t="s">
        <v>374</v>
      </c>
      <c r="J2323" t="s">
        <v>2977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2969</v>
      </c>
      <c r="B2324" t="s">
        <v>2984</v>
      </c>
      <c r="C2324" t="s">
        <v>2971</v>
      </c>
      <c r="D2324" t="s">
        <v>2969</v>
      </c>
      <c r="E2324" t="s">
        <v>3115</v>
      </c>
      <c r="F2324" t="s">
        <v>3113</v>
      </c>
      <c r="G2324" t="s">
        <v>3114</v>
      </c>
      <c r="H2324" t="s">
        <v>3001</v>
      </c>
      <c r="I2324" t="s">
        <v>374</v>
      </c>
      <c r="J2324" t="s">
        <v>2986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2969</v>
      </c>
      <c r="B2325" t="s">
        <v>2981</v>
      </c>
      <c r="C2325" t="s">
        <v>2971</v>
      </c>
      <c r="D2325" t="s">
        <v>2969</v>
      </c>
      <c r="E2325" t="s">
        <v>3116</v>
      </c>
      <c r="F2325" t="s">
        <v>3113</v>
      </c>
      <c r="G2325" t="s">
        <v>3114</v>
      </c>
      <c r="H2325" t="s">
        <v>3001</v>
      </c>
      <c r="I2325" t="s">
        <v>374</v>
      </c>
      <c r="J2325" t="s">
        <v>2983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2969</v>
      </c>
      <c r="B2326" t="s">
        <v>2970</v>
      </c>
      <c r="C2326" t="s">
        <v>2971</v>
      </c>
      <c r="D2326" t="s">
        <v>2969</v>
      </c>
      <c r="E2326" t="s">
        <v>3117</v>
      </c>
      <c r="F2326" t="s">
        <v>3118</v>
      </c>
      <c r="G2326" t="s">
        <v>2863</v>
      </c>
      <c r="H2326" t="s">
        <v>2975</v>
      </c>
      <c r="I2326" t="s">
        <v>2976</v>
      </c>
      <c r="J2326" t="s">
        <v>2977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2969</v>
      </c>
      <c r="B2327" t="s">
        <v>2984</v>
      </c>
      <c r="C2327" t="s">
        <v>2971</v>
      </c>
      <c r="D2327" t="s">
        <v>2969</v>
      </c>
      <c r="E2327" t="s">
        <v>3119</v>
      </c>
      <c r="F2327" t="s">
        <v>3118</v>
      </c>
      <c r="G2327" t="s">
        <v>2863</v>
      </c>
      <c r="H2327" t="s">
        <v>2975</v>
      </c>
      <c r="I2327" t="s">
        <v>2976</v>
      </c>
      <c r="J2327" t="s">
        <v>2986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2969</v>
      </c>
      <c r="B2328" t="s">
        <v>2978</v>
      </c>
      <c r="C2328" t="s">
        <v>2971</v>
      </c>
      <c r="D2328" t="s">
        <v>2969</v>
      </c>
      <c r="E2328" t="s">
        <v>3120</v>
      </c>
      <c r="F2328" t="s">
        <v>3118</v>
      </c>
      <c r="G2328" t="s">
        <v>2863</v>
      </c>
      <c r="H2328" t="s">
        <v>2975</v>
      </c>
      <c r="I2328" t="s">
        <v>2976</v>
      </c>
      <c r="J2328" t="s">
        <v>2980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2969</v>
      </c>
      <c r="B2329" t="s">
        <v>2981</v>
      </c>
      <c r="C2329" t="s">
        <v>2971</v>
      </c>
      <c r="D2329" t="s">
        <v>2969</v>
      </c>
      <c r="E2329" t="s">
        <v>3121</v>
      </c>
      <c r="F2329" t="s">
        <v>3118</v>
      </c>
      <c r="G2329" t="s">
        <v>2863</v>
      </c>
      <c r="H2329" t="s">
        <v>2975</v>
      </c>
      <c r="I2329" t="s">
        <v>2976</v>
      </c>
      <c r="J2329" t="s">
        <v>2983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2969</v>
      </c>
      <c r="B2330" t="s">
        <v>2970</v>
      </c>
      <c r="C2330" t="s">
        <v>2971</v>
      </c>
      <c r="D2330" t="s">
        <v>2969</v>
      </c>
      <c r="E2330" t="s">
        <v>3122</v>
      </c>
      <c r="F2330" t="s">
        <v>3123</v>
      </c>
      <c r="G2330" t="s">
        <v>2863</v>
      </c>
      <c r="H2330" t="s">
        <v>3001</v>
      </c>
      <c r="I2330" t="s">
        <v>374</v>
      </c>
      <c r="J2330" t="s">
        <v>2977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2969</v>
      </c>
      <c r="B2331" t="s">
        <v>2984</v>
      </c>
      <c r="C2331" t="s">
        <v>2971</v>
      </c>
      <c r="D2331" t="s">
        <v>2969</v>
      </c>
      <c r="E2331" t="s">
        <v>3124</v>
      </c>
      <c r="F2331" t="s">
        <v>3123</v>
      </c>
      <c r="G2331" t="s">
        <v>2863</v>
      </c>
      <c r="H2331" t="s">
        <v>3001</v>
      </c>
      <c r="I2331" t="s">
        <v>374</v>
      </c>
      <c r="J2331" t="s">
        <v>2986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2969</v>
      </c>
      <c r="B2332" t="s">
        <v>2978</v>
      </c>
      <c r="C2332" t="s">
        <v>2971</v>
      </c>
      <c r="D2332" t="s">
        <v>2969</v>
      </c>
      <c r="E2332" t="s">
        <v>3125</v>
      </c>
      <c r="F2332" t="s">
        <v>3123</v>
      </c>
      <c r="G2332" t="s">
        <v>2863</v>
      </c>
      <c r="H2332" t="s">
        <v>3001</v>
      </c>
      <c r="I2332" t="s">
        <v>374</v>
      </c>
      <c r="J2332" t="s">
        <v>2980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2969</v>
      </c>
      <c r="B2333" t="s">
        <v>2981</v>
      </c>
      <c r="C2333" t="s">
        <v>2971</v>
      </c>
      <c r="D2333" t="s">
        <v>2969</v>
      </c>
      <c r="E2333" t="s">
        <v>3126</v>
      </c>
      <c r="F2333" t="s">
        <v>3123</v>
      </c>
      <c r="G2333" t="s">
        <v>2863</v>
      </c>
      <c r="H2333" t="s">
        <v>3001</v>
      </c>
      <c r="I2333" t="s">
        <v>374</v>
      </c>
      <c r="J2333" t="s">
        <v>2983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2969</v>
      </c>
      <c r="B2334" t="s">
        <v>2978</v>
      </c>
      <c r="C2334" t="s">
        <v>2971</v>
      </c>
      <c r="D2334" t="s">
        <v>2969</v>
      </c>
      <c r="E2334" t="s">
        <v>3127</v>
      </c>
      <c r="F2334" t="s">
        <v>3128</v>
      </c>
      <c r="G2334" t="s">
        <v>3129</v>
      </c>
      <c r="H2334" t="s">
        <v>3001</v>
      </c>
      <c r="I2334" t="s">
        <v>374</v>
      </c>
      <c r="J2334" t="s">
        <v>2980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2969</v>
      </c>
      <c r="B2335" t="s">
        <v>2970</v>
      </c>
      <c r="C2335" t="s">
        <v>2971</v>
      </c>
      <c r="D2335" t="s">
        <v>2969</v>
      </c>
      <c r="E2335" t="s">
        <v>3130</v>
      </c>
      <c r="F2335" t="s">
        <v>3131</v>
      </c>
      <c r="G2335" t="s">
        <v>3132</v>
      </c>
      <c r="H2335" t="s">
        <v>2975</v>
      </c>
      <c r="I2335" t="s">
        <v>2976</v>
      </c>
      <c r="J2335" t="s">
        <v>2977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2969</v>
      </c>
      <c r="B2336" t="s">
        <v>2984</v>
      </c>
      <c r="C2336" t="s">
        <v>2971</v>
      </c>
      <c r="D2336" t="s">
        <v>2969</v>
      </c>
      <c r="E2336" t="s">
        <v>3133</v>
      </c>
      <c r="F2336" t="s">
        <v>3131</v>
      </c>
      <c r="G2336" t="s">
        <v>3132</v>
      </c>
      <c r="H2336" t="s">
        <v>2975</v>
      </c>
      <c r="I2336" t="s">
        <v>2976</v>
      </c>
      <c r="J2336" t="s">
        <v>2986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2969</v>
      </c>
      <c r="B2337" t="s">
        <v>2978</v>
      </c>
      <c r="C2337" t="s">
        <v>2971</v>
      </c>
      <c r="D2337" t="s">
        <v>2969</v>
      </c>
      <c r="E2337" t="s">
        <v>3134</v>
      </c>
      <c r="F2337" t="s">
        <v>3131</v>
      </c>
      <c r="G2337" t="s">
        <v>3132</v>
      </c>
      <c r="H2337" t="s">
        <v>2975</v>
      </c>
      <c r="I2337" t="s">
        <v>2976</v>
      </c>
      <c r="J2337" t="s">
        <v>2980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2969</v>
      </c>
      <c r="B2338" t="s">
        <v>2981</v>
      </c>
      <c r="C2338" t="s">
        <v>2971</v>
      </c>
      <c r="D2338" t="s">
        <v>2969</v>
      </c>
      <c r="E2338" t="s">
        <v>3135</v>
      </c>
      <c r="F2338" t="s">
        <v>3131</v>
      </c>
      <c r="G2338" t="s">
        <v>3132</v>
      </c>
      <c r="H2338" t="s">
        <v>2975</v>
      </c>
      <c r="I2338" t="s">
        <v>2976</v>
      </c>
      <c r="J2338" t="s">
        <v>2983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2969</v>
      </c>
      <c r="B2339" t="s">
        <v>2970</v>
      </c>
      <c r="C2339" t="s">
        <v>2971</v>
      </c>
      <c r="D2339" t="s">
        <v>2969</v>
      </c>
      <c r="E2339" t="s">
        <v>3136</v>
      </c>
      <c r="F2339" t="s">
        <v>3137</v>
      </c>
      <c r="G2339" t="s">
        <v>3138</v>
      </c>
      <c r="H2339" t="s">
        <v>2975</v>
      </c>
      <c r="I2339" t="s">
        <v>2976</v>
      </c>
      <c r="J2339" t="s">
        <v>2977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2969</v>
      </c>
      <c r="B2340" t="s">
        <v>2984</v>
      </c>
      <c r="C2340" t="s">
        <v>2971</v>
      </c>
      <c r="D2340" t="s">
        <v>2969</v>
      </c>
      <c r="E2340" t="s">
        <v>3139</v>
      </c>
      <c r="F2340" t="s">
        <v>3137</v>
      </c>
      <c r="G2340" t="s">
        <v>3138</v>
      </c>
      <c r="H2340" t="s">
        <v>2975</v>
      </c>
      <c r="I2340" t="s">
        <v>2976</v>
      </c>
      <c r="J2340" t="s">
        <v>2986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2969</v>
      </c>
      <c r="B2341" t="s">
        <v>2978</v>
      </c>
      <c r="C2341" t="s">
        <v>2971</v>
      </c>
      <c r="D2341" t="s">
        <v>2969</v>
      </c>
      <c r="E2341" t="s">
        <v>3140</v>
      </c>
      <c r="F2341" t="s">
        <v>3137</v>
      </c>
      <c r="G2341" t="s">
        <v>3138</v>
      </c>
      <c r="H2341" t="s">
        <v>2975</v>
      </c>
      <c r="I2341" t="s">
        <v>2976</v>
      </c>
      <c r="J2341" t="s">
        <v>2980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2969</v>
      </c>
      <c r="B2342" t="s">
        <v>2981</v>
      </c>
      <c r="C2342" t="s">
        <v>2971</v>
      </c>
      <c r="D2342" t="s">
        <v>2969</v>
      </c>
      <c r="E2342" t="s">
        <v>3141</v>
      </c>
      <c r="F2342" t="s">
        <v>3137</v>
      </c>
      <c r="G2342" t="s">
        <v>3138</v>
      </c>
      <c r="H2342" t="s">
        <v>2975</v>
      </c>
      <c r="I2342" t="s">
        <v>2976</v>
      </c>
      <c r="J2342" t="s">
        <v>2983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2969</v>
      </c>
      <c r="B2343" t="s">
        <v>2970</v>
      </c>
      <c r="C2343" t="s">
        <v>2971</v>
      </c>
      <c r="D2343" t="s">
        <v>2969</v>
      </c>
      <c r="E2343" t="s">
        <v>3142</v>
      </c>
      <c r="F2343" t="s">
        <v>3143</v>
      </c>
      <c r="G2343" t="s">
        <v>3144</v>
      </c>
      <c r="H2343" t="s">
        <v>2975</v>
      </c>
      <c r="I2343" t="s">
        <v>2976</v>
      </c>
      <c r="J2343" t="s">
        <v>2977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2969</v>
      </c>
      <c r="B2344" t="s">
        <v>2984</v>
      </c>
      <c r="C2344" t="s">
        <v>2971</v>
      </c>
      <c r="D2344" t="s">
        <v>2969</v>
      </c>
      <c r="E2344" t="s">
        <v>3145</v>
      </c>
      <c r="F2344" t="s">
        <v>3143</v>
      </c>
      <c r="G2344" t="s">
        <v>3144</v>
      </c>
      <c r="H2344" t="s">
        <v>2975</v>
      </c>
      <c r="I2344" t="s">
        <v>2976</v>
      </c>
      <c r="J2344" t="s">
        <v>2986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2969</v>
      </c>
      <c r="B2345" t="s">
        <v>2978</v>
      </c>
      <c r="C2345" t="s">
        <v>2971</v>
      </c>
      <c r="D2345" t="s">
        <v>2969</v>
      </c>
      <c r="E2345" t="s">
        <v>3146</v>
      </c>
      <c r="F2345" t="s">
        <v>3143</v>
      </c>
      <c r="G2345" t="s">
        <v>3144</v>
      </c>
      <c r="H2345" t="s">
        <v>2975</v>
      </c>
      <c r="I2345" t="s">
        <v>2976</v>
      </c>
      <c r="J2345" t="s">
        <v>2980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2969</v>
      </c>
      <c r="B2346" t="s">
        <v>2981</v>
      </c>
      <c r="C2346" t="s">
        <v>2971</v>
      </c>
      <c r="D2346" t="s">
        <v>2969</v>
      </c>
      <c r="E2346" t="s">
        <v>3147</v>
      </c>
      <c r="F2346" t="s">
        <v>3143</v>
      </c>
      <c r="G2346" t="s">
        <v>3144</v>
      </c>
      <c r="H2346" t="s">
        <v>2975</v>
      </c>
      <c r="I2346" t="s">
        <v>2976</v>
      </c>
      <c r="J2346" t="s">
        <v>2983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3148</v>
      </c>
      <c r="B2347" t="s">
        <v>3149</v>
      </c>
      <c r="C2347" t="s">
        <v>1438</v>
      </c>
      <c r="D2347" t="s">
        <v>3150</v>
      </c>
      <c r="E2347" t="s">
        <v>3151</v>
      </c>
      <c r="F2347" t="s">
        <v>3152</v>
      </c>
      <c r="G2347" t="s">
        <v>3153</v>
      </c>
      <c r="H2347" t="s">
        <v>3154</v>
      </c>
      <c r="I2347" t="s">
        <v>1438</v>
      </c>
      <c r="J2347" t="s">
        <v>722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3148</v>
      </c>
      <c r="B2348" t="s">
        <v>3149</v>
      </c>
      <c r="C2348" t="s">
        <v>1438</v>
      </c>
      <c r="D2348" t="s">
        <v>3150</v>
      </c>
      <c r="E2348" t="s">
        <v>3155</v>
      </c>
      <c r="F2348" t="s">
        <v>3156</v>
      </c>
      <c r="G2348" t="s">
        <v>3153</v>
      </c>
      <c r="H2348" t="s">
        <v>3157</v>
      </c>
      <c r="I2348" t="s">
        <v>1438</v>
      </c>
      <c r="J2348" t="s">
        <v>722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3158</v>
      </c>
      <c r="B2349" t="s">
        <v>3159</v>
      </c>
      <c r="C2349" t="s">
        <v>1438</v>
      </c>
      <c r="D2349" t="s">
        <v>3150</v>
      </c>
      <c r="E2349" t="s">
        <v>3160</v>
      </c>
      <c r="F2349" t="s">
        <v>3161</v>
      </c>
      <c r="G2349" t="s">
        <v>3162</v>
      </c>
      <c r="H2349" t="s">
        <v>3163</v>
      </c>
      <c r="I2349" t="s">
        <v>1438</v>
      </c>
      <c r="J2349" t="s">
        <v>906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3158</v>
      </c>
      <c r="B2350" t="s">
        <v>3159</v>
      </c>
      <c r="C2350" t="s">
        <v>1438</v>
      </c>
      <c r="D2350" t="s">
        <v>3150</v>
      </c>
      <c r="E2350" t="s">
        <v>3164</v>
      </c>
      <c r="F2350" t="s">
        <v>3161</v>
      </c>
      <c r="G2350" t="s">
        <v>3162</v>
      </c>
      <c r="H2350" t="s">
        <v>3163</v>
      </c>
      <c r="I2350" t="s">
        <v>1438</v>
      </c>
      <c r="J2350" t="s">
        <v>906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3158</v>
      </c>
      <c r="B2351" t="s">
        <v>3165</v>
      </c>
      <c r="C2351" t="s">
        <v>1438</v>
      </c>
      <c r="D2351" t="s">
        <v>3150</v>
      </c>
      <c r="E2351" t="s">
        <v>3166</v>
      </c>
      <c r="F2351" t="s">
        <v>3167</v>
      </c>
      <c r="G2351" t="s">
        <v>3162</v>
      </c>
      <c r="H2351" t="s">
        <v>3157</v>
      </c>
      <c r="I2351" t="s">
        <v>1438</v>
      </c>
      <c r="J2351" t="s">
        <v>429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3168</v>
      </c>
      <c r="B2352" t="s">
        <v>3169</v>
      </c>
      <c r="C2352" t="s">
        <v>368</v>
      </c>
      <c r="D2352" t="s">
        <v>3129</v>
      </c>
      <c r="E2352" t="s">
        <v>3170</v>
      </c>
      <c r="F2352" t="s">
        <v>3171</v>
      </c>
      <c r="G2352" t="s">
        <v>3168</v>
      </c>
      <c r="H2352" t="s">
        <v>458</v>
      </c>
      <c r="I2352" t="s">
        <v>374</v>
      </c>
      <c r="J2352" t="s">
        <v>429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3168</v>
      </c>
      <c r="B2353" t="s">
        <v>3169</v>
      </c>
      <c r="C2353" t="s">
        <v>368</v>
      </c>
      <c r="D2353" t="s">
        <v>3129</v>
      </c>
      <c r="E2353" t="s">
        <v>3172</v>
      </c>
      <c r="F2353" t="s">
        <v>3171</v>
      </c>
      <c r="G2353" t="s">
        <v>3168</v>
      </c>
      <c r="H2353" t="s">
        <v>458</v>
      </c>
      <c r="I2353" t="s">
        <v>374</v>
      </c>
      <c r="J2353" t="s">
        <v>429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3168</v>
      </c>
      <c r="B2354" t="s">
        <v>3169</v>
      </c>
      <c r="C2354" t="s">
        <v>368</v>
      </c>
      <c r="D2354" t="s">
        <v>3129</v>
      </c>
      <c r="E2354" t="s">
        <v>3173</v>
      </c>
      <c r="F2354" t="s">
        <v>3171</v>
      </c>
      <c r="G2354" t="s">
        <v>3168</v>
      </c>
      <c r="H2354" t="s">
        <v>458</v>
      </c>
      <c r="I2354" t="s">
        <v>374</v>
      </c>
      <c r="J2354" t="s">
        <v>429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3168</v>
      </c>
      <c r="B2355" t="s">
        <v>3169</v>
      </c>
      <c r="C2355" t="s">
        <v>368</v>
      </c>
      <c r="D2355" t="s">
        <v>3129</v>
      </c>
      <c r="E2355" t="s">
        <v>3174</v>
      </c>
      <c r="F2355" t="s">
        <v>3171</v>
      </c>
      <c r="G2355" t="s">
        <v>3168</v>
      </c>
      <c r="H2355" t="s">
        <v>458</v>
      </c>
      <c r="I2355" t="s">
        <v>374</v>
      </c>
      <c r="J2355" t="s">
        <v>429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3168</v>
      </c>
      <c r="B2356" t="s">
        <v>3169</v>
      </c>
      <c r="C2356" t="s">
        <v>368</v>
      </c>
      <c r="D2356" t="s">
        <v>3129</v>
      </c>
      <c r="E2356" t="s">
        <v>3175</v>
      </c>
      <c r="F2356" t="s">
        <v>3171</v>
      </c>
      <c r="G2356" t="s">
        <v>3168</v>
      </c>
      <c r="H2356" t="s">
        <v>458</v>
      </c>
      <c r="I2356" t="s">
        <v>374</v>
      </c>
      <c r="J2356" t="s">
        <v>429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3168</v>
      </c>
      <c r="B2357" t="s">
        <v>3169</v>
      </c>
      <c r="C2357" t="s">
        <v>368</v>
      </c>
      <c r="D2357" t="s">
        <v>3129</v>
      </c>
      <c r="E2357" t="s">
        <v>3176</v>
      </c>
      <c r="F2357" t="s">
        <v>3171</v>
      </c>
      <c r="G2357" t="s">
        <v>3168</v>
      </c>
      <c r="H2357" t="s">
        <v>458</v>
      </c>
      <c r="I2357" t="s">
        <v>374</v>
      </c>
      <c r="J2357" t="s">
        <v>429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3168</v>
      </c>
      <c r="B2358" t="s">
        <v>3169</v>
      </c>
      <c r="C2358" t="s">
        <v>368</v>
      </c>
      <c r="D2358" t="s">
        <v>3129</v>
      </c>
      <c r="E2358" t="s">
        <v>3177</v>
      </c>
      <c r="F2358" t="s">
        <v>3171</v>
      </c>
      <c r="G2358" t="s">
        <v>3168</v>
      </c>
      <c r="H2358" t="s">
        <v>458</v>
      </c>
      <c r="I2358" t="s">
        <v>374</v>
      </c>
      <c r="J2358" t="s">
        <v>429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3168</v>
      </c>
      <c r="B2359" t="s">
        <v>3169</v>
      </c>
      <c r="C2359" t="s">
        <v>368</v>
      </c>
      <c r="D2359" t="s">
        <v>3129</v>
      </c>
      <c r="E2359" t="s">
        <v>3178</v>
      </c>
      <c r="F2359" t="s">
        <v>3171</v>
      </c>
      <c r="G2359" t="s">
        <v>3168</v>
      </c>
      <c r="H2359" t="s">
        <v>458</v>
      </c>
      <c r="I2359" t="s">
        <v>374</v>
      </c>
      <c r="J2359" t="s">
        <v>429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3168</v>
      </c>
      <c r="B2360" t="s">
        <v>3169</v>
      </c>
      <c r="C2360" t="s">
        <v>368</v>
      </c>
      <c r="D2360" t="s">
        <v>3129</v>
      </c>
      <c r="E2360" t="s">
        <v>3179</v>
      </c>
      <c r="F2360" t="s">
        <v>3171</v>
      </c>
      <c r="G2360" t="s">
        <v>3168</v>
      </c>
      <c r="H2360" t="s">
        <v>458</v>
      </c>
      <c r="I2360" t="s">
        <v>374</v>
      </c>
      <c r="J2360" t="s">
        <v>429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3168</v>
      </c>
      <c r="B2361" t="s">
        <v>3169</v>
      </c>
      <c r="C2361" t="s">
        <v>368</v>
      </c>
      <c r="D2361" t="s">
        <v>3129</v>
      </c>
      <c r="E2361" t="s">
        <v>3180</v>
      </c>
      <c r="F2361" t="s">
        <v>3171</v>
      </c>
      <c r="G2361" t="s">
        <v>3168</v>
      </c>
      <c r="H2361" t="s">
        <v>458</v>
      </c>
      <c r="I2361" t="s">
        <v>374</v>
      </c>
      <c r="J2361" t="s">
        <v>429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3168</v>
      </c>
      <c r="B2362" t="s">
        <v>3169</v>
      </c>
      <c r="C2362" t="s">
        <v>368</v>
      </c>
      <c r="D2362" t="s">
        <v>3129</v>
      </c>
      <c r="E2362" t="s">
        <v>3181</v>
      </c>
      <c r="F2362" t="s">
        <v>3171</v>
      </c>
      <c r="G2362" t="s">
        <v>3168</v>
      </c>
      <c r="H2362" t="s">
        <v>458</v>
      </c>
      <c r="I2362" t="s">
        <v>374</v>
      </c>
      <c r="J2362" t="s">
        <v>429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3168</v>
      </c>
      <c r="B2363" t="s">
        <v>3169</v>
      </c>
      <c r="C2363" t="s">
        <v>609</v>
      </c>
      <c r="D2363" t="s">
        <v>3129</v>
      </c>
      <c r="E2363" t="s">
        <v>3182</v>
      </c>
      <c r="F2363" t="s">
        <v>3171</v>
      </c>
      <c r="G2363" t="s">
        <v>3168</v>
      </c>
      <c r="H2363" t="s">
        <v>458</v>
      </c>
      <c r="I2363" t="s">
        <v>374</v>
      </c>
      <c r="J2363" t="s">
        <v>429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3168</v>
      </c>
      <c r="B2364" t="s">
        <v>3169</v>
      </c>
      <c r="C2364" t="s">
        <v>609</v>
      </c>
      <c r="D2364" t="s">
        <v>3129</v>
      </c>
      <c r="E2364" t="s">
        <v>3183</v>
      </c>
      <c r="F2364" t="s">
        <v>3171</v>
      </c>
      <c r="G2364" t="s">
        <v>3168</v>
      </c>
      <c r="H2364" t="s">
        <v>458</v>
      </c>
      <c r="I2364" t="s">
        <v>374</v>
      </c>
      <c r="J2364" t="s">
        <v>429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3168</v>
      </c>
      <c r="B2365" t="s">
        <v>3169</v>
      </c>
      <c r="C2365" t="s">
        <v>609</v>
      </c>
      <c r="D2365" t="s">
        <v>3129</v>
      </c>
      <c r="E2365" t="s">
        <v>3184</v>
      </c>
      <c r="F2365" t="s">
        <v>3171</v>
      </c>
      <c r="G2365" t="s">
        <v>3168</v>
      </c>
      <c r="H2365" t="s">
        <v>458</v>
      </c>
      <c r="I2365" t="s">
        <v>374</v>
      </c>
      <c r="J2365" t="s">
        <v>429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3168</v>
      </c>
      <c r="B2366" t="s">
        <v>3169</v>
      </c>
      <c r="C2366" t="s">
        <v>609</v>
      </c>
      <c r="D2366" t="s">
        <v>3129</v>
      </c>
      <c r="E2366" t="s">
        <v>3185</v>
      </c>
      <c r="F2366" t="s">
        <v>3171</v>
      </c>
      <c r="G2366" t="s">
        <v>3168</v>
      </c>
      <c r="H2366" t="s">
        <v>458</v>
      </c>
      <c r="I2366" t="s">
        <v>374</v>
      </c>
      <c r="J2366" t="s">
        <v>429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3168</v>
      </c>
      <c r="B2367" t="s">
        <v>3169</v>
      </c>
      <c r="C2367" t="s">
        <v>368</v>
      </c>
      <c r="D2367" t="s">
        <v>3129</v>
      </c>
      <c r="E2367" t="s">
        <v>3186</v>
      </c>
      <c r="F2367" t="s">
        <v>3171</v>
      </c>
      <c r="G2367" t="s">
        <v>3168</v>
      </c>
      <c r="H2367" t="s">
        <v>458</v>
      </c>
      <c r="I2367" t="s">
        <v>374</v>
      </c>
      <c r="J2367" t="s">
        <v>429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3168</v>
      </c>
      <c r="B2368" t="s">
        <v>3169</v>
      </c>
      <c r="C2368" t="s">
        <v>368</v>
      </c>
      <c r="D2368" t="s">
        <v>3129</v>
      </c>
      <c r="E2368" t="s">
        <v>3187</v>
      </c>
      <c r="F2368" t="s">
        <v>3171</v>
      </c>
      <c r="G2368" t="s">
        <v>3168</v>
      </c>
      <c r="H2368" t="s">
        <v>458</v>
      </c>
      <c r="I2368" t="s">
        <v>374</v>
      </c>
      <c r="J2368" t="s">
        <v>429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3148</v>
      </c>
      <c r="B2369" t="s">
        <v>3188</v>
      </c>
      <c r="C2369" t="s">
        <v>368</v>
      </c>
      <c r="D2369" t="s">
        <v>3129</v>
      </c>
      <c r="E2369" t="s">
        <v>3189</v>
      </c>
      <c r="F2369" t="s">
        <v>3190</v>
      </c>
      <c r="G2369" t="s">
        <v>3153</v>
      </c>
      <c r="H2369" t="s">
        <v>3191</v>
      </c>
      <c r="I2369" t="s">
        <v>374</v>
      </c>
      <c r="J2369" t="s">
        <v>3192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3148</v>
      </c>
      <c r="B2370" t="s">
        <v>3188</v>
      </c>
      <c r="C2370" t="s">
        <v>368</v>
      </c>
      <c r="D2370" t="s">
        <v>3129</v>
      </c>
      <c r="E2370" t="s">
        <v>3193</v>
      </c>
      <c r="F2370" t="s">
        <v>3190</v>
      </c>
      <c r="G2370" t="s">
        <v>3153</v>
      </c>
      <c r="H2370" t="s">
        <v>3191</v>
      </c>
      <c r="I2370" t="s">
        <v>374</v>
      </c>
      <c r="J2370" t="s">
        <v>3192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3148</v>
      </c>
      <c r="B2371" t="s">
        <v>3188</v>
      </c>
      <c r="C2371" t="s">
        <v>368</v>
      </c>
      <c r="D2371" t="s">
        <v>3129</v>
      </c>
      <c r="E2371" t="s">
        <v>3194</v>
      </c>
      <c r="F2371" t="s">
        <v>3190</v>
      </c>
      <c r="G2371" t="s">
        <v>3153</v>
      </c>
      <c r="H2371" t="s">
        <v>3191</v>
      </c>
      <c r="I2371" t="s">
        <v>374</v>
      </c>
      <c r="J2371" t="s">
        <v>3192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3148</v>
      </c>
      <c r="B2372" t="s">
        <v>3188</v>
      </c>
      <c r="C2372" t="s">
        <v>368</v>
      </c>
      <c r="D2372" t="s">
        <v>3129</v>
      </c>
      <c r="E2372" t="s">
        <v>3195</v>
      </c>
      <c r="F2372" t="s">
        <v>3190</v>
      </c>
      <c r="G2372" t="s">
        <v>3153</v>
      </c>
      <c r="H2372" t="s">
        <v>3191</v>
      </c>
      <c r="I2372" t="s">
        <v>374</v>
      </c>
      <c r="J2372" t="s">
        <v>3192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3148</v>
      </c>
      <c r="B2373" t="s">
        <v>3188</v>
      </c>
      <c r="C2373" t="s">
        <v>368</v>
      </c>
      <c r="D2373" t="s">
        <v>3129</v>
      </c>
      <c r="E2373" t="s">
        <v>3196</v>
      </c>
      <c r="F2373" t="s">
        <v>3190</v>
      </c>
      <c r="G2373" t="s">
        <v>3153</v>
      </c>
      <c r="H2373" t="s">
        <v>3191</v>
      </c>
      <c r="I2373" t="s">
        <v>374</v>
      </c>
      <c r="J2373" t="s">
        <v>3192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3148</v>
      </c>
      <c r="B2374" t="s">
        <v>3188</v>
      </c>
      <c r="C2374" t="s">
        <v>368</v>
      </c>
      <c r="D2374" t="s">
        <v>3129</v>
      </c>
      <c r="E2374" t="s">
        <v>3197</v>
      </c>
      <c r="F2374" t="s">
        <v>3190</v>
      </c>
      <c r="G2374" t="s">
        <v>3153</v>
      </c>
      <c r="H2374" t="s">
        <v>3191</v>
      </c>
      <c r="I2374" t="s">
        <v>374</v>
      </c>
      <c r="J2374" t="s">
        <v>3192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3148</v>
      </c>
      <c r="B2375" t="s">
        <v>3188</v>
      </c>
      <c r="C2375" t="s">
        <v>368</v>
      </c>
      <c r="D2375" t="s">
        <v>3129</v>
      </c>
      <c r="E2375" t="s">
        <v>3198</v>
      </c>
      <c r="F2375" t="s">
        <v>3190</v>
      </c>
      <c r="G2375" t="s">
        <v>3153</v>
      </c>
      <c r="H2375" t="s">
        <v>3191</v>
      </c>
      <c r="I2375" t="s">
        <v>374</v>
      </c>
      <c r="J2375" t="s">
        <v>3192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3148</v>
      </c>
      <c r="B2376" t="s">
        <v>3188</v>
      </c>
      <c r="C2376" t="s">
        <v>368</v>
      </c>
      <c r="D2376" t="s">
        <v>3129</v>
      </c>
      <c r="E2376" t="s">
        <v>3199</v>
      </c>
      <c r="F2376" t="s">
        <v>3190</v>
      </c>
      <c r="G2376" t="s">
        <v>3153</v>
      </c>
      <c r="H2376" t="s">
        <v>3191</v>
      </c>
      <c r="I2376" t="s">
        <v>374</v>
      </c>
      <c r="J2376" t="s">
        <v>3192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3148</v>
      </c>
      <c r="B2377" t="s">
        <v>3188</v>
      </c>
      <c r="C2377" t="s">
        <v>368</v>
      </c>
      <c r="D2377" t="s">
        <v>3129</v>
      </c>
      <c r="E2377" t="s">
        <v>3200</v>
      </c>
      <c r="F2377" t="s">
        <v>3190</v>
      </c>
      <c r="G2377" t="s">
        <v>3153</v>
      </c>
      <c r="H2377" t="s">
        <v>3191</v>
      </c>
      <c r="I2377" t="s">
        <v>374</v>
      </c>
      <c r="J2377" t="s">
        <v>3192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3148</v>
      </c>
      <c r="B2378" t="s">
        <v>3188</v>
      </c>
      <c r="C2378" t="s">
        <v>609</v>
      </c>
      <c r="D2378" t="s">
        <v>3129</v>
      </c>
      <c r="E2378" t="s">
        <v>3201</v>
      </c>
      <c r="F2378" t="s">
        <v>3190</v>
      </c>
      <c r="G2378" t="s">
        <v>3153</v>
      </c>
      <c r="H2378" t="s">
        <v>3191</v>
      </c>
      <c r="I2378" t="s">
        <v>374</v>
      </c>
      <c r="J2378" t="s">
        <v>3192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3148</v>
      </c>
      <c r="B2379" t="s">
        <v>3188</v>
      </c>
      <c r="C2379" t="s">
        <v>609</v>
      </c>
      <c r="D2379" t="s">
        <v>3129</v>
      </c>
      <c r="E2379" t="s">
        <v>3202</v>
      </c>
      <c r="F2379" t="s">
        <v>3190</v>
      </c>
      <c r="G2379" t="s">
        <v>3153</v>
      </c>
      <c r="H2379" t="s">
        <v>3191</v>
      </c>
      <c r="I2379" t="s">
        <v>374</v>
      </c>
      <c r="J2379" t="s">
        <v>3192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3148</v>
      </c>
      <c r="B2380" t="s">
        <v>3188</v>
      </c>
      <c r="C2380" t="s">
        <v>609</v>
      </c>
      <c r="D2380" t="s">
        <v>3129</v>
      </c>
      <c r="E2380" t="s">
        <v>3203</v>
      </c>
      <c r="F2380" t="s">
        <v>3190</v>
      </c>
      <c r="G2380" t="s">
        <v>3153</v>
      </c>
      <c r="H2380" t="s">
        <v>3191</v>
      </c>
      <c r="I2380" t="s">
        <v>374</v>
      </c>
      <c r="J2380" t="s">
        <v>3192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3148</v>
      </c>
      <c r="B2381" t="s">
        <v>3188</v>
      </c>
      <c r="C2381" t="s">
        <v>609</v>
      </c>
      <c r="D2381" t="s">
        <v>3129</v>
      </c>
      <c r="E2381" t="s">
        <v>3204</v>
      </c>
      <c r="F2381" t="s">
        <v>3190</v>
      </c>
      <c r="G2381" t="s">
        <v>3153</v>
      </c>
      <c r="H2381" t="s">
        <v>3191</v>
      </c>
      <c r="I2381" t="s">
        <v>374</v>
      </c>
      <c r="J2381" t="s">
        <v>3192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3148</v>
      </c>
      <c r="B2382" t="s">
        <v>3188</v>
      </c>
      <c r="C2382" t="s">
        <v>368</v>
      </c>
      <c r="D2382" t="s">
        <v>3129</v>
      </c>
      <c r="E2382" t="s">
        <v>3205</v>
      </c>
      <c r="F2382" t="s">
        <v>3190</v>
      </c>
      <c r="G2382" t="s">
        <v>3153</v>
      </c>
      <c r="H2382" t="s">
        <v>3191</v>
      </c>
      <c r="I2382" t="s">
        <v>374</v>
      </c>
      <c r="J2382" t="s">
        <v>3192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3148</v>
      </c>
      <c r="B2383" t="s">
        <v>3188</v>
      </c>
      <c r="C2383" t="s">
        <v>368</v>
      </c>
      <c r="D2383" t="s">
        <v>3129</v>
      </c>
      <c r="E2383" t="s">
        <v>3206</v>
      </c>
      <c r="F2383" t="s">
        <v>3190</v>
      </c>
      <c r="G2383" t="s">
        <v>3153</v>
      </c>
      <c r="H2383" t="s">
        <v>3191</v>
      </c>
      <c r="I2383" t="s">
        <v>374</v>
      </c>
      <c r="J2383" t="s">
        <v>3192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3148</v>
      </c>
      <c r="B2384" t="s">
        <v>3149</v>
      </c>
      <c r="C2384" t="s">
        <v>368</v>
      </c>
      <c r="D2384" t="s">
        <v>3129</v>
      </c>
      <c r="E2384" t="s">
        <v>299</v>
      </c>
      <c r="F2384" t="s">
        <v>3207</v>
      </c>
      <c r="G2384" t="s">
        <v>3153</v>
      </c>
      <c r="H2384" t="s">
        <v>3191</v>
      </c>
      <c r="I2384" t="s">
        <v>374</v>
      </c>
      <c r="J2384" t="s">
        <v>722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3148</v>
      </c>
      <c r="B2385" t="s">
        <v>3149</v>
      </c>
      <c r="C2385" t="s">
        <v>368</v>
      </c>
      <c r="D2385" t="s">
        <v>3129</v>
      </c>
      <c r="E2385" t="s">
        <v>300</v>
      </c>
      <c r="F2385" t="s">
        <v>3207</v>
      </c>
      <c r="G2385" t="s">
        <v>3153</v>
      </c>
      <c r="H2385" t="s">
        <v>3191</v>
      </c>
      <c r="I2385" t="s">
        <v>374</v>
      </c>
      <c r="J2385" t="s">
        <v>722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3148</v>
      </c>
      <c r="B2386" t="s">
        <v>3149</v>
      </c>
      <c r="C2386" t="s">
        <v>368</v>
      </c>
      <c r="D2386" t="s">
        <v>3129</v>
      </c>
      <c r="E2386" t="s">
        <v>3208</v>
      </c>
      <c r="F2386" t="s">
        <v>3207</v>
      </c>
      <c r="G2386" t="s">
        <v>3153</v>
      </c>
      <c r="H2386" t="s">
        <v>3191</v>
      </c>
      <c r="I2386" t="s">
        <v>374</v>
      </c>
      <c r="J2386" t="s">
        <v>722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3148</v>
      </c>
      <c r="B2387" t="s">
        <v>3149</v>
      </c>
      <c r="C2387" t="s">
        <v>368</v>
      </c>
      <c r="D2387" t="s">
        <v>3129</v>
      </c>
      <c r="E2387" t="s">
        <v>301</v>
      </c>
      <c r="F2387" t="s">
        <v>3207</v>
      </c>
      <c r="G2387" t="s">
        <v>3153</v>
      </c>
      <c r="H2387" t="s">
        <v>3191</v>
      </c>
      <c r="I2387" t="s">
        <v>374</v>
      </c>
      <c r="J2387" t="s">
        <v>722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3148</v>
      </c>
      <c r="B2388" t="s">
        <v>3149</v>
      </c>
      <c r="C2388" t="s">
        <v>368</v>
      </c>
      <c r="D2388" t="s">
        <v>3129</v>
      </c>
      <c r="E2388" t="s">
        <v>3209</v>
      </c>
      <c r="F2388" t="s">
        <v>3207</v>
      </c>
      <c r="G2388" t="s">
        <v>3153</v>
      </c>
      <c r="H2388" t="s">
        <v>3191</v>
      </c>
      <c r="I2388" t="s">
        <v>374</v>
      </c>
      <c r="J2388" t="s">
        <v>722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3148</v>
      </c>
      <c r="B2389" t="s">
        <v>3149</v>
      </c>
      <c r="C2389" t="s">
        <v>368</v>
      </c>
      <c r="D2389" t="s">
        <v>3129</v>
      </c>
      <c r="E2389" t="s">
        <v>3210</v>
      </c>
      <c r="F2389" t="s">
        <v>3207</v>
      </c>
      <c r="G2389" t="s">
        <v>3153</v>
      </c>
      <c r="H2389" t="s">
        <v>3191</v>
      </c>
      <c r="I2389" t="s">
        <v>374</v>
      </c>
      <c r="J2389" t="s">
        <v>722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3148</v>
      </c>
      <c r="B2390" t="s">
        <v>3149</v>
      </c>
      <c r="C2390" t="s">
        <v>368</v>
      </c>
      <c r="D2390" t="s">
        <v>3129</v>
      </c>
      <c r="E2390" t="s">
        <v>3211</v>
      </c>
      <c r="F2390" t="s">
        <v>3207</v>
      </c>
      <c r="G2390" t="s">
        <v>3153</v>
      </c>
      <c r="H2390" t="s">
        <v>3191</v>
      </c>
      <c r="I2390" t="s">
        <v>374</v>
      </c>
      <c r="J2390" t="s">
        <v>722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3148</v>
      </c>
      <c r="B2391" t="s">
        <v>3149</v>
      </c>
      <c r="C2391" t="s">
        <v>368</v>
      </c>
      <c r="D2391" t="s">
        <v>3129</v>
      </c>
      <c r="E2391" t="s">
        <v>3212</v>
      </c>
      <c r="F2391" t="s">
        <v>3207</v>
      </c>
      <c r="G2391" t="s">
        <v>3153</v>
      </c>
      <c r="H2391" t="s">
        <v>3191</v>
      </c>
      <c r="I2391" t="s">
        <v>374</v>
      </c>
      <c r="J2391" t="s">
        <v>722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3148</v>
      </c>
      <c r="B2392" t="s">
        <v>3149</v>
      </c>
      <c r="C2392" t="s">
        <v>368</v>
      </c>
      <c r="D2392" t="s">
        <v>3129</v>
      </c>
      <c r="E2392" t="s">
        <v>3213</v>
      </c>
      <c r="F2392" t="s">
        <v>3207</v>
      </c>
      <c r="G2392" t="s">
        <v>3153</v>
      </c>
      <c r="H2392" t="s">
        <v>3191</v>
      </c>
      <c r="I2392" t="s">
        <v>374</v>
      </c>
      <c r="J2392" t="s">
        <v>722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3148</v>
      </c>
      <c r="B2393" t="s">
        <v>3149</v>
      </c>
      <c r="C2393" t="s">
        <v>609</v>
      </c>
      <c r="D2393" t="s">
        <v>3129</v>
      </c>
      <c r="E2393" t="s">
        <v>3214</v>
      </c>
      <c r="F2393" t="s">
        <v>3207</v>
      </c>
      <c r="G2393" t="s">
        <v>3153</v>
      </c>
      <c r="H2393" t="s">
        <v>3191</v>
      </c>
      <c r="I2393" t="s">
        <v>374</v>
      </c>
      <c r="J2393" t="s">
        <v>722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3148</v>
      </c>
      <c r="B2394" t="s">
        <v>3149</v>
      </c>
      <c r="C2394" t="s">
        <v>609</v>
      </c>
      <c r="D2394" t="s">
        <v>3129</v>
      </c>
      <c r="E2394" t="s">
        <v>3215</v>
      </c>
      <c r="F2394" t="s">
        <v>3207</v>
      </c>
      <c r="G2394" t="s">
        <v>3153</v>
      </c>
      <c r="H2394" t="s">
        <v>3191</v>
      </c>
      <c r="I2394" t="s">
        <v>374</v>
      </c>
      <c r="J2394" t="s">
        <v>722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3148</v>
      </c>
      <c r="B2395" t="s">
        <v>3149</v>
      </c>
      <c r="C2395" t="s">
        <v>609</v>
      </c>
      <c r="D2395" t="s">
        <v>3129</v>
      </c>
      <c r="E2395" t="s">
        <v>295</v>
      </c>
      <c r="F2395" t="s">
        <v>3207</v>
      </c>
      <c r="G2395" t="s">
        <v>3153</v>
      </c>
      <c r="H2395" t="s">
        <v>3191</v>
      </c>
      <c r="I2395" t="s">
        <v>374</v>
      </c>
      <c r="J2395" t="s">
        <v>722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3148</v>
      </c>
      <c r="B2396" t="s">
        <v>3149</v>
      </c>
      <c r="C2396" t="s">
        <v>609</v>
      </c>
      <c r="D2396" t="s">
        <v>3129</v>
      </c>
      <c r="E2396" t="s">
        <v>296</v>
      </c>
      <c r="F2396" t="s">
        <v>3207</v>
      </c>
      <c r="G2396" t="s">
        <v>3153</v>
      </c>
      <c r="H2396" t="s">
        <v>3191</v>
      </c>
      <c r="I2396" t="s">
        <v>374</v>
      </c>
      <c r="J2396" t="s">
        <v>722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3148</v>
      </c>
      <c r="B2397" t="s">
        <v>3149</v>
      </c>
      <c r="C2397" t="s">
        <v>368</v>
      </c>
      <c r="D2397" t="s">
        <v>3129</v>
      </c>
      <c r="E2397" t="s">
        <v>297</v>
      </c>
      <c r="F2397" t="s">
        <v>3207</v>
      </c>
      <c r="G2397" t="s">
        <v>3153</v>
      </c>
      <c r="H2397" t="s">
        <v>3191</v>
      </c>
      <c r="I2397" t="s">
        <v>374</v>
      </c>
      <c r="J2397" t="s">
        <v>722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3148</v>
      </c>
      <c r="B2398" t="s">
        <v>3149</v>
      </c>
      <c r="C2398" t="s">
        <v>368</v>
      </c>
      <c r="D2398" t="s">
        <v>3129</v>
      </c>
      <c r="E2398" t="s">
        <v>298</v>
      </c>
      <c r="F2398" t="s">
        <v>3207</v>
      </c>
      <c r="G2398" t="s">
        <v>3153</v>
      </c>
      <c r="H2398" t="s">
        <v>3191</v>
      </c>
      <c r="I2398" t="s">
        <v>374</v>
      </c>
      <c r="J2398" t="s">
        <v>722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3148</v>
      </c>
      <c r="B2399" t="s">
        <v>3216</v>
      </c>
      <c r="C2399" t="s">
        <v>368</v>
      </c>
      <c r="D2399" t="s">
        <v>3129</v>
      </c>
      <c r="E2399" t="s">
        <v>3217</v>
      </c>
      <c r="F2399" t="s">
        <v>3218</v>
      </c>
      <c r="G2399" t="s">
        <v>3153</v>
      </c>
      <c r="H2399" t="s">
        <v>3191</v>
      </c>
      <c r="I2399" t="s">
        <v>374</v>
      </c>
      <c r="J2399" t="s">
        <v>3219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3148</v>
      </c>
      <c r="B2400" t="s">
        <v>3216</v>
      </c>
      <c r="C2400" t="s">
        <v>368</v>
      </c>
      <c r="D2400" t="s">
        <v>3129</v>
      </c>
      <c r="E2400" t="s">
        <v>3220</v>
      </c>
      <c r="F2400" t="s">
        <v>3218</v>
      </c>
      <c r="G2400" t="s">
        <v>3153</v>
      </c>
      <c r="H2400" t="s">
        <v>3191</v>
      </c>
      <c r="I2400" t="s">
        <v>374</v>
      </c>
      <c r="J2400" t="s">
        <v>3219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3148</v>
      </c>
      <c r="B2401" t="s">
        <v>3216</v>
      </c>
      <c r="C2401" t="s">
        <v>368</v>
      </c>
      <c r="D2401" t="s">
        <v>3129</v>
      </c>
      <c r="E2401" t="s">
        <v>3221</v>
      </c>
      <c r="F2401" t="s">
        <v>3218</v>
      </c>
      <c r="G2401" t="s">
        <v>3153</v>
      </c>
      <c r="H2401" t="s">
        <v>3191</v>
      </c>
      <c r="I2401" t="s">
        <v>374</v>
      </c>
      <c r="J2401" t="s">
        <v>3219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3148</v>
      </c>
      <c r="B2402" t="s">
        <v>3216</v>
      </c>
      <c r="C2402" t="s">
        <v>368</v>
      </c>
      <c r="D2402" t="s">
        <v>3129</v>
      </c>
      <c r="E2402" t="s">
        <v>3222</v>
      </c>
      <c r="F2402" t="s">
        <v>3218</v>
      </c>
      <c r="G2402" t="s">
        <v>3153</v>
      </c>
      <c r="H2402" t="s">
        <v>3191</v>
      </c>
      <c r="I2402" t="s">
        <v>374</v>
      </c>
      <c r="J2402" t="s">
        <v>3219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3148</v>
      </c>
      <c r="B2403" t="s">
        <v>3216</v>
      </c>
      <c r="C2403" t="s">
        <v>368</v>
      </c>
      <c r="D2403" t="s">
        <v>3129</v>
      </c>
      <c r="E2403" t="s">
        <v>3223</v>
      </c>
      <c r="F2403" t="s">
        <v>3218</v>
      </c>
      <c r="G2403" t="s">
        <v>3153</v>
      </c>
      <c r="H2403" t="s">
        <v>3191</v>
      </c>
      <c r="I2403" t="s">
        <v>374</v>
      </c>
      <c r="J2403" t="s">
        <v>3219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3148</v>
      </c>
      <c r="B2404" t="s">
        <v>3216</v>
      </c>
      <c r="C2404" t="s">
        <v>368</v>
      </c>
      <c r="D2404" t="s">
        <v>3129</v>
      </c>
      <c r="E2404" t="s">
        <v>3224</v>
      </c>
      <c r="F2404" t="s">
        <v>3218</v>
      </c>
      <c r="G2404" t="s">
        <v>3153</v>
      </c>
      <c r="H2404" t="s">
        <v>3191</v>
      </c>
      <c r="I2404" t="s">
        <v>374</v>
      </c>
      <c r="J2404" t="s">
        <v>3219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3148</v>
      </c>
      <c r="B2405" t="s">
        <v>3216</v>
      </c>
      <c r="C2405" t="s">
        <v>368</v>
      </c>
      <c r="D2405" t="s">
        <v>3129</v>
      </c>
      <c r="E2405" t="s">
        <v>3225</v>
      </c>
      <c r="F2405" t="s">
        <v>3218</v>
      </c>
      <c r="G2405" t="s">
        <v>3153</v>
      </c>
      <c r="H2405" t="s">
        <v>3191</v>
      </c>
      <c r="I2405" t="s">
        <v>374</v>
      </c>
      <c r="J2405" t="s">
        <v>3219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3148</v>
      </c>
      <c r="B2406" t="s">
        <v>3216</v>
      </c>
      <c r="C2406" t="s">
        <v>368</v>
      </c>
      <c r="D2406" t="s">
        <v>3129</v>
      </c>
      <c r="E2406" t="s">
        <v>3226</v>
      </c>
      <c r="F2406" t="s">
        <v>3218</v>
      </c>
      <c r="G2406" t="s">
        <v>3153</v>
      </c>
      <c r="H2406" t="s">
        <v>3191</v>
      </c>
      <c r="I2406" t="s">
        <v>374</v>
      </c>
      <c r="J2406" t="s">
        <v>3219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3148</v>
      </c>
      <c r="B2407" t="s">
        <v>3216</v>
      </c>
      <c r="C2407" t="s">
        <v>368</v>
      </c>
      <c r="D2407" t="s">
        <v>3129</v>
      </c>
      <c r="E2407" t="s">
        <v>3227</v>
      </c>
      <c r="F2407" t="s">
        <v>3218</v>
      </c>
      <c r="G2407" t="s">
        <v>3153</v>
      </c>
      <c r="H2407" t="s">
        <v>3191</v>
      </c>
      <c r="I2407" t="s">
        <v>374</v>
      </c>
      <c r="J2407" t="s">
        <v>3219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3148</v>
      </c>
      <c r="B2408" t="s">
        <v>3216</v>
      </c>
      <c r="C2408" t="s">
        <v>609</v>
      </c>
      <c r="D2408" t="s">
        <v>3129</v>
      </c>
      <c r="E2408" t="s">
        <v>3228</v>
      </c>
      <c r="F2408" t="s">
        <v>3218</v>
      </c>
      <c r="G2408" t="s">
        <v>3153</v>
      </c>
      <c r="H2408" t="s">
        <v>3191</v>
      </c>
      <c r="I2408" t="s">
        <v>374</v>
      </c>
      <c r="J2408" t="s">
        <v>3219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3148</v>
      </c>
      <c r="B2409" t="s">
        <v>3216</v>
      </c>
      <c r="C2409" t="s">
        <v>609</v>
      </c>
      <c r="D2409" t="s">
        <v>3129</v>
      </c>
      <c r="E2409" t="s">
        <v>3229</v>
      </c>
      <c r="F2409" t="s">
        <v>3218</v>
      </c>
      <c r="G2409" t="s">
        <v>3153</v>
      </c>
      <c r="H2409" t="s">
        <v>3191</v>
      </c>
      <c r="I2409" t="s">
        <v>374</v>
      </c>
      <c r="J2409" t="s">
        <v>3219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3148</v>
      </c>
      <c r="B2410" t="s">
        <v>3216</v>
      </c>
      <c r="C2410" t="s">
        <v>609</v>
      </c>
      <c r="D2410" t="s">
        <v>3129</v>
      </c>
      <c r="E2410" t="s">
        <v>3230</v>
      </c>
      <c r="F2410" t="s">
        <v>3218</v>
      </c>
      <c r="G2410" t="s">
        <v>3153</v>
      </c>
      <c r="H2410" t="s">
        <v>3191</v>
      </c>
      <c r="I2410" t="s">
        <v>374</v>
      </c>
      <c r="J2410" t="s">
        <v>3219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3148</v>
      </c>
      <c r="B2411" t="s">
        <v>3216</v>
      </c>
      <c r="C2411" t="s">
        <v>609</v>
      </c>
      <c r="D2411" t="s">
        <v>3129</v>
      </c>
      <c r="E2411" t="s">
        <v>3231</v>
      </c>
      <c r="F2411" t="s">
        <v>3218</v>
      </c>
      <c r="G2411" t="s">
        <v>3153</v>
      </c>
      <c r="H2411" t="s">
        <v>3191</v>
      </c>
      <c r="I2411" t="s">
        <v>374</v>
      </c>
      <c r="J2411" t="s">
        <v>3219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3148</v>
      </c>
      <c r="B2412" t="s">
        <v>3216</v>
      </c>
      <c r="C2412" t="s">
        <v>368</v>
      </c>
      <c r="D2412" t="s">
        <v>3129</v>
      </c>
      <c r="E2412" t="s">
        <v>3232</v>
      </c>
      <c r="F2412" t="s">
        <v>3218</v>
      </c>
      <c r="G2412" t="s">
        <v>3153</v>
      </c>
      <c r="H2412" t="s">
        <v>3191</v>
      </c>
      <c r="I2412" t="s">
        <v>374</v>
      </c>
      <c r="J2412" t="s">
        <v>3219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3148</v>
      </c>
      <c r="B2413" t="s">
        <v>3216</v>
      </c>
      <c r="C2413" t="s">
        <v>368</v>
      </c>
      <c r="D2413" t="s">
        <v>3129</v>
      </c>
      <c r="E2413" t="s">
        <v>3233</v>
      </c>
      <c r="F2413" t="s">
        <v>3218</v>
      </c>
      <c r="G2413" t="s">
        <v>3153</v>
      </c>
      <c r="H2413" t="s">
        <v>3191</v>
      </c>
      <c r="I2413" t="s">
        <v>374</v>
      </c>
      <c r="J2413" t="s">
        <v>3219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3148</v>
      </c>
      <c r="B2414" t="s">
        <v>3234</v>
      </c>
      <c r="C2414" t="s">
        <v>368</v>
      </c>
      <c r="D2414" t="s">
        <v>3129</v>
      </c>
      <c r="E2414" t="s">
        <v>54</v>
      </c>
      <c r="F2414" t="s">
        <v>3235</v>
      </c>
      <c r="G2414" t="s">
        <v>3153</v>
      </c>
      <c r="H2414" t="s">
        <v>3191</v>
      </c>
      <c r="I2414" t="s">
        <v>374</v>
      </c>
      <c r="J2414" t="s">
        <v>386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3148</v>
      </c>
      <c r="B2415" t="s">
        <v>3234</v>
      </c>
      <c r="C2415" t="s">
        <v>368</v>
      </c>
      <c r="D2415" t="s">
        <v>3129</v>
      </c>
      <c r="E2415" t="s">
        <v>3236</v>
      </c>
      <c r="F2415" t="s">
        <v>3235</v>
      </c>
      <c r="G2415" t="s">
        <v>3153</v>
      </c>
      <c r="H2415" t="s">
        <v>3191</v>
      </c>
      <c r="I2415" t="s">
        <v>374</v>
      </c>
      <c r="J2415" t="s">
        <v>386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3148</v>
      </c>
      <c r="B2416" t="s">
        <v>3234</v>
      </c>
      <c r="C2416" t="s">
        <v>368</v>
      </c>
      <c r="D2416" t="s">
        <v>3129</v>
      </c>
      <c r="E2416" t="s">
        <v>3237</v>
      </c>
      <c r="F2416" t="s">
        <v>3235</v>
      </c>
      <c r="G2416" t="s">
        <v>3153</v>
      </c>
      <c r="H2416" t="s">
        <v>3191</v>
      </c>
      <c r="I2416" t="s">
        <v>374</v>
      </c>
      <c r="J2416" t="s">
        <v>386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3148</v>
      </c>
      <c r="B2417" t="s">
        <v>3234</v>
      </c>
      <c r="C2417" t="s">
        <v>368</v>
      </c>
      <c r="D2417" t="s">
        <v>3129</v>
      </c>
      <c r="E2417" t="s">
        <v>3238</v>
      </c>
      <c r="F2417" t="s">
        <v>3235</v>
      </c>
      <c r="G2417" t="s">
        <v>3153</v>
      </c>
      <c r="H2417" t="s">
        <v>3191</v>
      </c>
      <c r="I2417" t="s">
        <v>374</v>
      </c>
      <c r="J2417" t="s">
        <v>386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3148</v>
      </c>
      <c r="B2418" t="s">
        <v>3234</v>
      </c>
      <c r="C2418" t="s">
        <v>368</v>
      </c>
      <c r="D2418" t="s">
        <v>3129</v>
      </c>
      <c r="E2418" t="s">
        <v>3239</v>
      </c>
      <c r="F2418" t="s">
        <v>3235</v>
      </c>
      <c r="G2418" t="s">
        <v>3153</v>
      </c>
      <c r="H2418" t="s">
        <v>3191</v>
      </c>
      <c r="I2418" t="s">
        <v>374</v>
      </c>
      <c r="J2418" t="s">
        <v>386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3148</v>
      </c>
      <c r="B2419" t="s">
        <v>3234</v>
      </c>
      <c r="C2419" t="s">
        <v>368</v>
      </c>
      <c r="D2419" t="s">
        <v>3129</v>
      </c>
      <c r="E2419" t="s">
        <v>3240</v>
      </c>
      <c r="F2419" t="s">
        <v>3235</v>
      </c>
      <c r="G2419" t="s">
        <v>3153</v>
      </c>
      <c r="H2419" t="s">
        <v>3191</v>
      </c>
      <c r="I2419" t="s">
        <v>374</v>
      </c>
      <c r="J2419" t="s">
        <v>386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3148</v>
      </c>
      <c r="B2420" t="s">
        <v>3234</v>
      </c>
      <c r="C2420" t="s">
        <v>368</v>
      </c>
      <c r="D2420" t="s">
        <v>3129</v>
      </c>
      <c r="E2420" t="s">
        <v>3241</v>
      </c>
      <c r="F2420" t="s">
        <v>3235</v>
      </c>
      <c r="G2420" t="s">
        <v>3153</v>
      </c>
      <c r="H2420" t="s">
        <v>3191</v>
      </c>
      <c r="I2420" t="s">
        <v>374</v>
      </c>
      <c r="J2420" t="s">
        <v>386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3148</v>
      </c>
      <c r="B2421" t="s">
        <v>3234</v>
      </c>
      <c r="C2421" t="s">
        <v>368</v>
      </c>
      <c r="D2421" t="s">
        <v>3129</v>
      </c>
      <c r="E2421" t="s">
        <v>3242</v>
      </c>
      <c r="F2421" t="s">
        <v>3235</v>
      </c>
      <c r="G2421" t="s">
        <v>3153</v>
      </c>
      <c r="H2421" t="s">
        <v>3191</v>
      </c>
      <c r="I2421" t="s">
        <v>374</v>
      </c>
      <c r="J2421" t="s">
        <v>386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3148</v>
      </c>
      <c r="B2422" t="s">
        <v>3234</v>
      </c>
      <c r="C2422" t="s">
        <v>368</v>
      </c>
      <c r="D2422" t="s">
        <v>3129</v>
      </c>
      <c r="E2422" t="s">
        <v>3243</v>
      </c>
      <c r="F2422" t="s">
        <v>3235</v>
      </c>
      <c r="G2422" t="s">
        <v>3153</v>
      </c>
      <c r="H2422" t="s">
        <v>3191</v>
      </c>
      <c r="I2422" t="s">
        <v>374</v>
      </c>
      <c r="J2422" t="s">
        <v>386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3148</v>
      </c>
      <c r="B2423" t="s">
        <v>3234</v>
      </c>
      <c r="C2423" t="s">
        <v>609</v>
      </c>
      <c r="D2423" t="s">
        <v>3129</v>
      </c>
      <c r="E2423" t="s">
        <v>3244</v>
      </c>
      <c r="F2423" t="s">
        <v>3235</v>
      </c>
      <c r="G2423" t="s">
        <v>3153</v>
      </c>
      <c r="H2423" t="s">
        <v>3191</v>
      </c>
      <c r="I2423" t="s">
        <v>374</v>
      </c>
      <c r="J2423" t="s">
        <v>386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3148</v>
      </c>
      <c r="B2424" t="s">
        <v>3234</v>
      </c>
      <c r="C2424" t="s">
        <v>609</v>
      </c>
      <c r="D2424" t="s">
        <v>3129</v>
      </c>
      <c r="E2424" t="s">
        <v>3245</v>
      </c>
      <c r="F2424" t="s">
        <v>3235</v>
      </c>
      <c r="G2424" t="s">
        <v>3153</v>
      </c>
      <c r="H2424" t="s">
        <v>3191</v>
      </c>
      <c r="I2424" t="s">
        <v>374</v>
      </c>
      <c r="J2424" t="s">
        <v>386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3148</v>
      </c>
      <c r="B2425" t="s">
        <v>3234</v>
      </c>
      <c r="C2425" t="s">
        <v>609</v>
      </c>
      <c r="D2425" t="s">
        <v>3129</v>
      </c>
      <c r="E2425" t="s">
        <v>101</v>
      </c>
      <c r="F2425" t="s">
        <v>3235</v>
      </c>
      <c r="G2425" t="s">
        <v>3153</v>
      </c>
      <c r="H2425" t="s">
        <v>3191</v>
      </c>
      <c r="I2425" t="s">
        <v>374</v>
      </c>
      <c r="J2425" t="s">
        <v>386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3148</v>
      </c>
      <c r="B2426" t="s">
        <v>3234</v>
      </c>
      <c r="C2426" t="s">
        <v>609</v>
      </c>
      <c r="D2426" t="s">
        <v>3129</v>
      </c>
      <c r="E2426" t="s">
        <v>102</v>
      </c>
      <c r="F2426" t="s">
        <v>3235</v>
      </c>
      <c r="G2426" t="s">
        <v>3153</v>
      </c>
      <c r="H2426" t="s">
        <v>3191</v>
      </c>
      <c r="I2426" t="s">
        <v>374</v>
      </c>
      <c r="J2426" t="s">
        <v>386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3148</v>
      </c>
      <c r="B2427" t="s">
        <v>3234</v>
      </c>
      <c r="C2427" t="s">
        <v>368</v>
      </c>
      <c r="D2427" t="s">
        <v>3129</v>
      </c>
      <c r="E2427" t="s">
        <v>52</v>
      </c>
      <c r="F2427" t="s">
        <v>3235</v>
      </c>
      <c r="G2427" t="s">
        <v>3153</v>
      </c>
      <c r="H2427" t="s">
        <v>3191</v>
      </c>
      <c r="I2427" t="s">
        <v>374</v>
      </c>
      <c r="J2427" t="s">
        <v>386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3148</v>
      </c>
      <c r="B2428" t="s">
        <v>3234</v>
      </c>
      <c r="C2428" t="s">
        <v>368</v>
      </c>
      <c r="D2428" t="s">
        <v>3129</v>
      </c>
      <c r="E2428" t="s">
        <v>53</v>
      </c>
      <c r="F2428" t="s">
        <v>3235</v>
      </c>
      <c r="G2428" t="s">
        <v>3153</v>
      </c>
      <c r="H2428" t="s">
        <v>3191</v>
      </c>
      <c r="I2428" t="s">
        <v>374</v>
      </c>
      <c r="J2428" t="s">
        <v>386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3148</v>
      </c>
      <c r="B2429" t="s">
        <v>3246</v>
      </c>
      <c r="C2429" t="s">
        <v>368</v>
      </c>
      <c r="D2429" t="s">
        <v>3129</v>
      </c>
      <c r="E2429" t="s">
        <v>3247</v>
      </c>
      <c r="F2429" t="s">
        <v>3248</v>
      </c>
      <c r="G2429" t="s">
        <v>3153</v>
      </c>
      <c r="H2429" t="s">
        <v>458</v>
      </c>
      <c r="I2429" t="s">
        <v>374</v>
      </c>
      <c r="J2429" t="s">
        <v>1444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3148</v>
      </c>
      <c r="B2430" t="s">
        <v>3246</v>
      </c>
      <c r="C2430" t="s">
        <v>368</v>
      </c>
      <c r="D2430" t="s">
        <v>3129</v>
      </c>
      <c r="E2430" t="s">
        <v>3249</v>
      </c>
      <c r="F2430" t="s">
        <v>3248</v>
      </c>
      <c r="G2430" t="s">
        <v>3153</v>
      </c>
      <c r="H2430" t="s">
        <v>458</v>
      </c>
      <c r="I2430" t="s">
        <v>374</v>
      </c>
      <c r="J2430" t="s">
        <v>1444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3148</v>
      </c>
      <c r="B2431" t="s">
        <v>3246</v>
      </c>
      <c r="C2431" t="s">
        <v>368</v>
      </c>
      <c r="D2431" t="s">
        <v>3129</v>
      </c>
      <c r="E2431" t="s">
        <v>3250</v>
      </c>
      <c r="F2431" t="s">
        <v>3248</v>
      </c>
      <c r="G2431" t="s">
        <v>3153</v>
      </c>
      <c r="H2431" t="s">
        <v>458</v>
      </c>
      <c r="I2431" t="s">
        <v>374</v>
      </c>
      <c r="J2431" t="s">
        <v>1444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3148</v>
      </c>
      <c r="B2432" t="s">
        <v>3246</v>
      </c>
      <c r="C2432" t="s">
        <v>368</v>
      </c>
      <c r="D2432" t="s">
        <v>3129</v>
      </c>
      <c r="E2432" t="s">
        <v>3251</v>
      </c>
      <c r="F2432" t="s">
        <v>3248</v>
      </c>
      <c r="G2432" t="s">
        <v>3153</v>
      </c>
      <c r="H2432" t="s">
        <v>458</v>
      </c>
      <c r="I2432" t="s">
        <v>374</v>
      </c>
      <c r="J2432" t="s">
        <v>1444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3148</v>
      </c>
      <c r="B2433" t="s">
        <v>3246</v>
      </c>
      <c r="C2433" t="s">
        <v>368</v>
      </c>
      <c r="D2433" t="s">
        <v>3129</v>
      </c>
      <c r="E2433" t="s">
        <v>3252</v>
      </c>
      <c r="F2433" t="s">
        <v>3248</v>
      </c>
      <c r="G2433" t="s">
        <v>3153</v>
      </c>
      <c r="H2433" t="s">
        <v>458</v>
      </c>
      <c r="I2433" t="s">
        <v>374</v>
      </c>
      <c r="J2433" t="s">
        <v>1444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3148</v>
      </c>
      <c r="B2434" t="s">
        <v>3246</v>
      </c>
      <c r="C2434" t="s">
        <v>368</v>
      </c>
      <c r="D2434" t="s">
        <v>3129</v>
      </c>
      <c r="E2434" t="s">
        <v>3253</v>
      </c>
      <c r="F2434" t="s">
        <v>3248</v>
      </c>
      <c r="G2434" t="s">
        <v>3153</v>
      </c>
      <c r="H2434" t="s">
        <v>458</v>
      </c>
      <c r="I2434" t="s">
        <v>374</v>
      </c>
      <c r="J2434" t="s">
        <v>1444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3148</v>
      </c>
      <c r="B2435" t="s">
        <v>3246</v>
      </c>
      <c r="C2435" t="s">
        <v>368</v>
      </c>
      <c r="D2435" t="s">
        <v>3129</v>
      </c>
      <c r="E2435" t="s">
        <v>3254</v>
      </c>
      <c r="F2435" t="s">
        <v>3248</v>
      </c>
      <c r="G2435" t="s">
        <v>3153</v>
      </c>
      <c r="H2435" t="s">
        <v>458</v>
      </c>
      <c r="I2435" t="s">
        <v>374</v>
      </c>
      <c r="J2435" t="s">
        <v>1444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3148</v>
      </c>
      <c r="B2436" t="s">
        <v>3246</v>
      </c>
      <c r="C2436" t="s">
        <v>368</v>
      </c>
      <c r="D2436" t="s">
        <v>3129</v>
      </c>
      <c r="E2436" t="s">
        <v>3255</v>
      </c>
      <c r="F2436" t="s">
        <v>3248</v>
      </c>
      <c r="G2436" t="s">
        <v>3153</v>
      </c>
      <c r="H2436" t="s">
        <v>458</v>
      </c>
      <c r="I2436" t="s">
        <v>374</v>
      </c>
      <c r="J2436" t="s">
        <v>1444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3148</v>
      </c>
      <c r="B2437" t="s">
        <v>3246</v>
      </c>
      <c r="C2437" t="s">
        <v>368</v>
      </c>
      <c r="D2437" t="s">
        <v>3129</v>
      </c>
      <c r="E2437" t="s">
        <v>3256</v>
      </c>
      <c r="F2437" t="s">
        <v>3248</v>
      </c>
      <c r="G2437" t="s">
        <v>3153</v>
      </c>
      <c r="H2437" t="s">
        <v>458</v>
      </c>
      <c r="I2437" t="s">
        <v>374</v>
      </c>
      <c r="J2437" t="s">
        <v>1444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3148</v>
      </c>
      <c r="B2438" t="s">
        <v>3246</v>
      </c>
      <c r="C2438" t="s">
        <v>609</v>
      </c>
      <c r="D2438" t="s">
        <v>3129</v>
      </c>
      <c r="E2438" t="s">
        <v>3257</v>
      </c>
      <c r="F2438" t="s">
        <v>3248</v>
      </c>
      <c r="G2438" t="s">
        <v>3153</v>
      </c>
      <c r="H2438" t="s">
        <v>458</v>
      </c>
      <c r="I2438" t="s">
        <v>374</v>
      </c>
      <c r="J2438" t="s">
        <v>1444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3148</v>
      </c>
      <c r="B2439" t="s">
        <v>3246</v>
      </c>
      <c r="C2439" t="s">
        <v>609</v>
      </c>
      <c r="D2439" t="s">
        <v>3129</v>
      </c>
      <c r="E2439" t="s">
        <v>3258</v>
      </c>
      <c r="F2439" t="s">
        <v>3248</v>
      </c>
      <c r="G2439" t="s">
        <v>3153</v>
      </c>
      <c r="H2439" t="s">
        <v>458</v>
      </c>
      <c r="I2439" t="s">
        <v>374</v>
      </c>
      <c r="J2439" t="s">
        <v>1444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3148</v>
      </c>
      <c r="B2440" t="s">
        <v>3246</v>
      </c>
      <c r="C2440" t="s">
        <v>609</v>
      </c>
      <c r="D2440" t="s">
        <v>3129</v>
      </c>
      <c r="E2440" t="s">
        <v>3259</v>
      </c>
      <c r="F2440" t="s">
        <v>3248</v>
      </c>
      <c r="G2440" t="s">
        <v>3153</v>
      </c>
      <c r="H2440" t="s">
        <v>458</v>
      </c>
      <c r="I2440" t="s">
        <v>374</v>
      </c>
      <c r="J2440" t="s">
        <v>1444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3148</v>
      </c>
      <c r="B2441" t="s">
        <v>3246</v>
      </c>
      <c r="C2441" t="s">
        <v>609</v>
      </c>
      <c r="D2441" t="s">
        <v>3129</v>
      </c>
      <c r="E2441" t="s">
        <v>3260</v>
      </c>
      <c r="F2441" t="s">
        <v>3248</v>
      </c>
      <c r="G2441" t="s">
        <v>3153</v>
      </c>
      <c r="H2441" t="s">
        <v>458</v>
      </c>
      <c r="I2441" t="s">
        <v>374</v>
      </c>
      <c r="J2441" t="s">
        <v>1444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3148</v>
      </c>
      <c r="B2442" t="s">
        <v>3246</v>
      </c>
      <c r="C2442" t="s">
        <v>368</v>
      </c>
      <c r="D2442" t="s">
        <v>3129</v>
      </c>
      <c r="E2442" t="s">
        <v>3261</v>
      </c>
      <c r="F2442" t="s">
        <v>3248</v>
      </c>
      <c r="G2442" t="s">
        <v>3153</v>
      </c>
      <c r="H2442" t="s">
        <v>458</v>
      </c>
      <c r="I2442" t="s">
        <v>374</v>
      </c>
      <c r="J2442" t="s">
        <v>1444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3148</v>
      </c>
      <c r="B2443" t="s">
        <v>3246</v>
      </c>
      <c r="C2443" t="s">
        <v>368</v>
      </c>
      <c r="D2443" t="s">
        <v>3129</v>
      </c>
      <c r="E2443" t="s">
        <v>3262</v>
      </c>
      <c r="F2443" t="s">
        <v>3248</v>
      </c>
      <c r="G2443" t="s">
        <v>3153</v>
      </c>
      <c r="H2443" t="s">
        <v>458</v>
      </c>
      <c r="I2443" t="s">
        <v>374</v>
      </c>
      <c r="J2443" t="s">
        <v>1444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3148</v>
      </c>
      <c r="B2444" t="s">
        <v>3263</v>
      </c>
      <c r="C2444" t="s">
        <v>368</v>
      </c>
      <c r="D2444" t="s">
        <v>3129</v>
      </c>
      <c r="E2444" t="s">
        <v>3264</v>
      </c>
      <c r="F2444" t="s">
        <v>3265</v>
      </c>
      <c r="G2444" t="s">
        <v>3153</v>
      </c>
      <c r="H2444" t="s">
        <v>458</v>
      </c>
      <c r="I2444" t="s">
        <v>374</v>
      </c>
      <c r="J2444" t="s">
        <v>429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3148</v>
      </c>
      <c r="B2445" t="s">
        <v>3263</v>
      </c>
      <c r="C2445" t="s">
        <v>368</v>
      </c>
      <c r="D2445" t="s">
        <v>3129</v>
      </c>
      <c r="E2445" t="s">
        <v>3266</v>
      </c>
      <c r="F2445" t="s">
        <v>3265</v>
      </c>
      <c r="G2445" t="s">
        <v>3153</v>
      </c>
      <c r="H2445" t="s">
        <v>458</v>
      </c>
      <c r="I2445" t="s">
        <v>374</v>
      </c>
      <c r="J2445" t="s">
        <v>429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3148</v>
      </c>
      <c r="B2446" t="s">
        <v>3263</v>
      </c>
      <c r="C2446" t="s">
        <v>368</v>
      </c>
      <c r="D2446" t="s">
        <v>3129</v>
      </c>
      <c r="E2446" t="s">
        <v>3267</v>
      </c>
      <c r="F2446" t="s">
        <v>3265</v>
      </c>
      <c r="G2446" t="s">
        <v>3153</v>
      </c>
      <c r="H2446" t="s">
        <v>458</v>
      </c>
      <c r="I2446" t="s">
        <v>374</v>
      </c>
      <c r="J2446" t="s">
        <v>429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3148</v>
      </c>
      <c r="B2447" t="s">
        <v>3263</v>
      </c>
      <c r="C2447" t="s">
        <v>368</v>
      </c>
      <c r="D2447" t="s">
        <v>3129</v>
      </c>
      <c r="E2447" t="s">
        <v>3268</v>
      </c>
      <c r="F2447" t="s">
        <v>3265</v>
      </c>
      <c r="G2447" t="s">
        <v>3153</v>
      </c>
      <c r="H2447" t="s">
        <v>458</v>
      </c>
      <c r="I2447" t="s">
        <v>374</v>
      </c>
      <c r="J2447" t="s">
        <v>429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3148</v>
      </c>
      <c r="B2448" t="s">
        <v>3263</v>
      </c>
      <c r="C2448" t="s">
        <v>368</v>
      </c>
      <c r="D2448" t="s">
        <v>3129</v>
      </c>
      <c r="E2448" t="s">
        <v>3269</v>
      </c>
      <c r="F2448" t="s">
        <v>3265</v>
      </c>
      <c r="G2448" t="s">
        <v>3153</v>
      </c>
      <c r="H2448" t="s">
        <v>458</v>
      </c>
      <c r="I2448" t="s">
        <v>374</v>
      </c>
      <c r="J2448" t="s">
        <v>429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3148</v>
      </c>
      <c r="B2449" t="s">
        <v>3263</v>
      </c>
      <c r="C2449" t="s">
        <v>368</v>
      </c>
      <c r="D2449" t="s">
        <v>3129</v>
      </c>
      <c r="E2449" t="s">
        <v>3270</v>
      </c>
      <c r="F2449" t="s">
        <v>3265</v>
      </c>
      <c r="G2449" t="s">
        <v>3153</v>
      </c>
      <c r="H2449" t="s">
        <v>458</v>
      </c>
      <c r="I2449" t="s">
        <v>374</v>
      </c>
      <c r="J2449" t="s">
        <v>429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3148</v>
      </c>
      <c r="B2450" t="s">
        <v>3263</v>
      </c>
      <c r="C2450" t="s">
        <v>368</v>
      </c>
      <c r="D2450" t="s">
        <v>3129</v>
      </c>
      <c r="E2450" t="s">
        <v>3271</v>
      </c>
      <c r="F2450" t="s">
        <v>3265</v>
      </c>
      <c r="G2450" t="s">
        <v>3153</v>
      </c>
      <c r="H2450" t="s">
        <v>458</v>
      </c>
      <c r="I2450" t="s">
        <v>374</v>
      </c>
      <c r="J2450" t="s">
        <v>429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3148</v>
      </c>
      <c r="B2451" t="s">
        <v>3263</v>
      </c>
      <c r="C2451" t="s">
        <v>368</v>
      </c>
      <c r="D2451" t="s">
        <v>3129</v>
      </c>
      <c r="E2451" t="s">
        <v>3272</v>
      </c>
      <c r="F2451" t="s">
        <v>3265</v>
      </c>
      <c r="G2451" t="s">
        <v>3153</v>
      </c>
      <c r="H2451" t="s">
        <v>458</v>
      </c>
      <c r="I2451" t="s">
        <v>374</v>
      </c>
      <c r="J2451" t="s">
        <v>429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3148</v>
      </c>
      <c r="B2452" t="s">
        <v>3263</v>
      </c>
      <c r="C2452" t="s">
        <v>368</v>
      </c>
      <c r="D2452" t="s">
        <v>3129</v>
      </c>
      <c r="E2452" t="s">
        <v>3273</v>
      </c>
      <c r="F2452" t="s">
        <v>3265</v>
      </c>
      <c r="G2452" t="s">
        <v>3153</v>
      </c>
      <c r="H2452" t="s">
        <v>458</v>
      </c>
      <c r="I2452" t="s">
        <v>374</v>
      </c>
      <c r="J2452" t="s">
        <v>429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3148</v>
      </c>
      <c r="B2453" t="s">
        <v>3263</v>
      </c>
      <c r="C2453" t="s">
        <v>609</v>
      </c>
      <c r="D2453" t="s">
        <v>3129</v>
      </c>
      <c r="E2453" t="s">
        <v>3274</v>
      </c>
      <c r="F2453" t="s">
        <v>3265</v>
      </c>
      <c r="G2453" t="s">
        <v>3153</v>
      </c>
      <c r="H2453" t="s">
        <v>458</v>
      </c>
      <c r="I2453" t="s">
        <v>374</v>
      </c>
      <c r="J2453" t="s">
        <v>429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3148</v>
      </c>
      <c r="B2454" t="s">
        <v>3263</v>
      </c>
      <c r="C2454" t="s">
        <v>609</v>
      </c>
      <c r="D2454" t="s">
        <v>3129</v>
      </c>
      <c r="E2454" t="s">
        <v>3275</v>
      </c>
      <c r="F2454" t="s">
        <v>3265</v>
      </c>
      <c r="G2454" t="s">
        <v>3153</v>
      </c>
      <c r="H2454" t="s">
        <v>458</v>
      </c>
      <c r="I2454" t="s">
        <v>374</v>
      </c>
      <c r="J2454" t="s">
        <v>429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3148</v>
      </c>
      <c r="B2455" t="s">
        <v>3263</v>
      </c>
      <c r="C2455" t="s">
        <v>609</v>
      </c>
      <c r="D2455" t="s">
        <v>3129</v>
      </c>
      <c r="E2455" t="s">
        <v>3276</v>
      </c>
      <c r="F2455" t="s">
        <v>3265</v>
      </c>
      <c r="G2455" t="s">
        <v>3153</v>
      </c>
      <c r="H2455" t="s">
        <v>458</v>
      </c>
      <c r="I2455" t="s">
        <v>374</v>
      </c>
      <c r="J2455" t="s">
        <v>429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3148</v>
      </c>
      <c r="B2456" t="s">
        <v>3263</v>
      </c>
      <c r="C2456" t="s">
        <v>609</v>
      </c>
      <c r="D2456" t="s">
        <v>3129</v>
      </c>
      <c r="E2456" t="s">
        <v>3277</v>
      </c>
      <c r="F2456" t="s">
        <v>3265</v>
      </c>
      <c r="G2456" t="s">
        <v>3153</v>
      </c>
      <c r="H2456" t="s">
        <v>458</v>
      </c>
      <c r="I2456" t="s">
        <v>374</v>
      </c>
      <c r="J2456" t="s">
        <v>429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3148</v>
      </c>
      <c r="B2457" t="s">
        <v>3263</v>
      </c>
      <c r="C2457" t="s">
        <v>368</v>
      </c>
      <c r="D2457" t="s">
        <v>3129</v>
      </c>
      <c r="E2457" t="s">
        <v>3278</v>
      </c>
      <c r="F2457" t="s">
        <v>3265</v>
      </c>
      <c r="G2457" t="s">
        <v>3153</v>
      </c>
      <c r="H2457" t="s">
        <v>458</v>
      </c>
      <c r="I2457" t="s">
        <v>374</v>
      </c>
      <c r="J2457" t="s">
        <v>429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3148</v>
      </c>
      <c r="B2458" t="s">
        <v>3263</v>
      </c>
      <c r="C2458" t="s">
        <v>368</v>
      </c>
      <c r="D2458" t="s">
        <v>3129</v>
      </c>
      <c r="E2458" t="s">
        <v>3279</v>
      </c>
      <c r="F2458" t="s">
        <v>3265</v>
      </c>
      <c r="G2458" t="s">
        <v>3153</v>
      </c>
      <c r="H2458" t="s">
        <v>458</v>
      </c>
      <c r="I2458" t="s">
        <v>374</v>
      </c>
      <c r="J2458" t="s">
        <v>429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3148</v>
      </c>
      <c r="B2459" t="s">
        <v>3280</v>
      </c>
      <c r="C2459" t="s">
        <v>368</v>
      </c>
      <c r="D2459" t="s">
        <v>3129</v>
      </c>
      <c r="E2459" t="s">
        <v>3281</v>
      </c>
      <c r="F2459" t="s">
        <v>3282</v>
      </c>
      <c r="G2459" t="s">
        <v>3153</v>
      </c>
      <c r="H2459" t="s">
        <v>458</v>
      </c>
      <c r="I2459" t="s">
        <v>374</v>
      </c>
      <c r="J2459" t="s">
        <v>757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3148</v>
      </c>
      <c r="B2460" t="s">
        <v>3280</v>
      </c>
      <c r="C2460" t="s">
        <v>368</v>
      </c>
      <c r="D2460" t="s">
        <v>3129</v>
      </c>
      <c r="E2460" t="s">
        <v>3283</v>
      </c>
      <c r="F2460" t="s">
        <v>3282</v>
      </c>
      <c r="G2460" t="s">
        <v>3153</v>
      </c>
      <c r="H2460" t="s">
        <v>458</v>
      </c>
      <c r="I2460" t="s">
        <v>374</v>
      </c>
      <c r="J2460" t="s">
        <v>757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3148</v>
      </c>
      <c r="B2461" t="s">
        <v>3280</v>
      </c>
      <c r="C2461" t="s">
        <v>368</v>
      </c>
      <c r="D2461" t="s">
        <v>3129</v>
      </c>
      <c r="E2461" t="s">
        <v>3284</v>
      </c>
      <c r="F2461" t="s">
        <v>3282</v>
      </c>
      <c r="G2461" t="s">
        <v>3153</v>
      </c>
      <c r="H2461" t="s">
        <v>458</v>
      </c>
      <c r="I2461" t="s">
        <v>374</v>
      </c>
      <c r="J2461" t="s">
        <v>757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3148</v>
      </c>
      <c r="B2462" t="s">
        <v>3280</v>
      </c>
      <c r="C2462" t="s">
        <v>368</v>
      </c>
      <c r="D2462" t="s">
        <v>3129</v>
      </c>
      <c r="E2462" t="s">
        <v>3285</v>
      </c>
      <c r="F2462" t="s">
        <v>3282</v>
      </c>
      <c r="G2462" t="s">
        <v>3153</v>
      </c>
      <c r="H2462" t="s">
        <v>458</v>
      </c>
      <c r="I2462" t="s">
        <v>374</v>
      </c>
      <c r="J2462" t="s">
        <v>757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3148</v>
      </c>
      <c r="B2463" t="s">
        <v>3280</v>
      </c>
      <c r="C2463" t="s">
        <v>368</v>
      </c>
      <c r="D2463" t="s">
        <v>3129</v>
      </c>
      <c r="E2463" t="s">
        <v>3286</v>
      </c>
      <c r="F2463" t="s">
        <v>3282</v>
      </c>
      <c r="G2463" t="s">
        <v>3153</v>
      </c>
      <c r="H2463" t="s">
        <v>458</v>
      </c>
      <c r="I2463" t="s">
        <v>374</v>
      </c>
      <c r="J2463" t="s">
        <v>757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3148</v>
      </c>
      <c r="B2464" t="s">
        <v>3280</v>
      </c>
      <c r="C2464" t="s">
        <v>368</v>
      </c>
      <c r="D2464" t="s">
        <v>3129</v>
      </c>
      <c r="E2464" t="s">
        <v>3287</v>
      </c>
      <c r="F2464" t="s">
        <v>3282</v>
      </c>
      <c r="G2464" t="s">
        <v>3153</v>
      </c>
      <c r="H2464" t="s">
        <v>458</v>
      </c>
      <c r="I2464" t="s">
        <v>374</v>
      </c>
      <c r="J2464" t="s">
        <v>757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3148</v>
      </c>
      <c r="B2465" t="s">
        <v>3280</v>
      </c>
      <c r="C2465" t="s">
        <v>368</v>
      </c>
      <c r="D2465" t="s">
        <v>3129</v>
      </c>
      <c r="E2465" t="s">
        <v>3288</v>
      </c>
      <c r="F2465" t="s">
        <v>3282</v>
      </c>
      <c r="G2465" t="s">
        <v>3153</v>
      </c>
      <c r="H2465" t="s">
        <v>458</v>
      </c>
      <c r="I2465" t="s">
        <v>374</v>
      </c>
      <c r="J2465" t="s">
        <v>757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3148</v>
      </c>
      <c r="B2466" t="s">
        <v>3280</v>
      </c>
      <c r="C2466" t="s">
        <v>368</v>
      </c>
      <c r="D2466" t="s">
        <v>3129</v>
      </c>
      <c r="E2466" t="s">
        <v>3289</v>
      </c>
      <c r="F2466" t="s">
        <v>3282</v>
      </c>
      <c r="G2466" t="s">
        <v>3153</v>
      </c>
      <c r="H2466" t="s">
        <v>458</v>
      </c>
      <c r="I2466" t="s">
        <v>374</v>
      </c>
      <c r="J2466" t="s">
        <v>757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3148</v>
      </c>
      <c r="B2467" t="s">
        <v>3280</v>
      </c>
      <c r="C2467" t="s">
        <v>368</v>
      </c>
      <c r="D2467" t="s">
        <v>3129</v>
      </c>
      <c r="E2467" t="s">
        <v>3290</v>
      </c>
      <c r="F2467" t="s">
        <v>3282</v>
      </c>
      <c r="G2467" t="s">
        <v>3153</v>
      </c>
      <c r="H2467" t="s">
        <v>458</v>
      </c>
      <c r="I2467" t="s">
        <v>374</v>
      </c>
      <c r="J2467" t="s">
        <v>757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3148</v>
      </c>
      <c r="B2468" t="s">
        <v>3280</v>
      </c>
      <c r="C2468" t="s">
        <v>609</v>
      </c>
      <c r="D2468" t="s">
        <v>3129</v>
      </c>
      <c r="E2468" t="s">
        <v>3291</v>
      </c>
      <c r="F2468" t="s">
        <v>3282</v>
      </c>
      <c r="G2468" t="s">
        <v>3153</v>
      </c>
      <c r="H2468" t="s">
        <v>458</v>
      </c>
      <c r="I2468" t="s">
        <v>374</v>
      </c>
      <c r="J2468" t="s">
        <v>757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3148</v>
      </c>
      <c r="B2469" t="s">
        <v>3280</v>
      </c>
      <c r="C2469" t="s">
        <v>609</v>
      </c>
      <c r="D2469" t="s">
        <v>3129</v>
      </c>
      <c r="E2469" t="s">
        <v>3292</v>
      </c>
      <c r="F2469" t="s">
        <v>3282</v>
      </c>
      <c r="G2469" t="s">
        <v>3153</v>
      </c>
      <c r="H2469" t="s">
        <v>458</v>
      </c>
      <c r="I2469" t="s">
        <v>374</v>
      </c>
      <c r="J2469" t="s">
        <v>757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3148</v>
      </c>
      <c r="B2470" t="s">
        <v>3280</v>
      </c>
      <c r="C2470" t="s">
        <v>609</v>
      </c>
      <c r="D2470" t="s">
        <v>3129</v>
      </c>
      <c r="E2470" t="s">
        <v>3293</v>
      </c>
      <c r="F2470" t="s">
        <v>3282</v>
      </c>
      <c r="G2470" t="s">
        <v>3153</v>
      </c>
      <c r="H2470" t="s">
        <v>458</v>
      </c>
      <c r="I2470" t="s">
        <v>374</v>
      </c>
      <c r="J2470" t="s">
        <v>757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3148</v>
      </c>
      <c r="B2471" t="s">
        <v>3280</v>
      </c>
      <c r="C2471" t="s">
        <v>609</v>
      </c>
      <c r="D2471" t="s">
        <v>3129</v>
      </c>
      <c r="E2471" t="s">
        <v>3294</v>
      </c>
      <c r="F2471" t="s">
        <v>3282</v>
      </c>
      <c r="G2471" t="s">
        <v>3153</v>
      </c>
      <c r="H2471" t="s">
        <v>458</v>
      </c>
      <c r="I2471" t="s">
        <v>374</v>
      </c>
      <c r="J2471" t="s">
        <v>757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3148</v>
      </c>
      <c r="B2472" t="s">
        <v>3280</v>
      </c>
      <c r="C2472" t="s">
        <v>368</v>
      </c>
      <c r="D2472" t="s">
        <v>3129</v>
      </c>
      <c r="E2472" t="s">
        <v>3295</v>
      </c>
      <c r="F2472" t="s">
        <v>3282</v>
      </c>
      <c r="G2472" t="s">
        <v>3153</v>
      </c>
      <c r="H2472" t="s">
        <v>458</v>
      </c>
      <c r="I2472" t="s">
        <v>374</v>
      </c>
      <c r="J2472" t="s">
        <v>757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3148</v>
      </c>
      <c r="B2473" t="s">
        <v>3280</v>
      </c>
      <c r="C2473" t="s">
        <v>368</v>
      </c>
      <c r="D2473" t="s">
        <v>3129</v>
      </c>
      <c r="E2473" t="s">
        <v>3296</v>
      </c>
      <c r="F2473" t="s">
        <v>3282</v>
      </c>
      <c r="G2473" t="s">
        <v>3153</v>
      </c>
      <c r="H2473" t="s">
        <v>458</v>
      </c>
      <c r="I2473" t="s">
        <v>374</v>
      </c>
      <c r="J2473" t="s">
        <v>757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3148</v>
      </c>
      <c r="B2474" t="s">
        <v>3297</v>
      </c>
      <c r="C2474" t="s">
        <v>368</v>
      </c>
      <c r="D2474" t="s">
        <v>3129</v>
      </c>
      <c r="E2474" t="s">
        <v>3298</v>
      </c>
      <c r="F2474" t="s">
        <v>3299</v>
      </c>
      <c r="G2474" t="s">
        <v>3153</v>
      </c>
      <c r="H2474" t="s">
        <v>458</v>
      </c>
      <c r="I2474" t="s">
        <v>374</v>
      </c>
      <c r="J2474" t="s">
        <v>849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3148</v>
      </c>
      <c r="B2475" t="s">
        <v>3297</v>
      </c>
      <c r="C2475" t="s">
        <v>368</v>
      </c>
      <c r="D2475" t="s">
        <v>3129</v>
      </c>
      <c r="E2475" t="s">
        <v>3300</v>
      </c>
      <c r="F2475" t="s">
        <v>3299</v>
      </c>
      <c r="G2475" t="s">
        <v>3153</v>
      </c>
      <c r="H2475" t="s">
        <v>458</v>
      </c>
      <c r="I2475" t="s">
        <v>374</v>
      </c>
      <c r="J2475" t="s">
        <v>849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3148</v>
      </c>
      <c r="B2476" t="s">
        <v>3297</v>
      </c>
      <c r="C2476" t="s">
        <v>368</v>
      </c>
      <c r="D2476" t="s">
        <v>3129</v>
      </c>
      <c r="E2476" t="s">
        <v>3301</v>
      </c>
      <c r="F2476" t="s">
        <v>3299</v>
      </c>
      <c r="G2476" t="s">
        <v>3153</v>
      </c>
      <c r="H2476" t="s">
        <v>458</v>
      </c>
      <c r="I2476" t="s">
        <v>374</v>
      </c>
      <c r="J2476" t="s">
        <v>849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3148</v>
      </c>
      <c r="B2477" t="s">
        <v>3297</v>
      </c>
      <c r="C2477" t="s">
        <v>368</v>
      </c>
      <c r="D2477" t="s">
        <v>3129</v>
      </c>
      <c r="E2477" t="s">
        <v>3302</v>
      </c>
      <c r="F2477" t="s">
        <v>3299</v>
      </c>
      <c r="G2477" t="s">
        <v>3153</v>
      </c>
      <c r="H2477" t="s">
        <v>458</v>
      </c>
      <c r="I2477" t="s">
        <v>374</v>
      </c>
      <c r="J2477" t="s">
        <v>849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3148</v>
      </c>
      <c r="B2478" t="s">
        <v>3297</v>
      </c>
      <c r="C2478" t="s">
        <v>368</v>
      </c>
      <c r="D2478" t="s">
        <v>3129</v>
      </c>
      <c r="E2478" t="s">
        <v>3303</v>
      </c>
      <c r="F2478" t="s">
        <v>3299</v>
      </c>
      <c r="G2478" t="s">
        <v>3153</v>
      </c>
      <c r="H2478" t="s">
        <v>458</v>
      </c>
      <c r="I2478" t="s">
        <v>374</v>
      </c>
      <c r="J2478" t="s">
        <v>849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3148</v>
      </c>
      <c r="B2479" t="s">
        <v>3297</v>
      </c>
      <c r="C2479" t="s">
        <v>368</v>
      </c>
      <c r="D2479" t="s">
        <v>3129</v>
      </c>
      <c r="E2479" t="s">
        <v>3304</v>
      </c>
      <c r="F2479" t="s">
        <v>3299</v>
      </c>
      <c r="G2479" t="s">
        <v>3153</v>
      </c>
      <c r="H2479" t="s">
        <v>458</v>
      </c>
      <c r="I2479" t="s">
        <v>374</v>
      </c>
      <c r="J2479" t="s">
        <v>849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3148</v>
      </c>
      <c r="B2480" t="s">
        <v>3297</v>
      </c>
      <c r="C2480" t="s">
        <v>368</v>
      </c>
      <c r="D2480" t="s">
        <v>3129</v>
      </c>
      <c r="E2480" t="s">
        <v>3305</v>
      </c>
      <c r="F2480" t="s">
        <v>3299</v>
      </c>
      <c r="G2480" t="s">
        <v>3153</v>
      </c>
      <c r="H2480" t="s">
        <v>458</v>
      </c>
      <c r="I2480" t="s">
        <v>374</v>
      </c>
      <c r="J2480" t="s">
        <v>849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3148</v>
      </c>
      <c r="B2481" t="s">
        <v>3297</v>
      </c>
      <c r="C2481" t="s">
        <v>368</v>
      </c>
      <c r="D2481" t="s">
        <v>3129</v>
      </c>
      <c r="E2481" t="s">
        <v>3306</v>
      </c>
      <c r="F2481" t="s">
        <v>3299</v>
      </c>
      <c r="G2481" t="s">
        <v>3153</v>
      </c>
      <c r="H2481" t="s">
        <v>458</v>
      </c>
      <c r="I2481" t="s">
        <v>374</v>
      </c>
      <c r="J2481" t="s">
        <v>849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3148</v>
      </c>
      <c r="B2482" t="s">
        <v>3297</v>
      </c>
      <c r="C2482" t="s">
        <v>368</v>
      </c>
      <c r="D2482" t="s">
        <v>3129</v>
      </c>
      <c r="E2482" t="s">
        <v>3307</v>
      </c>
      <c r="F2482" t="s">
        <v>3299</v>
      </c>
      <c r="G2482" t="s">
        <v>3153</v>
      </c>
      <c r="H2482" t="s">
        <v>458</v>
      </c>
      <c r="I2482" t="s">
        <v>374</v>
      </c>
      <c r="J2482" t="s">
        <v>849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3148</v>
      </c>
      <c r="B2483" t="s">
        <v>3297</v>
      </c>
      <c r="C2483" t="s">
        <v>609</v>
      </c>
      <c r="D2483" t="s">
        <v>3129</v>
      </c>
      <c r="E2483" t="s">
        <v>3308</v>
      </c>
      <c r="F2483" t="s">
        <v>3299</v>
      </c>
      <c r="G2483" t="s">
        <v>3153</v>
      </c>
      <c r="H2483" t="s">
        <v>458</v>
      </c>
      <c r="I2483" t="s">
        <v>374</v>
      </c>
      <c r="J2483" t="s">
        <v>849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3148</v>
      </c>
      <c r="B2484" t="s">
        <v>3297</v>
      </c>
      <c r="C2484" t="s">
        <v>609</v>
      </c>
      <c r="D2484" t="s">
        <v>3129</v>
      </c>
      <c r="E2484" t="s">
        <v>3309</v>
      </c>
      <c r="F2484" t="s">
        <v>3299</v>
      </c>
      <c r="G2484" t="s">
        <v>3153</v>
      </c>
      <c r="H2484" t="s">
        <v>458</v>
      </c>
      <c r="I2484" t="s">
        <v>374</v>
      </c>
      <c r="J2484" t="s">
        <v>849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3148</v>
      </c>
      <c r="B2485" t="s">
        <v>3297</v>
      </c>
      <c r="C2485" t="s">
        <v>609</v>
      </c>
      <c r="D2485" t="s">
        <v>3129</v>
      </c>
      <c r="E2485" t="s">
        <v>3310</v>
      </c>
      <c r="F2485" t="s">
        <v>3299</v>
      </c>
      <c r="G2485" t="s">
        <v>3153</v>
      </c>
      <c r="H2485" t="s">
        <v>458</v>
      </c>
      <c r="I2485" t="s">
        <v>374</v>
      </c>
      <c r="J2485" t="s">
        <v>849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3148</v>
      </c>
      <c r="B2486" t="s">
        <v>3297</v>
      </c>
      <c r="C2486" t="s">
        <v>609</v>
      </c>
      <c r="D2486" t="s">
        <v>3129</v>
      </c>
      <c r="E2486" t="s">
        <v>3311</v>
      </c>
      <c r="F2486" t="s">
        <v>3299</v>
      </c>
      <c r="G2486" t="s">
        <v>3153</v>
      </c>
      <c r="H2486" t="s">
        <v>458</v>
      </c>
      <c r="I2486" t="s">
        <v>374</v>
      </c>
      <c r="J2486" t="s">
        <v>849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3148</v>
      </c>
      <c r="B2487" t="s">
        <v>3297</v>
      </c>
      <c r="C2487" t="s">
        <v>609</v>
      </c>
      <c r="D2487" t="s">
        <v>3129</v>
      </c>
      <c r="E2487" t="s">
        <v>3312</v>
      </c>
      <c r="F2487" t="s">
        <v>3299</v>
      </c>
      <c r="G2487" t="s">
        <v>3153</v>
      </c>
      <c r="H2487" t="s">
        <v>458</v>
      </c>
      <c r="I2487" t="s">
        <v>374</v>
      </c>
      <c r="J2487" t="s">
        <v>849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3148</v>
      </c>
      <c r="B2488" t="s">
        <v>3297</v>
      </c>
      <c r="C2488" t="s">
        <v>368</v>
      </c>
      <c r="D2488" t="s">
        <v>3129</v>
      </c>
      <c r="E2488" t="s">
        <v>3313</v>
      </c>
      <c r="F2488" t="s">
        <v>3299</v>
      </c>
      <c r="G2488" t="s">
        <v>3153</v>
      </c>
      <c r="H2488" t="s">
        <v>458</v>
      </c>
      <c r="I2488" t="s">
        <v>374</v>
      </c>
      <c r="J2488" t="s">
        <v>849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3148</v>
      </c>
      <c r="B2489" t="s">
        <v>3297</v>
      </c>
      <c r="C2489" t="s">
        <v>368</v>
      </c>
      <c r="D2489" t="s">
        <v>3129</v>
      </c>
      <c r="E2489" t="s">
        <v>3314</v>
      </c>
      <c r="F2489" t="s">
        <v>3299</v>
      </c>
      <c r="G2489" t="s">
        <v>3153</v>
      </c>
      <c r="H2489" t="s">
        <v>458</v>
      </c>
      <c r="I2489" t="s">
        <v>374</v>
      </c>
      <c r="J2489" t="s">
        <v>849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3148</v>
      </c>
      <c r="B2490" t="s">
        <v>3315</v>
      </c>
      <c r="C2490" t="s">
        <v>368</v>
      </c>
      <c r="D2490" t="s">
        <v>3129</v>
      </c>
      <c r="E2490" t="s">
        <v>3316</v>
      </c>
      <c r="F2490" t="s">
        <v>3317</v>
      </c>
      <c r="G2490" t="s">
        <v>3153</v>
      </c>
      <c r="H2490" t="s">
        <v>458</v>
      </c>
      <c r="I2490" t="s">
        <v>374</v>
      </c>
      <c r="J2490" t="s">
        <v>881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3148</v>
      </c>
      <c r="B2491" t="s">
        <v>3315</v>
      </c>
      <c r="C2491" t="s">
        <v>368</v>
      </c>
      <c r="D2491" t="s">
        <v>3129</v>
      </c>
      <c r="E2491" t="s">
        <v>3318</v>
      </c>
      <c r="F2491" t="s">
        <v>3317</v>
      </c>
      <c r="G2491" t="s">
        <v>3153</v>
      </c>
      <c r="H2491" t="s">
        <v>458</v>
      </c>
      <c r="I2491" t="s">
        <v>374</v>
      </c>
      <c r="J2491" t="s">
        <v>881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3148</v>
      </c>
      <c r="B2492" t="s">
        <v>3315</v>
      </c>
      <c r="C2492" t="s">
        <v>368</v>
      </c>
      <c r="D2492" t="s">
        <v>3129</v>
      </c>
      <c r="E2492" t="s">
        <v>3319</v>
      </c>
      <c r="F2492" t="s">
        <v>3317</v>
      </c>
      <c r="G2492" t="s">
        <v>3153</v>
      </c>
      <c r="H2492" t="s">
        <v>458</v>
      </c>
      <c r="I2492" t="s">
        <v>374</v>
      </c>
      <c r="J2492" t="s">
        <v>881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3148</v>
      </c>
      <c r="B2493" t="s">
        <v>3315</v>
      </c>
      <c r="C2493" t="s">
        <v>368</v>
      </c>
      <c r="D2493" t="s">
        <v>3129</v>
      </c>
      <c r="E2493" t="s">
        <v>3320</v>
      </c>
      <c r="F2493" t="s">
        <v>3317</v>
      </c>
      <c r="G2493" t="s">
        <v>3153</v>
      </c>
      <c r="H2493" t="s">
        <v>458</v>
      </c>
      <c r="I2493" t="s">
        <v>374</v>
      </c>
      <c r="J2493" t="s">
        <v>881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3148</v>
      </c>
      <c r="B2494" t="s">
        <v>3315</v>
      </c>
      <c r="C2494" t="s">
        <v>368</v>
      </c>
      <c r="D2494" t="s">
        <v>3129</v>
      </c>
      <c r="E2494" t="s">
        <v>3321</v>
      </c>
      <c r="F2494" t="s">
        <v>3317</v>
      </c>
      <c r="G2494" t="s">
        <v>3153</v>
      </c>
      <c r="H2494" t="s">
        <v>458</v>
      </c>
      <c r="I2494" t="s">
        <v>374</v>
      </c>
      <c r="J2494" t="s">
        <v>881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3148</v>
      </c>
      <c r="B2495" t="s">
        <v>3315</v>
      </c>
      <c r="C2495" t="s">
        <v>368</v>
      </c>
      <c r="D2495" t="s">
        <v>3129</v>
      </c>
      <c r="E2495" t="s">
        <v>3322</v>
      </c>
      <c r="F2495" t="s">
        <v>3317</v>
      </c>
      <c r="G2495" t="s">
        <v>3153</v>
      </c>
      <c r="H2495" t="s">
        <v>458</v>
      </c>
      <c r="I2495" t="s">
        <v>374</v>
      </c>
      <c r="J2495" t="s">
        <v>881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3148</v>
      </c>
      <c r="B2496" t="s">
        <v>3315</v>
      </c>
      <c r="C2496" t="s">
        <v>368</v>
      </c>
      <c r="D2496" t="s">
        <v>3129</v>
      </c>
      <c r="E2496" t="s">
        <v>3323</v>
      </c>
      <c r="F2496" t="s">
        <v>3317</v>
      </c>
      <c r="G2496" t="s">
        <v>3153</v>
      </c>
      <c r="H2496" t="s">
        <v>458</v>
      </c>
      <c r="I2496" t="s">
        <v>374</v>
      </c>
      <c r="J2496" t="s">
        <v>881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3148</v>
      </c>
      <c r="B2497" t="s">
        <v>3315</v>
      </c>
      <c r="C2497" t="s">
        <v>368</v>
      </c>
      <c r="D2497" t="s">
        <v>3129</v>
      </c>
      <c r="E2497" t="s">
        <v>3324</v>
      </c>
      <c r="F2497" t="s">
        <v>3317</v>
      </c>
      <c r="G2497" t="s">
        <v>3153</v>
      </c>
      <c r="H2497" t="s">
        <v>458</v>
      </c>
      <c r="I2497" t="s">
        <v>374</v>
      </c>
      <c r="J2497" t="s">
        <v>881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3148</v>
      </c>
      <c r="B2498" t="s">
        <v>3315</v>
      </c>
      <c r="C2498" t="s">
        <v>368</v>
      </c>
      <c r="D2498" t="s">
        <v>3129</v>
      </c>
      <c r="E2498" t="s">
        <v>3325</v>
      </c>
      <c r="F2498" t="s">
        <v>3317</v>
      </c>
      <c r="G2498" t="s">
        <v>3153</v>
      </c>
      <c r="H2498" t="s">
        <v>458</v>
      </c>
      <c r="I2498" t="s">
        <v>374</v>
      </c>
      <c r="J2498" t="s">
        <v>881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3148</v>
      </c>
      <c r="B2499" t="s">
        <v>3315</v>
      </c>
      <c r="C2499" t="s">
        <v>609</v>
      </c>
      <c r="D2499" t="s">
        <v>3129</v>
      </c>
      <c r="E2499" t="s">
        <v>3326</v>
      </c>
      <c r="F2499" t="s">
        <v>3317</v>
      </c>
      <c r="G2499" t="s">
        <v>3153</v>
      </c>
      <c r="H2499" t="s">
        <v>458</v>
      </c>
      <c r="I2499" t="s">
        <v>374</v>
      </c>
      <c r="J2499" t="s">
        <v>881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3148</v>
      </c>
      <c r="B2500" t="s">
        <v>3315</v>
      </c>
      <c r="C2500" t="s">
        <v>609</v>
      </c>
      <c r="D2500" t="s">
        <v>3129</v>
      </c>
      <c r="E2500" t="s">
        <v>3327</v>
      </c>
      <c r="F2500" t="s">
        <v>3317</v>
      </c>
      <c r="G2500" t="s">
        <v>3153</v>
      </c>
      <c r="H2500" t="s">
        <v>458</v>
      </c>
      <c r="I2500" t="s">
        <v>374</v>
      </c>
      <c r="J2500" t="s">
        <v>881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3148</v>
      </c>
      <c r="B2501" t="s">
        <v>3315</v>
      </c>
      <c r="C2501" t="s">
        <v>609</v>
      </c>
      <c r="D2501" t="s">
        <v>3129</v>
      </c>
      <c r="E2501" t="s">
        <v>3328</v>
      </c>
      <c r="F2501" t="s">
        <v>3317</v>
      </c>
      <c r="G2501" t="s">
        <v>3153</v>
      </c>
      <c r="H2501" t="s">
        <v>458</v>
      </c>
      <c r="I2501" t="s">
        <v>374</v>
      </c>
      <c r="J2501" t="s">
        <v>881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3148</v>
      </c>
      <c r="B2502" t="s">
        <v>3315</v>
      </c>
      <c r="C2502" t="s">
        <v>609</v>
      </c>
      <c r="D2502" t="s">
        <v>3129</v>
      </c>
      <c r="E2502" t="s">
        <v>3329</v>
      </c>
      <c r="F2502" t="s">
        <v>3317</v>
      </c>
      <c r="G2502" t="s">
        <v>3153</v>
      </c>
      <c r="H2502" t="s">
        <v>458</v>
      </c>
      <c r="I2502" t="s">
        <v>374</v>
      </c>
      <c r="J2502" t="s">
        <v>881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3148</v>
      </c>
      <c r="B2503" t="s">
        <v>3315</v>
      </c>
      <c r="C2503" t="s">
        <v>368</v>
      </c>
      <c r="D2503" t="s">
        <v>3129</v>
      </c>
      <c r="E2503" t="s">
        <v>3330</v>
      </c>
      <c r="F2503" t="s">
        <v>3317</v>
      </c>
      <c r="G2503" t="s">
        <v>3153</v>
      </c>
      <c r="H2503" t="s">
        <v>458</v>
      </c>
      <c r="I2503" t="s">
        <v>374</v>
      </c>
      <c r="J2503" t="s">
        <v>881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3148</v>
      </c>
      <c r="B2504" t="s">
        <v>3315</v>
      </c>
      <c r="C2504" t="s">
        <v>368</v>
      </c>
      <c r="D2504" t="s">
        <v>3129</v>
      </c>
      <c r="E2504" t="s">
        <v>3331</v>
      </c>
      <c r="F2504" t="s">
        <v>3317</v>
      </c>
      <c r="G2504" t="s">
        <v>3153</v>
      </c>
      <c r="H2504" t="s">
        <v>458</v>
      </c>
      <c r="I2504" t="s">
        <v>374</v>
      </c>
      <c r="J2504" t="s">
        <v>881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3148</v>
      </c>
      <c r="B2505" t="s">
        <v>3332</v>
      </c>
      <c r="C2505" t="s">
        <v>368</v>
      </c>
      <c r="D2505" t="s">
        <v>3129</v>
      </c>
      <c r="E2505" t="s">
        <v>3333</v>
      </c>
      <c r="F2505" t="s">
        <v>3334</v>
      </c>
      <c r="G2505" t="s">
        <v>3153</v>
      </c>
      <c r="H2505" t="s">
        <v>458</v>
      </c>
      <c r="I2505" t="s">
        <v>374</v>
      </c>
      <c r="J2505" t="s">
        <v>3335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3148</v>
      </c>
      <c r="B2506" t="s">
        <v>3332</v>
      </c>
      <c r="C2506" t="s">
        <v>368</v>
      </c>
      <c r="D2506" t="s">
        <v>3129</v>
      </c>
      <c r="E2506" t="s">
        <v>3336</v>
      </c>
      <c r="F2506" t="s">
        <v>3334</v>
      </c>
      <c r="G2506" t="s">
        <v>3153</v>
      </c>
      <c r="H2506" t="s">
        <v>458</v>
      </c>
      <c r="I2506" t="s">
        <v>374</v>
      </c>
      <c r="J2506" t="s">
        <v>3335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3148</v>
      </c>
      <c r="B2507" t="s">
        <v>3332</v>
      </c>
      <c r="C2507" t="s">
        <v>368</v>
      </c>
      <c r="D2507" t="s">
        <v>3129</v>
      </c>
      <c r="E2507" t="s">
        <v>3337</v>
      </c>
      <c r="F2507" t="s">
        <v>3334</v>
      </c>
      <c r="G2507" t="s">
        <v>3153</v>
      </c>
      <c r="H2507" t="s">
        <v>458</v>
      </c>
      <c r="I2507" t="s">
        <v>374</v>
      </c>
      <c r="J2507" t="s">
        <v>3335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3148</v>
      </c>
      <c r="B2508" t="s">
        <v>3332</v>
      </c>
      <c r="C2508" t="s">
        <v>368</v>
      </c>
      <c r="D2508" t="s">
        <v>3129</v>
      </c>
      <c r="E2508" t="s">
        <v>3338</v>
      </c>
      <c r="F2508" t="s">
        <v>3334</v>
      </c>
      <c r="G2508" t="s">
        <v>3153</v>
      </c>
      <c r="H2508" t="s">
        <v>458</v>
      </c>
      <c r="I2508" t="s">
        <v>374</v>
      </c>
      <c r="J2508" t="s">
        <v>3335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3148</v>
      </c>
      <c r="B2509" t="s">
        <v>3332</v>
      </c>
      <c r="C2509" t="s">
        <v>368</v>
      </c>
      <c r="D2509" t="s">
        <v>3129</v>
      </c>
      <c r="E2509" t="s">
        <v>3339</v>
      </c>
      <c r="F2509" t="s">
        <v>3334</v>
      </c>
      <c r="G2509" t="s">
        <v>3153</v>
      </c>
      <c r="H2509" t="s">
        <v>458</v>
      </c>
      <c r="I2509" t="s">
        <v>374</v>
      </c>
      <c r="J2509" t="s">
        <v>3335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3148</v>
      </c>
      <c r="B2510" t="s">
        <v>3332</v>
      </c>
      <c r="C2510" t="s">
        <v>368</v>
      </c>
      <c r="D2510" t="s">
        <v>3129</v>
      </c>
      <c r="E2510" t="s">
        <v>3340</v>
      </c>
      <c r="F2510" t="s">
        <v>3334</v>
      </c>
      <c r="G2510" t="s">
        <v>3153</v>
      </c>
      <c r="H2510" t="s">
        <v>458</v>
      </c>
      <c r="I2510" t="s">
        <v>374</v>
      </c>
      <c r="J2510" t="s">
        <v>3335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3148</v>
      </c>
      <c r="B2511" t="s">
        <v>3332</v>
      </c>
      <c r="C2511" t="s">
        <v>368</v>
      </c>
      <c r="D2511" t="s">
        <v>3129</v>
      </c>
      <c r="E2511" t="s">
        <v>3341</v>
      </c>
      <c r="F2511" t="s">
        <v>3334</v>
      </c>
      <c r="G2511" t="s">
        <v>3153</v>
      </c>
      <c r="H2511" t="s">
        <v>458</v>
      </c>
      <c r="I2511" t="s">
        <v>374</v>
      </c>
      <c r="J2511" t="s">
        <v>3335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3148</v>
      </c>
      <c r="B2512" t="s">
        <v>3332</v>
      </c>
      <c r="C2512" t="s">
        <v>368</v>
      </c>
      <c r="D2512" t="s">
        <v>3129</v>
      </c>
      <c r="E2512" t="s">
        <v>3342</v>
      </c>
      <c r="F2512" t="s">
        <v>3334</v>
      </c>
      <c r="G2512" t="s">
        <v>3153</v>
      </c>
      <c r="H2512" t="s">
        <v>458</v>
      </c>
      <c r="I2512" t="s">
        <v>374</v>
      </c>
      <c r="J2512" t="s">
        <v>3335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3148</v>
      </c>
      <c r="B2513" t="s">
        <v>3332</v>
      </c>
      <c r="C2513" t="s">
        <v>368</v>
      </c>
      <c r="D2513" t="s">
        <v>3129</v>
      </c>
      <c r="E2513" t="s">
        <v>3343</v>
      </c>
      <c r="F2513" t="s">
        <v>3334</v>
      </c>
      <c r="G2513" t="s">
        <v>3153</v>
      </c>
      <c r="H2513" t="s">
        <v>458</v>
      </c>
      <c r="I2513" t="s">
        <v>374</v>
      </c>
      <c r="J2513" t="s">
        <v>3335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3148</v>
      </c>
      <c r="B2514" t="s">
        <v>3332</v>
      </c>
      <c r="C2514" t="s">
        <v>609</v>
      </c>
      <c r="D2514" t="s">
        <v>3129</v>
      </c>
      <c r="E2514" t="s">
        <v>3344</v>
      </c>
      <c r="F2514" t="s">
        <v>3334</v>
      </c>
      <c r="G2514" t="s">
        <v>3153</v>
      </c>
      <c r="H2514" t="s">
        <v>458</v>
      </c>
      <c r="I2514" t="s">
        <v>374</v>
      </c>
      <c r="J2514" t="s">
        <v>3335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3148</v>
      </c>
      <c r="B2515" t="s">
        <v>3332</v>
      </c>
      <c r="C2515" t="s">
        <v>609</v>
      </c>
      <c r="D2515" t="s">
        <v>3129</v>
      </c>
      <c r="E2515" t="s">
        <v>3345</v>
      </c>
      <c r="F2515" t="s">
        <v>3334</v>
      </c>
      <c r="G2515" t="s">
        <v>3153</v>
      </c>
      <c r="H2515" t="s">
        <v>458</v>
      </c>
      <c r="I2515" t="s">
        <v>374</v>
      </c>
      <c r="J2515" t="s">
        <v>3335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3148</v>
      </c>
      <c r="B2516" t="s">
        <v>3332</v>
      </c>
      <c r="C2516" t="s">
        <v>609</v>
      </c>
      <c r="D2516" t="s">
        <v>3129</v>
      </c>
      <c r="E2516" t="s">
        <v>3346</v>
      </c>
      <c r="F2516" t="s">
        <v>3334</v>
      </c>
      <c r="G2516" t="s">
        <v>3153</v>
      </c>
      <c r="H2516" t="s">
        <v>458</v>
      </c>
      <c r="I2516" t="s">
        <v>374</v>
      </c>
      <c r="J2516" t="s">
        <v>3335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3148</v>
      </c>
      <c r="B2517" t="s">
        <v>3332</v>
      </c>
      <c r="C2517" t="s">
        <v>609</v>
      </c>
      <c r="D2517" t="s">
        <v>3129</v>
      </c>
      <c r="E2517" t="s">
        <v>3347</v>
      </c>
      <c r="F2517" t="s">
        <v>3334</v>
      </c>
      <c r="G2517" t="s">
        <v>3153</v>
      </c>
      <c r="H2517" t="s">
        <v>458</v>
      </c>
      <c r="I2517" t="s">
        <v>374</v>
      </c>
      <c r="J2517" t="s">
        <v>3335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3148</v>
      </c>
      <c r="B2518" t="s">
        <v>3332</v>
      </c>
      <c r="C2518" t="s">
        <v>368</v>
      </c>
      <c r="D2518" t="s">
        <v>3129</v>
      </c>
      <c r="E2518" t="s">
        <v>3348</v>
      </c>
      <c r="F2518" t="s">
        <v>3334</v>
      </c>
      <c r="G2518" t="s">
        <v>3153</v>
      </c>
      <c r="H2518" t="s">
        <v>458</v>
      </c>
      <c r="I2518" t="s">
        <v>374</v>
      </c>
      <c r="J2518" t="s">
        <v>3335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3148</v>
      </c>
      <c r="B2519" t="s">
        <v>3332</v>
      </c>
      <c r="C2519" t="s">
        <v>368</v>
      </c>
      <c r="D2519" t="s">
        <v>3129</v>
      </c>
      <c r="E2519" t="s">
        <v>3349</v>
      </c>
      <c r="F2519" t="s">
        <v>3334</v>
      </c>
      <c r="G2519" t="s">
        <v>3153</v>
      </c>
      <c r="H2519" t="s">
        <v>458</v>
      </c>
      <c r="I2519" t="s">
        <v>374</v>
      </c>
      <c r="J2519" t="s">
        <v>3335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3148</v>
      </c>
      <c r="B2520" t="s">
        <v>3350</v>
      </c>
      <c r="C2520" t="s">
        <v>368</v>
      </c>
      <c r="D2520" t="s">
        <v>3129</v>
      </c>
      <c r="E2520" t="s">
        <v>3351</v>
      </c>
      <c r="F2520" t="s">
        <v>3352</v>
      </c>
      <c r="G2520" t="s">
        <v>3153</v>
      </c>
      <c r="H2520" t="s">
        <v>458</v>
      </c>
      <c r="I2520" t="s">
        <v>374</v>
      </c>
      <c r="J2520" t="s">
        <v>906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3148</v>
      </c>
      <c r="B2521" t="s">
        <v>3350</v>
      </c>
      <c r="C2521" t="s">
        <v>368</v>
      </c>
      <c r="D2521" t="s">
        <v>3129</v>
      </c>
      <c r="E2521" t="s">
        <v>3353</v>
      </c>
      <c r="F2521" t="s">
        <v>3352</v>
      </c>
      <c r="G2521" t="s">
        <v>3153</v>
      </c>
      <c r="H2521" t="s">
        <v>458</v>
      </c>
      <c r="I2521" t="s">
        <v>374</v>
      </c>
      <c r="J2521" t="s">
        <v>906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3148</v>
      </c>
      <c r="B2522" t="s">
        <v>3350</v>
      </c>
      <c r="C2522" t="s">
        <v>368</v>
      </c>
      <c r="D2522" t="s">
        <v>3129</v>
      </c>
      <c r="E2522" t="s">
        <v>3354</v>
      </c>
      <c r="F2522" t="s">
        <v>3352</v>
      </c>
      <c r="G2522" t="s">
        <v>3153</v>
      </c>
      <c r="H2522" t="s">
        <v>458</v>
      </c>
      <c r="I2522" t="s">
        <v>374</v>
      </c>
      <c r="J2522" t="s">
        <v>906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3148</v>
      </c>
      <c r="B2523" t="s">
        <v>3350</v>
      </c>
      <c r="C2523" t="s">
        <v>368</v>
      </c>
      <c r="D2523" t="s">
        <v>3129</v>
      </c>
      <c r="E2523" t="s">
        <v>3355</v>
      </c>
      <c r="F2523" t="s">
        <v>3352</v>
      </c>
      <c r="G2523" t="s">
        <v>3153</v>
      </c>
      <c r="H2523" t="s">
        <v>458</v>
      </c>
      <c r="I2523" t="s">
        <v>374</v>
      </c>
      <c r="J2523" t="s">
        <v>906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3148</v>
      </c>
      <c r="B2524" t="s">
        <v>3350</v>
      </c>
      <c r="C2524" t="s">
        <v>368</v>
      </c>
      <c r="D2524" t="s">
        <v>3129</v>
      </c>
      <c r="E2524" t="s">
        <v>3356</v>
      </c>
      <c r="F2524" t="s">
        <v>3352</v>
      </c>
      <c r="G2524" t="s">
        <v>3153</v>
      </c>
      <c r="H2524" t="s">
        <v>458</v>
      </c>
      <c r="I2524" t="s">
        <v>374</v>
      </c>
      <c r="J2524" t="s">
        <v>906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3148</v>
      </c>
      <c r="B2525" t="s">
        <v>3350</v>
      </c>
      <c r="C2525" t="s">
        <v>368</v>
      </c>
      <c r="D2525" t="s">
        <v>3129</v>
      </c>
      <c r="E2525" t="s">
        <v>3357</v>
      </c>
      <c r="F2525" t="s">
        <v>3352</v>
      </c>
      <c r="G2525" t="s">
        <v>3153</v>
      </c>
      <c r="H2525" t="s">
        <v>458</v>
      </c>
      <c r="I2525" t="s">
        <v>374</v>
      </c>
      <c r="J2525" t="s">
        <v>906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3148</v>
      </c>
      <c r="B2526" t="s">
        <v>3350</v>
      </c>
      <c r="C2526" t="s">
        <v>368</v>
      </c>
      <c r="D2526" t="s">
        <v>3129</v>
      </c>
      <c r="E2526" t="s">
        <v>3358</v>
      </c>
      <c r="F2526" t="s">
        <v>3352</v>
      </c>
      <c r="G2526" t="s">
        <v>3153</v>
      </c>
      <c r="H2526" t="s">
        <v>458</v>
      </c>
      <c r="I2526" t="s">
        <v>374</v>
      </c>
      <c r="J2526" t="s">
        <v>906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3148</v>
      </c>
      <c r="B2527" t="s">
        <v>3350</v>
      </c>
      <c r="C2527" t="s">
        <v>368</v>
      </c>
      <c r="D2527" t="s">
        <v>3129</v>
      </c>
      <c r="E2527" t="s">
        <v>3359</v>
      </c>
      <c r="F2527" t="s">
        <v>3352</v>
      </c>
      <c r="G2527" t="s">
        <v>3153</v>
      </c>
      <c r="H2527" t="s">
        <v>458</v>
      </c>
      <c r="I2527" t="s">
        <v>374</v>
      </c>
      <c r="J2527" t="s">
        <v>906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3148</v>
      </c>
      <c r="B2528" t="s">
        <v>3350</v>
      </c>
      <c r="C2528" t="s">
        <v>368</v>
      </c>
      <c r="D2528" t="s">
        <v>3129</v>
      </c>
      <c r="E2528" t="s">
        <v>3360</v>
      </c>
      <c r="F2528" t="s">
        <v>3352</v>
      </c>
      <c r="G2528" t="s">
        <v>3153</v>
      </c>
      <c r="H2528" t="s">
        <v>458</v>
      </c>
      <c r="I2528" t="s">
        <v>374</v>
      </c>
      <c r="J2528" t="s">
        <v>906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3148</v>
      </c>
      <c r="B2529" t="s">
        <v>3350</v>
      </c>
      <c r="C2529" t="s">
        <v>609</v>
      </c>
      <c r="D2529" t="s">
        <v>3129</v>
      </c>
      <c r="E2529" t="s">
        <v>3361</v>
      </c>
      <c r="F2529" t="s">
        <v>3352</v>
      </c>
      <c r="G2529" t="s">
        <v>3153</v>
      </c>
      <c r="H2529" t="s">
        <v>458</v>
      </c>
      <c r="I2529" t="s">
        <v>374</v>
      </c>
      <c r="J2529" t="s">
        <v>906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3148</v>
      </c>
      <c r="B2530" t="s">
        <v>3350</v>
      </c>
      <c r="C2530" t="s">
        <v>609</v>
      </c>
      <c r="D2530" t="s">
        <v>3129</v>
      </c>
      <c r="E2530" t="s">
        <v>3362</v>
      </c>
      <c r="F2530" t="s">
        <v>3352</v>
      </c>
      <c r="G2530" t="s">
        <v>3153</v>
      </c>
      <c r="H2530" t="s">
        <v>458</v>
      </c>
      <c r="I2530" t="s">
        <v>374</v>
      </c>
      <c r="J2530" t="s">
        <v>906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3148</v>
      </c>
      <c r="B2531" t="s">
        <v>3350</v>
      </c>
      <c r="C2531" t="s">
        <v>609</v>
      </c>
      <c r="D2531" t="s">
        <v>3129</v>
      </c>
      <c r="E2531" t="s">
        <v>3363</v>
      </c>
      <c r="F2531" t="s">
        <v>3352</v>
      </c>
      <c r="G2531" t="s">
        <v>3153</v>
      </c>
      <c r="H2531" t="s">
        <v>458</v>
      </c>
      <c r="I2531" t="s">
        <v>374</v>
      </c>
      <c r="J2531" t="s">
        <v>906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3148</v>
      </c>
      <c r="B2532" t="s">
        <v>3350</v>
      </c>
      <c r="C2532" t="s">
        <v>609</v>
      </c>
      <c r="D2532" t="s">
        <v>3129</v>
      </c>
      <c r="E2532" t="s">
        <v>3364</v>
      </c>
      <c r="F2532" t="s">
        <v>3352</v>
      </c>
      <c r="G2532" t="s">
        <v>3153</v>
      </c>
      <c r="H2532" t="s">
        <v>458</v>
      </c>
      <c r="I2532" t="s">
        <v>374</v>
      </c>
      <c r="J2532" t="s">
        <v>906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3148</v>
      </c>
      <c r="B2533" t="s">
        <v>3350</v>
      </c>
      <c r="C2533" t="s">
        <v>368</v>
      </c>
      <c r="D2533" t="s">
        <v>3129</v>
      </c>
      <c r="E2533" t="s">
        <v>3365</v>
      </c>
      <c r="F2533" t="s">
        <v>3352</v>
      </c>
      <c r="G2533" t="s">
        <v>3153</v>
      </c>
      <c r="H2533" t="s">
        <v>458</v>
      </c>
      <c r="I2533" t="s">
        <v>374</v>
      </c>
      <c r="J2533" t="s">
        <v>906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3148</v>
      </c>
      <c r="B2534" t="s">
        <v>3350</v>
      </c>
      <c r="C2534" t="s">
        <v>368</v>
      </c>
      <c r="D2534" t="s">
        <v>3129</v>
      </c>
      <c r="E2534" t="s">
        <v>3366</v>
      </c>
      <c r="F2534" t="s">
        <v>3352</v>
      </c>
      <c r="G2534" t="s">
        <v>3153</v>
      </c>
      <c r="H2534" t="s">
        <v>458</v>
      </c>
      <c r="I2534" t="s">
        <v>374</v>
      </c>
      <c r="J2534" t="s">
        <v>906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3158</v>
      </c>
      <c r="B2535" t="s">
        <v>3165</v>
      </c>
      <c r="C2535" t="s">
        <v>368</v>
      </c>
      <c r="D2535" t="s">
        <v>3129</v>
      </c>
      <c r="E2535" t="s">
        <v>3367</v>
      </c>
      <c r="F2535" t="s">
        <v>3368</v>
      </c>
      <c r="G2535" t="s">
        <v>3162</v>
      </c>
      <c r="H2535" t="s">
        <v>3369</v>
      </c>
      <c r="I2535" t="s">
        <v>3370</v>
      </c>
      <c r="J2535" t="s">
        <v>429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3158</v>
      </c>
      <c r="B2536" t="s">
        <v>3165</v>
      </c>
      <c r="C2536" t="s">
        <v>368</v>
      </c>
      <c r="D2536" t="s">
        <v>3129</v>
      </c>
      <c r="E2536" t="s">
        <v>3371</v>
      </c>
      <c r="F2536" t="s">
        <v>3368</v>
      </c>
      <c r="G2536" t="s">
        <v>3162</v>
      </c>
      <c r="H2536" t="s">
        <v>3369</v>
      </c>
      <c r="I2536" t="s">
        <v>3370</v>
      </c>
      <c r="J2536" t="s">
        <v>429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3158</v>
      </c>
      <c r="B2537" t="s">
        <v>3165</v>
      </c>
      <c r="C2537" t="s">
        <v>368</v>
      </c>
      <c r="D2537" t="s">
        <v>3129</v>
      </c>
      <c r="E2537" t="s">
        <v>3372</v>
      </c>
      <c r="F2537" t="s">
        <v>3368</v>
      </c>
      <c r="G2537" t="s">
        <v>3162</v>
      </c>
      <c r="H2537" t="s">
        <v>3369</v>
      </c>
      <c r="I2537" t="s">
        <v>3370</v>
      </c>
      <c r="J2537" t="s">
        <v>429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3158</v>
      </c>
      <c r="B2538" t="s">
        <v>3165</v>
      </c>
      <c r="C2538" t="s">
        <v>368</v>
      </c>
      <c r="D2538" t="s">
        <v>3129</v>
      </c>
      <c r="E2538" t="s">
        <v>3373</v>
      </c>
      <c r="F2538" t="s">
        <v>3368</v>
      </c>
      <c r="G2538" t="s">
        <v>3162</v>
      </c>
      <c r="H2538" t="s">
        <v>3369</v>
      </c>
      <c r="I2538" t="s">
        <v>3370</v>
      </c>
      <c r="J2538" t="s">
        <v>429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3158</v>
      </c>
      <c r="B2539" t="s">
        <v>3165</v>
      </c>
      <c r="C2539" t="s">
        <v>368</v>
      </c>
      <c r="D2539" t="s">
        <v>3129</v>
      </c>
      <c r="E2539" t="s">
        <v>3374</v>
      </c>
      <c r="F2539" t="s">
        <v>3368</v>
      </c>
      <c r="G2539" t="s">
        <v>3162</v>
      </c>
      <c r="H2539" t="s">
        <v>3369</v>
      </c>
      <c r="I2539" t="s">
        <v>3370</v>
      </c>
      <c r="J2539" t="s">
        <v>429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3158</v>
      </c>
      <c r="B2540" t="s">
        <v>3165</v>
      </c>
      <c r="C2540" t="s">
        <v>368</v>
      </c>
      <c r="D2540" t="s">
        <v>3129</v>
      </c>
      <c r="E2540" t="s">
        <v>3375</v>
      </c>
      <c r="F2540" t="s">
        <v>3368</v>
      </c>
      <c r="G2540" t="s">
        <v>3162</v>
      </c>
      <c r="H2540" t="s">
        <v>3369</v>
      </c>
      <c r="I2540" t="s">
        <v>3370</v>
      </c>
      <c r="J2540" t="s">
        <v>429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3376</v>
      </c>
      <c r="B2541" t="s">
        <v>3377</v>
      </c>
      <c r="C2541" t="s">
        <v>368</v>
      </c>
      <c r="D2541" t="s">
        <v>3129</v>
      </c>
      <c r="E2541" t="s">
        <v>3378</v>
      </c>
      <c r="F2541" t="s">
        <v>3379</v>
      </c>
      <c r="G2541" t="s">
        <v>3380</v>
      </c>
      <c r="H2541" t="s">
        <v>458</v>
      </c>
      <c r="I2541" t="s">
        <v>374</v>
      </c>
      <c r="J2541" t="s">
        <v>3381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3376</v>
      </c>
      <c r="B2542" t="s">
        <v>3377</v>
      </c>
      <c r="C2542" t="s">
        <v>368</v>
      </c>
      <c r="D2542" t="s">
        <v>3129</v>
      </c>
      <c r="E2542" t="s">
        <v>3382</v>
      </c>
      <c r="F2542" t="s">
        <v>3379</v>
      </c>
      <c r="G2542" t="s">
        <v>3380</v>
      </c>
      <c r="H2542" t="s">
        <v>458</v>
      </c>
      <c r="I2542" t="s">
        <v>374</v>
      </c>
      <c r="J2542" t="s">
        <v>3381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3376</v>
      </c>
      <c r="B2543" t="s">
        <v>3377</v>
      </c>
      <c r="C2543" t="s">
        <v>368</v>
      </c>
      <c r="D2543" t="s">
        <v>3129</v>
      </c>
      <c r="E2543" t="s">
        <v>3383</v>
      </c>
      <c r="F2543" t="s">
        <v>3379</v>
      </c>
      <c r="G2543" t="s">
        <v>3380</v>
      </c>
      <c r="H2543" t="s">
        <v>458</v>
      </c>
      <c r="I2543" t="s">
        <v>374</v>
      </c>
      <c r="J2543" t="s">
        <v>3381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3376</v>
      </c>
      <c r="B2544" t="s">
        <v>3377</v>
      </c>
      <c r="C2544" t="s">
        <v>368</v>
      </c>
      <c r="D2544" t="s">
        <v>3129</v>
      </c>
      <c r="E2544" t="s">
        <v>3384</v>
      </c>
      <c r="F2544" t="s">
        <v>3379</v>
      </c>
      <c r="G2544" t="s">
        <v>3380</v>
      </c>
      <c r="H2544" t="s">
        <v>458</v>
      </c>
      <c r="I2544" t="s">
        <v>374</v>
      </c>
      <c r="J2544" t="s">
        <v>3381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3376</v>
      </c>
      <c r="B2545" t="s">
        <v>3377</v>
      </c>
      <c r="C2545" t="s">
        <v>368</v>
      </c>
      <c r="D2545" t="s">
        <v>3129</v>
      </c>
      <c r="E2545" t="s">
        <v>3385</v>
      </c>
      <c r="F2545" t="s">
        <v>3379</v>
      </c>
      <c r="G2545" t="s">
        <v>3380</v>
      </c>
      <c r="H2545" t="s">
        <v>458</v>
      </c>
      <c r="I2545" t="s">
        <v>374</v>
      </c>
      <c r="J2545" t="s">
        <v>3381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3376</v>
      </c>
      <c r="B2546" t="s">
        <v>3377</v>
      </c>
      <c r="C2546" t="s">
        <v>368</v>
      </c>
      <c r="D2546" t="s">
        <v>3129</v>
      </c>
      <c r="E2546" t="s">
        <v>3386</v>
      </c>
      <c r="F2546" t="s">
        <v>3379</v>
      </c>
      <c r="G2546" t="s">
        <v>3380</v>
      </c>
      <c r="H2546" t="s">
        <v>458</v>
      </c>
      <c r="I2546" t="s">
        <v>374</v>
      </c>
      <c r="J2546" t="s">
        <v>3381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3376</v>
      </c>
      <c r="B2547" t="s">
        <v>3377</v>
      </c>
      <c r="C2547" t="s">
        <v>368</v>
      </c>
      <c r="D2547" t="s">
        <v>3129</v>
      </c>
      <c r="E2547" t="s">
        <v>3387</v>
      </c>
      <c r="F2547" t="s">
        <v>3379</v>
      </c>
      <c r="G2547" t="s">
        <v>3380</v>
      </c>
      <c r="H2547" t="s">
        <v>458</v>
      </c>
      <c r="I2547" t="s">
        <v>374</v>
      </c>
      <c r="J2547" t="s">
        <v>3381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3376</v>
      </c>
      <c r="B2548" t="s">
        <v>3377</v>
      </c>
      <c r="C2548" t="s">
        <v>368</v>
      </c>
      <c r="D2548" t="s">
        <v>3129</v>
      </c>
      <c r="E2548" t="s">
        <v>3388</v>
      </c>
      <c r="F2548" t="s">
        <v>3379</v>
      </c>
      <c r="G2548" t="s">
        <v>3380</v>
      </c>
      <c r="H2548" t="s">
        <v>458</v>
      </c>
      <c r="I2548" t="s">
        <v>374</v>
      </c>
      <c r="J2548" t="s">
        <v>3381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3376</v>
      </c>
      <c r="B2549" t="s">
        <v>3377</v>
      </c>
      <c r="C2549" t="s">
        <v>368</v>
      </c>
      <c r="D2549" t="s">
        <v>3129</v>
      </c>
      <c r="E2549" t="s">
        <v>3389</v>
      </c>
      <c r="F2549" t="s">
        <v>3379</v>
      </c>
      <c r="G2549" t="s">
        <v>3380</v>
      </c>
      <c r="H2549" t="s">
        <v>458</v>
      </c>
      <c r="I2549" t="s">
        <v>374</v>
      </c>
      <c r="J2549" t="s">
        <v>3381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3376</v>
      </c>
      <c r="B2550" t="s">
        <v>3377</v>
      </c>
      <c r="C2550" t="s">
        <v>609</v>
      </c>
      <c r="D2550" t="s">
        <v>3129</v>
      </c>
      <c r="E2550" t="s">
        <v>3390</v>
      </c>
      <c r="F2550" t="s">
        <v>3379</v>
      </c>
      <c r="G2550" t="s">
        <v>3380</v>
      </c>
      <c r="H2550" t="s">
        <v>458</v>
      </c>
      <c r="I2550" t="s">
        <v>374</v>
      </c>
      <c r="J2550" t="s">
        <v>3381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3376</v>
      </c>
      <c r="B2551" t="s">
        <v>3377</v>
      </c>
      <c r="C2551" t="s">
        <v>609</v>
      </c>
      <c r="D2551" t="s">
        <v>3129</v>
      </c>
      <c r="E2551" t="s">
        <v>3391</v>
      </c>
      <c r="F2551" t="s">
        <v>3379</v>
      </c>
      <c r="G2551" t="s">
        <v>3380</v>
      </c>
      <c r="H2551" t="s">
        <v>458</v>
      </c>
      <c r="I2551" t="s">
        <v>374</v>
      </c>
      <c r="J2551" t="s">
        <v>3381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3376</v>
      </c>
      <c r="B2552" t="s">
        <v>3377</v>
      </c>
      <c r="C2552" t="s">
        <v>609</v>
      </c>
      <c r="D2552" t="s">
        <v>3129</v>
      </c>
      <c r="E2552" t="s">
        <v>3392</v>
      </c>
      <c r="F2552" t="s">
        <v>3379</v>
      </c>
      <c r="G2552" t="s">
        <v>3380</v>
      </c>
      <c r="H2552" t="s">
        <v>458</v>
      </c>
      <c r="I2552" t="s">
        <v>374</v>
      </c>
      <c r="J2552" t="s">
        <v>3381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3376</v>
      </c>
      <c r="B2553" t="s">
        <v>3377</v>
      </c>
      <c r="C2553" t="s">
        <v>609</v>
      </c>
      <c r="D2553" t="s">
        <v>3129</v>
      </c>
      <c r="E2553" t="s">
        <v>3393</v>
      </c>
      <c r="F2553" t="s">
        <v>3379</v>
      </c>
      <c r="G2553" t="s">
        <v>3380</v>
      </c>
      <c r="H2553" t="s">
        <v>458</v>
      </c>
      <c r="I2553" t="s">
        <v>374</v>
      </c>
      <c r="J2553" t="s">
        <v>3381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3376</v>
      </c>
      <c r="B2554" t="s">
        <v>3377</v>
      </c>
      <c r="C2554" t="s">
        <v>368</v>
      </c>
      <c r="D2554" t="s">
        <v>3129</v>
      </c>
      <c r="E2554" t="s">
        <v>3394</v>
      </c>
      <c r="F2554" t="s">
        <v>3379</v>
      </c>
      <c r="G2554" t="s">
        <v>3380</v>
      </c>
      <c r="H2554" t="s">
        <v>458</v>
      </c>
      <c r="I2554" t="s">
        <v>374</v>
      </c>
      <c r="J2554" t="s">
        <v>3381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3376</v>
      </c>
      <c r="B2555" t="s">
        <v>3377</v>
      </c>
      <c r="C2555" t="s">
        <v>368</v>
      </c>
      <c r="D2555" t="s">
        <v>3129</v>
      </c>
      <c r="E2555" t="s">
        <v>3395</v>
      </c>
      <c r="F2555" t="s">
        <v>3379</v>
      </c>
      <c r="G2555" t="s">
        <v>3380</v>
      </c>
      <c r="H2555" t="s">
        <v>458</v>
      </c>
      <c r="I2555" t="s">
        <v>374</v>
      </c>
      <c r="J2555" t="s">
        <v>3381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3376</v>
      </c>
      <c r="B2556" t="s">
        <v>3396</v>
      </c>
      <c r="C2556" t="s">
        <v>368</v>
      </c>
      <c r="D2556" t="s">
        <v>3129</v>
      </c>
      <c r="E2556" t="s">
        <v>3397</v>
      </c>
      <c r="F2556" t="s">
        <v>3398</v>
      </c>
      <c r="G2556" t="s">
        <v>3380</v>
      </c>
      <c r="H2556" t="s">
        <v>458</v>
      </c>
      <c r="I2556" t="s">
        <v>374</v>
      </c>
      <c r="J2556" t="s">
        <v>429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3376</v>
      </c>
      <c r="B2557" t="s">
        <v>3396</v>
      </c>
      <c r="C2557" t="s">
        <v>368</v>
      </c>
      <c r="D2557" t="s">
        <v>3129</v>
      </c>
      <c r="E2557" t="s">
        <v>3399</v>
      </c>
      <c r="F2557" t="s">
        <v>3398</v>
      </c>
      <c r="G2557" t="s">
        <v>3380</v>
      </c>
      <c r="H2557" t="s">
        <v>458</v>
      </c>
      <c r="I2557" t="s">
        <v>374</v>
      </c>
      <c r="J2557" t="s">
        <v>429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3376</v>
      </c>
      <c r="B2558" t="s">
        <v>3396</v>
      </c>
      <c r="C2558" t="s">
        <v>368</v>
      </c>
      <c r="D2558" t="s">
        <v>3129</v>
      </c>
      <c r="E2558" t="s">
        <v>3400</v>
      </c>
      <c r="F2558" t="s">
        <v>3398</v>
      </c>
      <c r="G2558" t="s">
        <v>3380</v>
      </c>
      <c r="H2558" t="s">
        <v>458</v>
      </c>
      <c r="I2558" t="s">
        <v>374</v>
      </c>
      <c r="J2558" t="s">
        <v>429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3376</v>
      </c>
      <c r="B2559" t="s">
        <v>3396</v>
      </c>
      <c r="C2559" t="s">
        <v>368</v>
      </c>
      <c r="D2559" t="s">
        <v>3129</v>
      </c>
      <c r="E2559" t="s">
        <v>3401</v>
      </c>
      <c r="F2559" t="s">
        <v>3398</v>
      </c>
      <c r="G2559" t="s">
        <v>3380</v>
      </c>
      <c r="H2559" t="s">
        <v>458</v>
      </c>
      <c r="I2559" t="s">
        <v>374</v>
      </c>
      <c r="J2559" t="s">
        <v>429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3376</v>
      </c>
      <c r="B2560" t="s">
        <v>3396</v>
      </c>
      <c r="C2560" t="s">
        <v>368</v>
      </c>
      <c r="D2560" t="s">
        <v>3129</v>
      </c>
      <c r="E2560" t="s">
        <v>3402</v>
      </c>
      <c r="F2560" t="s">
        <v>3398</v>
      </c>
      <c r="G2560" t="s">
        <v>3380</v>
      </c>
      <c r="H2560" t="s">
        <v>458</v>
      </c>
      <c r="I2560" t="s">
        <v>374</v>
      </c>
      <c r="J2560" t="s">
        <v>429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3376</v>
      </c>
      <c r="B2561" t="s">
        <v>3396</v>
      </c>
      <c r="C2561" t="s">
        <v>368</v>
      </c>
      <c r="D2561" t="s">
        <v>3129</v>
      </c>
      <c r="E2561" t="s">
        <v>3403</v>
      </c>
      <c r="F2561" t="s">
        <v>3398</v>
      </c>
      <c r="G2561" t="s">
        <v>3380</v>
      </c>
      <c r="H2561" t="s">
        <v>458</v>
      </c>
      <c r="I2561" t="s">
        <v>374</v>
      </c>
      <c r="J2561" t="s">
        <v>429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3376</v>
      </c>
      <c r="B2562" t="s">
        <v>3396</v>
      </c>
      <c r="C2562" t="s">
        <v>368</v>
      </c>
      <c r="D2562" t="s">
        <v>3129</v>
      </c>
      <c r="E2562" t="s">
        <v>3404</v>
      </c>
      <c r="F2562" t="s">
        <v>3398</v>
      </c>
      <c r="G2562" t="s">
        <v>3380</v>
      </c>
      <c r="H2562" t="s">
        <v>458</v>
      </c>
      <c r="I2562" t="s">
        <v>374</v>
      </c>
      <c r="J2562" t="s">
        <v>429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3376</v>
      </c>
      <c r="B2563" t="s">
        <v>3396</v>
      </c>
      <c r="C2563" t="s">
        <v>368</v>
      </c>
      <c r="D2563" t="s">
        <v>3129</v>
      </c>
      <c r="E2563" t="s">
        <v>3405</v>
      </c>
      <c r="F2563" t="s">
        <v>3398</v>
      </c>
      <c r="G2563" t="s">
        <v>3380</v>
      </c>
      <c r="H2563" t="s">
        <v>458</v>
      </c>
      <c r="I2563" t="s">
        <v>374</v>
      </c>
      <c r="J2563" t="s">
        <v>429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3376</v>
      </c>
      <c r="B2564" t="s">
        <v>3396</v>
      </c>
      <c r="C2564" t="s">
        <v>368</v>
      </c>
      <c r="D2564" t="s">
        <v>3129</v>
      </c>
      <c r="E2564" t="s">
        <v>3406</v>
      </c>
      <c r="F2564" t="s">
        <v>3398</v>
      </c>
      <c r="G2564" t="s">
        <v>3380</v>
      </c>
      <c r="H2564" t="s">
        <v>458</v>
      </c>
      <c r="I2564" t="s">
        <v>374</v>
      </c>
      <c r="J2564" t="s">
        <v>429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3376</v>
      </c>
      <c r="B2565" t="s">
        <v>3396</v>
      </c>
      <c r="C2565" t="s">
        <v>609</v>
      </c>
      <c r="D2565" t="s">
        <v>3129</v>
      </c>
      <c r="E2565" t="s">
        <v>3407</v>
      </c>
      <c r="F2565" t="s">
        <v>3398</v>
      </c>
      <c r="G2565" t="s">
        <v>3380</v>
      </c>
      <c r="H2565" t="s">
        <v>458</v>
      </c>
      <c r="I2565" t="s">
        <v>374</v>
      </c>
      <c r="J2565" t="s">
        <v>429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3376</v>
      </c>
      <c r="B2566" t="s">
        <v>3396</v>
      </c>
      <c r="C2566" t="s">
        <v>609</v>
      </c>
      <c r="D2566" t="s">
        <v>3129</v>
      </c>
      <c r="E2566" t="s">
        <v>3408</v>
      </c>
      <c r="F2566" t="s">
        <v>3398</v>
      </c>
      <c r="G2566" t="s">
        <v>3380</v>
      </c>
      <c r="H2566" t="s">
        <v>458</v>
      </c>
      <c r="I2566" t="s">
        <v>374</v>
      </c>
      <c r="J2566" t="s">
        <v>429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3376</v>
      </c>
      <c r="B2567" t="s">
        <v>3396</v>
      </c>
      <c r="C2567" t="s">
        <v>609</v>
      </c>
      <c r="D2567" t="s">
        <v>3129</v>
      </c>
      <c r="E2567" t="s">
        <v>3409</v>
      </c>
      <c r="F2567" t="s">
        <v>3398</v>
      </c>
      <c r="G2567" t="s">
        <v>3380</v>
      </c>
      <c r="H2567" t="s">
        <v>458</v>
      </c>
      <c r="I2567" t="s">
        <v>374</v>
      </c>
      <c r="J2567" t="s">
        <v>429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3376</v>
      </c>
      <c r="B2568" t="s">
        <v>3396</v>
      </c>
      <c r="C2568" t="s">
        <v>609</v>
      </c>
      <c r="D2568" t="s">
        <v>3129</v>
      </c>
      <c r="E2568" t="s">
        <v>3410</v>
      </c>
      <c r="F2568" t="s">
        <v>3398</v>
      </c>
      <c r="G2568" t="s">
        <v>3380</v>
      </c>
      <c r="H2568" t="s">
        <v>458</v>
      </c>
      <c r="I2568" t="s">
        <v>374</v>
      </c>
      <c r="J2568" t="s">
        <v>429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3376</v>
      </c>
      <c r="B2569" t="s">
        <v>3396</v>
      </c>
      <c r="C2569" t="s">
        <v>368</v>
      </c>
      <c r="D2569" t="s">
        <v>3129</v>
      </c>
      <c r="E2569" t="s">
        <v>3411</v>
      </c>
      <c r="F2569" t="s">
        <v>3398</v>
      </c>
      <c r="G2569" t="s">
        <v>3380</v>
      </c>
      <c r="H2569" t="s">
        <v>458</v>
      </c>
      <c r="I2569" t="s">
        <v>374</v>
      </c>
      <c r="J2569" t="s">
        <v>429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3376</v>
      </c>
      <c r="B2570" t="s">
        <v>3396</v>
      </c>
      <c r="C2570" t="s">
        <v>368</v>
      </c>
      <c r="D2570" t="s">
        <v>3129</v>
      </c>
      <c r="E2570" t="s">
        <v>3412</v>
      </c>
      <c r="F2570" t="s">
        <v>3398</v>
      </c>
      <c r="G2570" t="s">
        <v>3380</v>
      </c>
      <c r="H2570" t="s">
        <v>458</v>
      </c>
      <c r="I2570" t="s">
        <v>374</v>
      </c>
      <c r="J2570" t="s">
        <v>429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3376</v>
      </c>
      <c r="B2571" t="s">
        <v>3413</v>
      </c>
      <c r="C2571" t="s">
        <v>368</v>
      </c>
      <c r="D2571" t="s">
        <v>3129</v>
      </c>
      <c r="E2571" t="s">
        <v>3414</v>
      </c>
      <c r="F2571" t="s">
        <v>3415</v>
      </c>
      <c r="G2571" t="s">
        <v>3380</v>
      </c>
      <c r="H2571" t="s">
        <v>458</v>
      </c>
      <c r="I2571" t="s">
        <v>374</v>
      </c>
      <c r="J2571" t="s">
        <v>757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3376</v>
      </c>
      <c r="B2572" t="s">
        <v>3413</v>
      </c>
      <c r="C2572" t="s">
        <v>368</v>
      </c>
      <c r="D2572" t="s">
        <v>3129</v>
      </c>
      <c r="E2572" t="s">
        <v>3416</v>
      </c>
      <c r="F2572" t="s">
        <v>3415</v>
      </c>
      <c r="G2572" t="s">
        <v>3380</v>
      </c>
      <c r="H2572" t="s">
        <v>458</v>
      </c>
      <c r="I2572" t="s">
        <v>374</v>
      </c>
      <c r="J2572" t="s">
        <v>757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3376</v>
      </c>
      <c r="B2573" t="s">
        <v>3413</v>
      </c>
      <c r="C2573" t="s">
        <v>368</v>
      </c>
      <c r="D2573" t="s">
        <v>3129</v>
      </c>
      <c r="E2573" t="s">
        <v>3417</v>
      </c>
      <c r="F2573" t="s">
        <v>3415</v>
      </c>
      <c r="G2573" t="s">
        <v>3380</v>
      </c>
      <c r="H2573" t="s">
        <v>458</v>
      </c>
      <c r="I2573" t="s">
        <v>374</v>
      </c>
      <c r="J2573" t="s">
        <v>757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3376</v>
      </c>
      <c r="B2574" t="s">
        <v>3413</v>
      </c>
      <c r="C2574" t="s">
        <v>368</v>
      </c>
      <c r="D2574" t="s">
        <v>3129</v>
      </c>
      <c r="E2574" t="s">
        <v>3418</v>
      </c>
      <c r="F2574" t="s">
        <v>3415</v>
      </c>
      <c r="G2574" t="s">
        <v>3380</v>
      </c>
      <c r="H2574" t="s">
        <v>458</v>
      </c>
      <c r="I2574" t="s">
        <v>374</v>
      </c>
      <c r="J2574" t="s">
        <v>757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3376</v>
      </c>
      <c r="B2575" t="s">
        <v>3413</v>
      </c>
      <c r="C2575" t="s">
        <v>368</v>
      </c>
      <c r="D2575" t="s">
        <v>3129</v>
      </c>
      <c r="E2575" t="s">
        <v>3419</v>
      </c>
      <c r="F2575" t="s">
        <v>3415</v>
      </c>
      <c r="G2575" t="s">
        <v>3380</v>
      </c>
      <c r="H2575" t="s">
        <v>458</v>
      </c>
      <c r="I2575" t="s">
        <v>374</v>
      </c>
      <c r="J2575" t="s">
        <v>757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3376</v>
      </c>
      <c r="B2576" t="s">
        <v>3413</v>
      </c>
      <c r="C2576" t="s">
        <v>368</v>
      </c>
      <c r="D2576" t="s">
        <v>3129</v>
      </c>
      <c r="E2576" t="s">
        <v>3420</v>
      </c>
      <c r="F2576" t="s">
        <v>3415</v>
      </c>
      <c r="G2576" t="s">
        <v>3380</v>
      </c>
      <c r="H2576" t="s">
        <v>458</v>
      </c>
      <c r="I2576" t="s">
        <v>374</v>
      </c>
      <c r="J2576" t="s">
        <v>757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3376</v>
      </c>
      <c r="B2577" t="s">
        <v>3413</v>
      </c>
      <c r="C2577" t="s">
        <v>368</v>
      </c>
      <c r="D2577" t="s">
        <v>3129</v>
      </c>
      <c r="E2577" t="s">
        <v>3421</v>
      </c>
      <c r="F2577" t="s">
        <v>3415</v>
      </c>
      <c r="G2577" t="s">
        <v>3380</v>
      </c>
      <c r="H2577" t="s">
        <v>458</v>
      </c>
      <c r="I2577" t="s">
        <v>374</v>
      </c>
      <c r="J2577" t="s">
        <v>757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3376</v>
      </c>
      <c r="B2578" t="s">
        <v>3413</v>
      </c>
      <c r="C2578" t="s">
        <v>368</v>
      </c>
      <c r="D2578" t="s">
        <v>3129</v>
      </c>
      <c r="E2578" t="s">
        <v>3422</v>
      </c>
      <c r="F2578" t="s">
        <v>3415</v>
      </c>
      <c r="G2578" t="s">
        <v>3380</v>
      </c>
      <c r="H2578" t="s">
        <v>458</v>
      </c>
      <c r="I2578" t="s">
        <v>374</v>
      </c>
      <c r="J2578" t="s">
        <v>757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3376</v>
      </c>
      <c r="B2579" t="s">
        <v>3413</v>
      </c>
      <c r="C2579" t="s">
        <v>368</v>
      </c>
      <c r="D2579" t="s">
        <v>3129</v>
      </c>
      <c r="E2579" t="s">
        <v>3423</v>
      </c>
      <c r="F2579" t="s">
        <v>3415</v>
      </c>
      <c r="G2579" t="s">
        <v>3380</v>
      </c>
      <c r="H2579" t="s">
        <v>458</v>
      </c>
      <c r="I2579" t="s">
        <v>374</v>
      </c>
      <c r="J2579" t="s">
        <v>757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3376</v>
      </c>
      <c r="B2580" t="s">
        <v>3413</v>
      </c>
      <c r="C2580" t="s">
        <v>609</v>
      </c>
      <c r="D2580" t="s">
        <v>3129</v>
      </c>
      <c r="E2580" t="s">
        <v>3424</v>
      </c>
      <c r="F2580" t="s">
        <v>3415</v>
      </c>
      <c r="G2580" t="s">
        <v>3380</v>
      </c>
      <c r="H2580" t="s">
        <v>458</v>
      </c>
      <c r="I2580" t="s">
        <v>374</v>
      </c>
      <c r="J2580" t="s">
        <v>757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3376</v>
      </c>
      <c r="B2581" t="s">
        <v>3413</v>
      </c>
      <c r="C2581" t="s">
        <v>609</v>
      </c>
      <c r="D2581" t="s">
        <v>3129</v>
      </c>
      <c r="E2581" t="s">
        <v>3425</v>
      </c>
      <c r="F2581" t="s">
        <v>3415</v>
      </c>
      <c r="G2581" t="s">
        <v>3380</v>
      </c>
      <c r="H2581" t="s">
        <v>458</v>
      </c>
      <c r="I2581" t="s">
        <v>374</v>
      </c>
      <c r="J2581" t="s">
        <v>757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3376</v>
      </c>
      <c r="B2582" t="s">
        <v>3413</v>
      </c>
      <c r="C2582" t="s">
        <v>609</v>
      </c>
      <c r="D2582" t="s">
        <v>3129</v>
      </c>
      <c r="E2582" t="s">
        <v>3426</v>
      </c>
      <c r="F2582" t="s">
        <v>3415</v>
      </c>
      <c r="G2582" t="s">
        <v>3380</v>
      </c>
      <c r="H2582" t="s">
        <v>458</v>
      </c>
      <c r="I2582" t="s">
        <v>374</v>
      </c>
      <c r="J2582" t="s">
        <v>757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3376</v>
      </c>
      <c r="B2583" t="s">
        <v>3413</v>
      </c>
      <c r="C2583" t="s">
        <v>609</v>
      </c>
      <c r="D2583" t="s">
        <v>3129</v>
      </c>
      <c r="E2583" t="s">
        <v>3427</v>
      </c>
      <c r="F2583" t="s">
        <v>3415</v>
      </c>
      <c r="G2583" t="s">
        <v>3380</v>
      </c>
      <c r="H2583" t="s">
        <v>458</v>
      </c>
      <c r="I2583" t="s">
        <v>374</v>
      </c>
      <c r="J2583" t="s">
        <v>757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3376</v>
      </c>
      <c r="B2584" t="s">
        <v>3413</v>
      </c>
      <c r="C2584" t="s">
        <v>368</v>
      </c>
      <c r="D2584" t="s">
        <v>3129</v>
      </c>
      <c r="E2584" t="s">
        <v>3428</v>
      </c>
      <c r="F2584" t="s">
        <v>3415</v>
      </c>
      <c r="G2584" t="s">
        <v>3380</v>
      </c>
      <c r="H2584" t="s">
        <v>458</v>
      </c>
      <c r="I2584" t="s">
        <v>374</v>
      </c>
      <c r="J2584" t="s">
        <v>757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3376</v>
      </c>
      <c r="B2585" t="s">
        <v>3413</v>
      </c>
      <c r="C2585" t="s">
        <v>368</v>
      </c>
      <c r="D2585" t="s">
        <v>3129</v>
      </c>
      <c r="E2585" t="s">
        <v>3429</v>
      </c>
      <c r="F2585" t="s">
        <v>3415</v>
      </c>
      <c r="G2585" t="s">
        <v>3380</v>
      </c>
      <c r="H2585" t="s">
        <v>458</v>
      </c>
      <c r="I2585" t="s">
        <v>374</v>
      </c>
      <c r="J2585" t="s">
        <v>757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3376</v>
      </c>
      <c r="B2586" t="s">
        <v>3430</v>
      </c>
      <c r="C2586" t="s">
        <v>368</v>
      </c>
      <c r="D2586" t="s">
        <v>3129</v>
      </c>
      <c r="E2586" t="s">
        <v>3431</v>
      </c>
      <c r="F2586" t="s">
        <v>3432</v>
      </c>
      <c r="G2586" t="s">
        <v>3380</v>
      </c>
      <c r="H2586" t="s">
        <v>458</v>
      </c>
      <c r="I2586" t="s">
        <v>374</v>
      </c>
      <c r="J2586" t="s">
        <v>849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3376</v>
      </c>
      <c r="B2587" t="s">
        <v>3430</v>
      </c>
      <c r="C2587" t="s">
        <v>368</v>
      </c>
      <c r="D2587" t="s">
        <v>3129</v>
      </c>
      <c r="E2587" t="s">
        <v>3433</v>
      </c>
      <c r="F2587" t="s">
        <v>3432</v>
      </c>
      <c r="G2587" t="s">
        <v>3380</v>
      </c>
      <c r="H2587" t="s">
        <v>458</v>
      </c>
      <c r="I2587" t="s">
        <v>374</v>
      </c>
      <c r="J2587" t="s">
        <v>849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3376</v>
      </c>
      <c r="B2588" t="s">
        <v>3430</v>
      </c>
      <c r="C2588" t="s">
        <v>368</v>
      </c>
      <c r="D2588" t="s">
        <v>3129</v>
      </c>
      <c r="E2588" t="s">
        <v>3434</v>
      </c>
      <c r="F2588" t="s">
        <v>3432</v>
      </c>
      <c r="G2588" t="s">
        <v>3380</v>
      </c>
      <c r="H2588" t="s">
        <v>458</v>
      </c>
      <c r="I2588" t="s">
        <v>374</v>
      </c>
      <c r="J2588" t="s">
        <v>849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3376</v>
      </c>
      <c r="B2589" t="s">
        <v>3430</v>
      </c>
      <c r="C2589" t="s">
        <v>368</v>
      </c>
      <c r="D2589" t="s">
        <v>3129</v>
      </c>
      <c r="E2589" t="s">
        <v>3435</v>
      </c>
      <c r="F2589" t="s">
        <v>3432</v>
      </c>
      <c r="G2589" t="s">
        <v>3380</v>
      </c>
      <c r="H2589" t="s">
        <v>458</v>
      </c>
      <c r="I2589" t="s">
        <v>374</v>
      </c>
      <c r="J2589" t="s">
        <v>849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3376</v>
      </c>
      <c r="B2590" t="s">
        <v>3430</v>
      </c>
      <c r="C2590" t="s">
        <v>368</v>
      </c>
      <c r="D2590" t="s">
        <v>3129</v>
      </c>
      <c r="E2590" t="s">
        <v>3436</v>
      </c>
      <c r="F2590" t="s">
        <v>3432</v>
      </c>
      <c r="G2590" t="s">
        <v>3380</v>
      </c>
      <c r="H2590" t="s">
        <v>458</v>
      </c>
      <c r="I2590" t="s">
        <v>374</v>
      </c>
      <c r="J2590" t="s">
        <v>849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3376</v>
      </c>
      <c r="B2591" t="s">
        <v>3430</v>
      </c>
      <c r="C2591" t="s">
        <v>368</v>
      </c>
      <c r="D2591" t="s">
        <v>3129</v>
      </c>
      <c r="E2591" t="s">
        <v>3437</v>
      </c>
      <c r="F2591" t="s">
        <v>3432</v>
      </c>
      <c r="G2591" t="s">
        <v>3380</v>
      </c>
      <c r="H2591" t="s">
        <v>458</v>
      </c>
      <c r="I2591" t="s">
        <v>374</v>
      </c>
      <c r="J2591" t="s">
        <v>849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3376</v>
      </c>
      <c r="B2592" t="s">
        <v>3430</v>
      </c>
      <c r="C2592" t="s">
        <v>368</v>
      </c>
      <c r="D2592" t="s">
        <v>3129</v>
      </c>
      <c r="E2592" t="s">
        <v>3438</v>
      </c>
      <c r="F2592" t="s">
        <v>3432</v>
      </c>
      <c r="G2592" t="s">
        <v>3380</v>
      </c>
      <c r="H2592" t="s">
        <v>458</v>
      </c>
      <c r="I2592" t="s">
        <v>374</v>
      </c>
      <c r="J2592" t="s">
        <v>849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3376</v>
      </c>
      <c r="B2593" t="s">
        <v>3430</v>
      </c>
      <c r="C2593" t="s">
        <v>368</v>
      </c>
      <c r="D2593" t="s">
        <v>3129</v>
      </c>
      <c r="E2593" t="s">
        <v>3439</v>
      </c>
      <c r="F2593" t="s">
        <v>3432</v>
      </c>
      <c r="G2593" t="s">
        <v>3380</v>
      </c>
      <c r="H2593" t="s">
        <v>458</v>
      </c>
      <c r="I2593" t="s">
        <v>374</v>
      </c>
      <c r="J2593" t="s">
        <v>849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3376</v>
      </c>
      <c r="B2594" t="s">
        <v>3430</v>
      </c>
      <c r="C2594" t="s">
        <v>368</v>
      </c>
      <c r="D2594" t="s">
        <v>3129</v>
      </c>
      <c r="E2594" t="s">
        <v>3440</v>
      </c>
      <c r="F2594" t="s">
        <v>3432</v>
      </c>
      <c r="G2594" t="s">
        <v>3380</v>
      </c>
      <c r="H2594" t="s">
        <v>458</v>
      </c>
      <c r="I2594" t="s">
        <v>374</v>
      </c>
      <c r="J2594" t="s">
        <v>849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3376</v>
      </c>
      <c r="B2595" t="s">
        <v>3430</v>
      </c>
      <c r="C2595" t="s">
        <v>609</v>
      </c>
      <c r="D2595" t="s">
        <v>3129</v>
      </c>
      <c r="E2595" t="s">
        <v>3441</v>
      </c>
      <c r="F2595" t="s">
        <v>3432</v>
      </c>
      <c r="G2595" t="s">
        <v>3380</v>
      </c>
      <c r="H2595" t="s">
        <v>458</v>
      </c>
      <c r="I2595" t="s">
        <v>374</v>
      </c>
      <c r="J2595" t="s">
        <v>849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3376</v>
      </c>
      <c r="B2596" t="s">
        <v>3430</v>
      </c>
      <c r="C2596" t="s">
        <v>609</v>
      </c>
      <c r="D2596" t="s">
        <v>3129</v>
      </c>
      <c r="E2596" t="s">
        <v>3442</v>
      </c>
      <c r="F2596" t="s">
        <v>3432</v>
      </c>
      <c r="G2596" t="s">
        <v>3380</v>
      </c>
      <c r="H2596" t="s">
        <v>458</v>
      </c>
      <c r="I2596" t="s">
        <v>374</v>
      </c>
      <c r="J2596" t="s">
        <v>849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3376</v>
      </c>
      <c r="B2597" t="s">
        <v>3430</v>
      </c>
      <c r="C2597" t="s">
        <v>609</v>
      </c>
      <c r="D2597" t="s">
        <v>3129</v>
      </c>
      <c r="E2597" t="s">
        <v>3443</v>
      </c>
      <c r="F2597" t="s">
        <v>3432</v>
      </c>
      <c r="G2597" t="s">
        <v>3380</v>
      </c>
      <c r="H2597" t="s">
        <v>458</v>
      </c>
      <c r="I2597" t="s">
        <v>374</v>
      </c>
      <c r="J2597" t="s">
        <v>849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3376</v>
      </c>
      <c r="B2598" t="s">
        <v>3430</v>
      </c>
      <c r="C2598" t="s">
        <v>609</v>
      </c>
      <c r="D2598" t="s">
        <v>3129</v>
      </c>
      <c r="E2598" t="s">
        <v>3444</v>
      </c>
      <c r="F2598" t="s">
        <v>3432</v>
      </c>
      <c r="G2598" t="s">
        <v>3380</v>
      </c>
      <c r="H2598" t="s">
        <v>458</v>
      </c>
      <c r="I2598" t="s">
        <v>374</v>
      </c>
      <c r="J2598" t="s">
        <v>849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3376</v>
      </c>
      <c r="B2599" t="s">
        <v>3430</v>
      </c>
      <c r="C2599" t="s">
        <v>368</v>
      </c>
      <c r="D2599" t="s">
        <v>3129</v>
      </c>
      <c r="E2599" t="s">
        <v>3445</v>
      </c>
      <c r="F2599" t="s">
        <v>3432</v>
      </c>
      <c r="G2599" t="s">
        <v>3380</v>
      </c>
      <c r="H2599" t="s">
        <v>458</v>
      </c>
      <c r="I2599" t="s">
        <v>374</v>
      </c>
      <c r="J2599" t="s">
        <v>849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3376</v>
      </c>
      <c r="B2600" t="s">
        <v>3430</v>
      </c>
      <c r="C2600" t="s">
        <v>368</v>
      </c>
      <c r="D2600" t="s">
        <v>3129</v>
      </c>
      <c r="E2600" t="s">
        <v>3446</v>
      </c>
      <c r="F2600" t="s">
        <v>3432</v>
      </c>
      <c r="G2600" t="s">
        <v>3380</v>
      </c>
      <c r="H2600" t="s">
        <v>458</v>
      </c>
      <c r="I2600" t="s">
        <v>374</v>
      </c>
      <c r="J2600" t="s">
        <v>849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3376</v>
      </c>
      <c r="B2601" t="s">
        <v>3447</v>
      </c>
      <c r="C2601" t="s">
        <v>368</v>
      </c>
      <c r="D2601" t="s">
        <v>3129</v>
      </c>
      <c r="E2601" t="s">
        <v>3448</v>
      </c>
      <c r="F2601" t="s">
        <v>3449</v>
      </c>
      <c r="G2601" t="s">
        <v>3380</v>
      </c>
      <c r="H2601" t="s">
        <v>458</v>
      </c>
      <c r="I2601" t="s">
        <v>374</v>
      </c>
      <c r="J2601" t="s">
        <v>881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3376</v>
      </c>
      <c r="B2602" t="s">
        <v>3447</v>
      </c>
      <c r="C2602" t="s">
        <v>368</v>
      </c>
      <c r="D2602" t="s">
        <v>3129</v>
      </c>
      <c r="E2602" t="s">
        <v>3450</v>
      </c>
      <c r="F2602" t="s">
        <v>3449</v>
      </c>
      <c r="G2602" t="s">
        <v>3380</v>
      </c>
      <c r="H2602" t="s">
        <v>458</v>
      </c>
      <c r="I2602" t="s">
        <v>374</v>
      </c>
      <c r="J2602" t="s">
        <v>881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3376</v>
      </c>
      <c r="B2603" t="s">
        <v>3447</v>
      </c>
      <c r="C2603" t="s">
        <v>368</v>
      </c>
      <c r="D2603" t="s">
        <v>3129</v>
      </c>
      <c r="E2603" t="s">
        <v>3451</v>
      </c>
      <c r="F2603" t="s">
        <v>3449</v>
      </c>
      <c r="G2603" t="s">
        <v>3380</v>
      </c>
      <c r="H2603" t="s">
        <v>458</v>
      </c>
      <c r="I2603" t="s">
        <v>374</v>
      </c>
      <c r="J2603" t="s">
        <v>881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3376</v>
      </c>
      <c r="B2604" t="s">
        <v>3447</v>
      </c>
      <c r="C2604" t="s">
        <v>368</v>
      </c>
      <c r="D2604" t="s">
        <v>3129</v>
      </c>
      <c r="E2604" t="s">
        <v>3452</v>
      </c>
      <c r="F2604" t="s">
        <v>3449</v>
      </c>
      <c r="G2604" t="s">
        <v>3380</v>
      </c>
      <c r="H2604" t="s">
        <v>458</v>
      </c>
      <c r="I2604" t="s">
        <v>374</v>
      </c>
      <c r="J2604" t="s">
        <v>881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3376</v>
      </c>
      <c r="B2605" t="s">
        <v>3447</v>
      </c>
      <c r="C2605" t="s">
        <v>368</v>
      </c>
      <c r="D2605" t="s">
        <v>3129</v>
      </c>
      <c r="E2605" t="s">
        <v>3453</v>
      </c>
      <c r="F2605" t="s">
        <v>3449</v>
      </c>
      <c r="G2605" t="s">
        <v>3380</v>
      </c>
      <c r="H2605" t="s">
        <v>458</v>
      </c>
      <c r="I2605" t="s">
        <v>374</v>
      </c>
      <c r="J2605" t="s">
        <v>881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3376</v>
      </c>
      <c r="B2606" t="s">
        <v>3447</v>
      </c>
      <c r="C2606" t="s">
        <v>368</v>
      </c>
      <c r="D2606" t="s">
        <v>3129</v>
      </c>
      <c r="E2606" t="s">
        <v>3454</v>
      </c>
      <c r="F2606" t="s">
        <v>3449</v>
      </c>
      <c r="G2606" t="s">
        <v>3380</v>
      </c>
      <c r="H2606" t="s">
        <v>458</v>
      </c>
      <c r="I2606" t="s">
        <v>374</v>
      </c>
      <c r="J2606" t="s">
        <v>881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3376</v>
      </c>
      <c r="B2607" t="s">
        <v>3447</v>
      </c>
      <c r="C2607" t="s">
        <v>368</v>
      </c>
      <c r="D2607" t="s">
        <v>3129</v>
      </c>
      <c r="E2607" t="s">
        <v>3455</v>
      </c>
      <c r="F2607" t="s">
        <v>3449</v>
      </c>
      <c r="G2607" t="s">
        <v>3380</v>
      </c>
      <c r="H2607" t="s">
        <v>458</v>
      </c>
      <c r="I2607" t="s">
        <v>374</v>
      </c>
      <c r="J2607" t="s">
        <v>881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3376</v>
      </c>
      <c r="B2608" t="s">
        <v>3447</v>
      </c>
      <c r="C2608" t="s">
        <v>368</v>
      </c>
      <c r="D2608" t="s">
        <v>3129</v>
      </c>
      <c r="E2608" t="s">
        <v>3456</v>
      </c>
      <c r="F2608" t="s">
        <v>3449</v>
      </c>
      <c r="G2608" t="s">
        <v>3380</v>
      </c>
      <c r="H2608" t="s">
        <v>458</v>
      </c>
      <c r="I2608" t="s">
        <v>374</v>
      </c>
      <c r="J2608" t="s">
        <v>881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3376</v>
      </c>
      <c r="B2609" t="s">
        <v>3447</v>
      </c>
      <c r="C2609" t="s">
        <v>368</v>
      </c>
      <c r="D2609" t="s">
        <v>3129</v>
      </c>
      <c r="E2609" t="s">
        <v>3457</v>
      </c>
      <c r="F2609" t="s">
        <v>3449</v>
      </c>
      <c r="G2609" t="s">
        <v>3380</v>
      </c>
      <c r="H2609" t="s">
        <v>458</v>
      </c>
      <c r="I2609" t="s">
        <v>374</v>
      </c>
      <c r="J2609" t="s">
        <v>881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3376</v>
      </c>
      <c r="B2610" t="s">
        <v>3447</v>
      </c>
      <c r="C2610" t="s">
        <v>609</v>
      </c>
      <c r="D2610" t="s">
        <v>3129</v>
      </c>
      <c r="E2610" t="s">
        <v>3458</v>
      </c>
      <c r="F2610" t="s">
        <v>3449</v>
      </c>
      <c r="G2610" t="s">
        <v>3380</v>
      </c>
      <c r="H2610" t="s">
        <v>458</v>
      </c>
      <c r="I2610" t="s">
        <v>374</v>
      </c>
      <c r="J2610" t="s">
        <v>881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3376</v>
      </c>
      <c r="B2611" t="s">
        <v>3447</v>
      </c>
      <c r="C2611" t="s">
        <v>609</v>
      </c>
      <c r="D2611" t="s">
        <v>3129</v>
      </c>
      <c r="E2611" t="s">
        <v>3459</v>
      </c>
      <c r="F2611" t="s">
        <v>3449</v>
      </c>
      <c r="G2611" t="s">
        <v>3380</v>
      </c>
      <c r="H2611" t="s">
        <v>458</v>
      </c>
      <c r="I2611" t="s">
        <v>374</v>
      </c>
      <c r="J2611" t="s">
        <v>881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3376</v>
      </c>
      <c r="B2612" t="s">
        <v>3447</v>
      </c>
      <c r="C2612" t="s">
        <v>609</v>
      </c>
      <c r="D2612" t="s">
        <v>3129</v>
      </c>
      <c r="E2612" t="s">
        <v>3460</v>
      </c>
      <c r="F2612" t="s">
        <v>3449</v>
      </c>
      <c r="G2612" t="s">
        <v>3380</v>
      </c>
      <c r="H2612" t="s">
        <v>458</v>
      </c>
      <c r="I2612" t="s">
        <v>374</v>
      </c>
      <c r="J2612" t="s">
        <v>881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3376</v>
      </c>
      <c r="B2613" t="s">
        <v>3447</v>
      </c>
      <c r="C2613" t="s">
        <v>609</v>
      </c>
      <c r="D2613" t="s">
        <v>3129</v>
      </c>
      <c r="E2613" t="s">
        <v>3461</v>
      </c>
      <c r="F2613" t="s">
        <v>3449</v>
      </c>
      <c r="G2613" t="s">
        <v>3380</v>
      </c>
      <c r="H2613" t="s">
        <v>458</v>
      </c>
      <c r="I2613" t="s">
        <v>374</v>
      </c>
      <c r="J2613" t="s">
        <v>881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3376</v>
      </c>
      <c r="B2614" t="s">
        <v>3447</v>
      </c>
      <c r="C2614" t="s">
        <v>368</v>
      </c>
      <c r="D2614" t="s">
        <v>3129</v>
      </c>
      <c r="E2614" t="s">
        <v>3462</v>
      </c>
      <c r="F2614" t="s">
        <v>3449</v>
      </c>
      <c r="G2614" t="s">
        <v>3380</v>
      </c>
      <c r="H2614" t="s">
        <v>458</v>
      </c>
      <c r="I2614" t="s">
        <v>374</v>
      </c>
      <c r="J2614" t="s">
        <v>881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3376</v>
      </c>
      <c r="B2615" t="s">
        <v>3447</v>
      </c>
      <c r="C2615" t="s">
        <v>368</v>
      </c>
      <c r="D2615" t="s">
        <v>3129</v>
      </c>
      <c r="E2615" t="s">
        <v>3463</v>
      </c>
      <c r="F2615" t="s">
        <v>3449</v>
      </c>
      <c r="G2615" t="s">
        <v>3380</v>
      </c>
      <c r="H2615" t="s">
        <v>458</v>
      </c>
      <c r="I2615" t="s">
        <v>374</v>
      </c>
      <c r="J2615" t="s">
        <v>881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3376</v>
      </c>
      <c r="B2616" t="s">
        <v>3464</v>
      </c>
      <c r="C2616" t="s">
        <v>368</v>
      </c>
      <c r="D2616" t="s">
        <v>3129</v>
      </c>
      <c r="E2616" t="s">
        <v>3465</v>
      </c>
      <c r="F2616" t="s">
        <v>3466</v>
      </c>
      <c r="G2616" t="s">
        <v>3380</v>
      </c>
      <c r="H2616" t="s">
        <v>458</v>
      </c>
      <c r="I2616" t="s">
        <v>374</v>
      </c>
      <c r="J2616" t="s">
        <v>906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3376</v>
      </c>
      <c r="B2617" t="s">
        <v>3464</v>
      </c>
      <c r="C2617" t="s">
        <v>368</v>
      </c>
      <c r="D2617" t="s">
        <v>3129</v>
      </c>
      <c r="E2617" t="s">
        <v>3467</v>
      </c>
      <c r="F2617" t="s">
        <v>3466</v>
      </c>
      <c r="G2617" t="s">
        <v>3380</v>
      </c>
      <c r="H2617" t="s">
        <v>458</v>
      </c>
      <c r="I2617" t="s">
        <v>374</v>
      </c>
      <c r="J2617" t="s">
        <v>906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3376</v>
      </c>
      <c r="B2618" t="s">
        <v>3464</v>
      </c>
      <c r="C2618" t="s">
        <v>368</v>
      </c>
      <c r="D2618" t="s">
        <v>3129</v>
      </c>
      <c r="E2618" t="s">
        <v>3468</v>
      </c>
      <c r="F2618" t="s">
        <v>3466</v>
      </c>
      <c r="G2618" t="s">
        <v>3380</v>
      </c>
      <c r="H2618" t="s">
        <v>458</v>
      </c>
      <c r="I2618" t="s">
        <v>374</v>
      </c>
      <c r="J2618" t="s">
        <v>906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3376</v>
      </c>
      <c r="B2619" t="s">
        <v>3464</v>
      </c>
      <c r="C2619" t="s">
        <v>368</v>
      </c>
      <c r="D2619" t="s">
        <v>3129</v>
      </c>
      <c r="E2619" t="s">
        <v>3469</v>
      </c>
      <c r="F2619" t="s">
        <v>3466</v>
      </c>
      <c r="G2619" t="s">
        <v>3380</v>
      </c>
      <c r="H2619" t="s">
        <v>458</v>
      </c>
      <c r="I2619" t="s">
        <v>374</v>
      </c>
      <c r="J2619" t="s">
        <v>906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3376</v>
      </c>
      <c r="B2620" t="s">
        <v>3464</v>
      </c>
      <c r="C2620" t="s">
        <v>368</v>
      </c>
      <c r="D2620" t="s">
        <v>3129</v>
      </c>
      <c r="E2620" t="s">
        <v>3470</v>
      </c>
      <c r="F2620" t="s">
        <v>3466</v>
      </c>
      <c r="G2620" t="s">
        <v>3380</v>
      </c>
      <c r="H2620" t="s">
        <v>458</v>
      </c>
      <c r="I2620" t="s">
        <v>374</v>
      </c>
      <c r="J2620" t="s">
        <v>906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3376</v>
      </c>
      <c r="B2621" t="s">
        <v>3464</v>
      </c>
      <c r="C2621" t="s">
        <v>368</v>
      </c>
      <c r="D2621" t="s">
        <v>3129</v>
      </c>
      <c r="E2621" t="s">
        <v>3471</v>
      </c>
      <c r="F2621" t="s">
        <v>3466</v>
      </c>
      <c r="G2621" t="s">
        <v>3380</v>
      </c>
      <c r="H2621" t="s">
        <v>458</v>
      </c>
      <c r="I2621" t="s">
        <v>374</v>
      </c>
      <c r="J2621" t="s">
        <v>906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3376</v>
      </c>
      <c r="B2622" t="s">
        <v>3464</v>
      </c>
      <c r="C2622" t="s">
        <v>368</v>
      </c>
      <c r="D2622" t="s">
        <v>3129</v>
      </c>
      <c r="E2622" t="s">
        <v>3472</v>
      </c>
      <c r="F2622" t="s">
        <v>3466</v>
      </c>
      <c r="G2622" t="s">
        <v>3380</v>
      </c>
      <c r="H2622" t="s">
        <v>458</v>
      </c>
      <c r="I2622" t="s">
        <v>374</v>
      </c>
      <c r="J2622" t="s">
        <v>906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3376</v>
      </c>
      <c r="B2623" t="s">
        <v>3464</v>
      </c>
      <c r="C2623" t="s">
        <v>368</v>
      </c>
      <c r="D2623" t="s">
        <v>3129</v>
      </c>
      <c r="E2623" t="s">
        <v>3473</v>
      </c>
      <c r="F2623" t="s">
        <v>3466</v>
      </c>
      <c r="G2623" t="s">
        <v>3380</v>
      </c>
      <c r="H2623" t="s">
        <v>458</v>
      </c>
      <c r="I2623" t="s">
        <v>374</v>
      </c>
      <c r="J2623" t="s">
        <v>906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3376</v>
      </c>
      <c r="B2624" t="s">
        <v>3464</v>
      </c>
      <c r="C2624" t="s">
        <v>368</v>
      </c>
      <c r="D2624" t="s">
        <v>3129</v>
      </c>
      <c r="E2624" t="s">
        <v>3474</v>
      </c>
      <c r="F2624" t="s">
        <v>3466</v>
      </c>
      <c r="G2624" t="s">
        <v>3380</v>
      </c>
      <c r="H2624" t="s">
        <v>458</v>
      </c>
      <c r="I2624" t="s">
        <v>374</v>
      </c>
      <c r="J2624" t="s">
        <v>906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3376</v>
      </c>
      <c r="B2625" t="s">
        <v>3464</v>
      </c>
      <c r="C2625" t="s">
        <v>609</v>
      </c>
      <c r="D2625" t="s">
        <v>3129</v>
      </c>
      <c r="E2625" t="s">
        <v>3475</v>
      </c>
      <c r="F2625" t="s">
        <v>3466</v>
      </c>
      <c r="G2625" t="s">
        <v>3380</v>
      </c>
      <c r="H2625" t="s">
        <v>458</v>
      </c>
      <c r="I2625" t="s">
        <v>374</v>
      </c>
      <c r="J2625" t="s">
        <v>906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3376</v>
      </c>
      <c r="B2626" t="s">
        <v>3464</v>
      </c>
      <c r="C2626" t="s">
        <v>609</v>
      </c>
      <c r="D2626" t="s">
        <v>3129</v>
      </c>
      <c r="E2626" t="s">
        <v>3476</v>
      </c>
      <c r="F2626" t="s">
        <v>3466</v>
      </c>
      <c r="G2626" t="s">
        <v>3380</v>
      </c>
      <c r="H2626" t="s">
        <v>458</v>
      </c>
      <c r="I2626" t="s">
        <v>374</v>
      </c>
      <c r="J2626" t="s">
        <v>906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3376</v>
      </c>
      <c r="B2627" t="s">
        <v>3464</v>
      </c>
      <c r="C2627" t="s">
        <v>609</v>
      </c>
      <c r="D2627" t="s">
        <v>3129</v>
      </c>
      <c r="E2627" t="s">
        <v>3477</v>
      </c>
      <c r="F2627" t="s">
        <v>3466</v>
      </c>
      <c r="G2627" t="s">
        <v>3380</v>
      </c>
      <c r="H2627" t="s">
        <v>458</v>
      </c>
      <c r="I2627" t="s">
        <v>374</v>
      </c>
      <c r="J2627" t="s">
        <v>906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3376</v>
      </c>
      <c r="B2628" t="s">
        <v>3464</v>
      </c>
      <c r="C2628" t="s">
        <v>609</v>
      </c>
      <c r="D2628" t="s">
        <v>3129</v>
      </c>
      <c r="E2628" t="s">
        <v>3478</v>
      </c>
      <c r="F2628" t="s">
        <v>3466</v>
      </c>
      <c r="G2628" t="s">
        <v>3380</v>
      </c>
      <c r="H2628" t="s">
        <v>458</v>
      </c>
      <c r="I2628" t="s">
        <v>374</v>
      </c>
      <c r="J2628" t="s">
        <v>906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3376</v>
      </c>
      <c r="B2629" t="s">
        <v>3464</v>
      </c>
      <c r="C2629" t="s">
        <v>368</v>
      </c>
      <c r="D2629" t="s">
        <v>3129</v>
      </c>
      <c r="E2629" t="s">
        <v>3479</v>
      </c>
      <c r="F2629" t="s">
        <v>3466</v>
      </c>
      <c r="G2629" t="s">
        <v>3380</v>
      </c>
      <c r="H2629" t="s">
        <v>458</v>
      </c>
      <c r="I2629" t="s">
        <v>374</v>
      </c>
      <c r="J2629" t="s">
        <v>906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3376</v>
      </c>
      <c r="B2630" t="s">
        <v>3464</v>
      </c>
      <c r="C2630" t="s">
        <v>368</v>
      </c>
      <c r="D2630" t="s">
        <v>3129</v>
      </c>
      <c r="E2630" t="s">
        <v>3480</v>
      </c>
      <c r="F2630" t="s">
        <v>3466</v>
      </c>
      <c r="G2630" t="s">
        <v>3380</v>
      </c>
      <c r="H2630" t="s">
        <v>458</v>
      </c>
      <c r="I2630" t="s">
        <v>374</v>
      </c>
      <c r="J2630" t="s">
        <v>906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3376</v>
      </c>
      <c r="B2631" t="s">
        <v>3396</v>
      </c>
      <c r="C2631" t="s">
        <v>368</v>
      </c>
      <c r="D2631" t="s">
        <v>3129</v>
      </c>
      <c r="E2631" t="s">
        <v>89</v>
      </c>
      <c r="F2631" t="s">
        <v>3481</v>
      </c>
      <c r="G2631" t="s">
        <v>3380</v>
      </c>
      <c r="H2631" t="s">
        <v>3482</v>
      </c>
      <c r="I2631" t="s">
        <v>374</v>
      </c>
      <c r="J2631" t="s">
        <v>429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3376</v>
      </c>
      <c r="B2632" t="s">
        <v>3396</v>
      </c>
      <c r="C2632" t="s">
        <v>368</v>
      </c>
      <c r="D2632" t="s">
        <v>3129</v>
      </c>
      <c r="E2632" t="s">
        <v>105</v>
      </c>
      <c r="F2632" t="s">
        <v>3481</v>
      </c>
      <c r="G2632" t="s">
        <v>3380</v>
      </c>
      <c r="H2632" t="s">
        <v>3482</v>
      </c>
      <c r="I2632" t="s">
        <v>374</v>
      </c>
      <c r="J2632" t="s">
        <v>429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3376</v>
      </c>
      <c r="B2633" t="s">
        <v>3396</v>
      </c>
      <c r="C2633" t="s">
        <v>368</v>
      </c>
      <c r="D2633" t="s">
        <v>3129</v>
      </c>
      <c r="E2633" t="s">
        <v>345</v>
      </c>
      <c r="F2633" t="s">
        <v>3481</v>
      </c>
      <c r="G2633" t="s">
        <v>3380</v>
      </c>
      <c r="H2633" t="s">
        <v>3482</v>
      </c>
      <c r="I2633" t="s">
        <v>374</v>
      </c>
      <c r="J2633" t="s">
        <v>429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3376</v>
      </c>
      <c r="B2634" t="s">
        <v>3396</v>
      </c>
      <c r="C2634" t="s">
        <v>368</v>
      </c>
      <c r="D2634" t="s">
        <v>3129</v>
      </c>
      <c r="E2634" t="s">
        <v>106</v>
      </c>
      <c r="F2634" t="s">
        <v>3481</v>
      </c>
      <c r="G2634" t="s">
        <v>3380</v>
      </c>
      <c r="H2634" t="s">
        <v>3482</v>
      </c>
      <c r="I2634" t="s">
        <v>374</v>
      </c>
      <c r="J2634" t="s">
        <v>429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3376</v>
      </c>
      <c r="B2635" t="s">
        <v>3396</v>
      </c>
      <c r="C2635" t="s">
        <v>368</v>
      </c>
      <c r="D2635" t="s">
        <v>3129</v>
      </c>
      <c r="E2635" t="s">
        <v>90</v>
      </c>
      <c r="F2635" t="s">
        <v>3481</v>
      </c>
      <c r="G2635" t="s">
        <v>3380</v>
      </c>
      <c r="H2635" t="s">
        <v>3482</v>
      </c>
      <c r="I2635" t="s">
        <v>374</v>
      </c>
      <c r="J2635" t="s">
        <v>429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3376</v>
      </c>
      <c r="B2636" t="s">
        <v>3396</v>
      </c>
      <c r="C2636" t="s">
        <v>368</v>
      </c>
      <c r="D2636" t="s">
        <v>3129</v>
      </c>
      <c r="E2636" t="s">
        <v>107</v>
      </c>
      <c r="F2636" t="s">
        <v>3481</v>
      </c>
      <c r="G2636" t="s">
        <v>3380</v>
      </c>
      <c r="H2636" t="s">
        <v>3482</v>
      </c>
      <c r="I2636" t="s">
        <v>374</v>
      </c>
      <c r="J2636" t="s">
        <v>429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3376</v>
      </c>
      <c r="B2637" t="s">
        <v>3396</v>
      </c>
      <c r="C2637" t="s">
        <v>368</v>
      </c>
      <c r="D2637" t="s">
        <v>3129</v>
      </c>
      <c r="E2637" t="s">
        <v>3483</v>
      </c>
      <c r="F2637" t="s">
        <v>3481</v>
      </c>
      <c r="G2637" t="s">
        <v>3380</v>
      </c>
      <c r="H2637" t="s">
        <v>3482</v>
      </c>
      <c r="I2637" t="s">
        <v>374</v>
      </c>
      <c r="J2637" t="s">
        <v>429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3376</v>
      </c>
      <c r="B2638" t="s">
        <v>3396</v>
      </c>
      <c r="C2638" t="s">
        <v>368</v>
      </c>
      <c r="D2638" t="s">
        <v>3129</v>
      </c>
      <c r="E2638" t="s">
        <v>3484</v>
      </c>
      <c r="F2638" t="s">
        <v>3481</v>
      </c>
      <c r="G2638" t="s">
        <v>3380</v>
      </c>
      <c r="H2638" t="s">
        <v>3482</v>
      </c>
      <c r="I2638" t="s">
        <v>374</v>
      </c>
      <c r="J2638" t="s">
        <v>429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3376</v>
      </c>
      <c r="B2639" t="s">
        <v>3396</v>
      </c>
      <c r="C2639" t="s">
        <v>368</v>
      </c>
      <c r="D2639" t="s">
        <v>3129</v>
      </c>
      <c r="E2639" t="s">
        <v>3485</v>
      </c>
      <c r="F2639" t="s">
        <v>3481</v>
      </c>
      <c r="G2639" t="s">
        <v>3380</v>
      </c>
      <c r="H2639" t="s">
        <v>3482</v>
      </c>
      <c r="I2639" t="s">
        <v>374</v>
      </c>
      <c r="J2639" t="s">
        <v>429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3376</v>
      </c>
      <c r="B2640" t="s">
        <v>3396</v>
      </c>
      <c r="C2640" t="s">
        <v>609</v>
      </c>
      <c r="D2640" t="s">
        <v>3129</v>
      </c>
      <c r="E2640" t="s">
        <v>3486</v>
      </c>
      <c r="F2640" t="s">
        <v>3481</v>
      </c>
      <c r="G2640" t="s">
        <v>3380</v>
      </c>
      <c r="H2640" t="s">
        <v>3482</v>
      </c>
      <c r="I2640" t="s">
        <v>374</v>
      </c>
      <c r="J2640" t="s">
        <v>429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3376</v>
      </c>
      <c r="B2641" t="s">
        <v>3396</v>
      </c>
      <c r="C2641" t="s">
        <v>609</v>
      </c>
      <c r="D2641" t="s">
        <v>3129</v>
      </c>
      <c r="E2641" t="s">
        <v>3487</v>
      </c>
      <c r="F2641" t="s">
        <v>3481</v>
      </c>
      <c r="G2641" t="s">
        <v>3380</v>
      </c>
      <c r="H2641" t="s">
        <v>3482</v>
      </c>
      <c r="I2641" t="s">
        <v>374</v>
      </c>
      <c r="J2641" t="s">
        <v>429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3376</v>
      </c>
      <c r="B2642" t="s">
        <v>3396</v>
      </c>
      <c r="C2642" t="s">
        <v>609</v>
      </c>
      <c r="D2642" t="s">
        <v>3129</v>
      </c>
      <c r="E2642" t="s">
        <v>3488</v>
      </c>
      <c r="F2642" t="s">
        <v>3481</v>
      </c>
      <c r="G2642" t="s">
        <v>3380</v>
      </c>
      <c r="H2642" t="s">
        <v>3482</v>
      </c>
      <c r="I2642" t="s">
        <v>374</v>
      </c>
      <c r="J2642" t="s">
        <v>429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3376</v>
      </c>
      <c r="B2643" t="s">
        <v>3396</v>
      </c>
      <c r="C2643" t="s">
        <v>609</v>
      </c>
      <c r="D2643" t="s">
        <v>3129</v>
      </c>
      <c r="E2643" t="s">
        <v>3489</v>
      </c>
      <c r="F2643" t="s">
        <v>3481</v>
      </c>
      <c r="G2643" t="s">
        <v>3380</v>
      </c>
      <c r="H2643" t="s">
        <v>3482</v>
      </c>
      <c r="I2643" t="s">
        <v>374</v>
      </c>
      <c r="J2643" t="s">
        <v>429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3376</v>
      </c>
      <c r="B2644" t="s">
        <v>3396</v>
      </c>
      <c r="C2644" t="s">
        <v>368</v>
      </c>
      <c r="D2644" t="s">
        <v>3129</v>
      </c>
      <c r="E2644" t="s">
        <v>112</v>
      </c>
      <c r="F2644" t="s">
        <v>3481</v>
      </c>
      <c r="G2644" t="s">
        <v>3380</v>
      </c>
      <c r="H2644" t="s">
        <v>3482</v>
      </c>
      <c r="I2644" t="s">
        <v>374</v>
      </c>
      <c r="J2644" t="s">
        <v>429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3376</v>
      </c>
      <c r="B2645" t="s">
        <v>3396</v>
      </c>
      <c r="C2645" t="s">
        <v>368</v>
      </c>
      <c r="D2645" t="s">
        <v>3129</v>
      </c>
      <c r="E2645" t="s">
        <v>3490</v>
      </c>
      <c r="F2645" t="s">
        <v>3481</v>
      </c>
      <c r="G2645" t="s">
        <v>3380</v>
      </c>
      <c r="H2645" t="s">
        <v>3482</v>
      </c>
      <c r="I2645" t="s">
        <v>374</v>
      </c>
      <c r="J2645" t="s">
        <v>429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3158</v>
      </c>
      <c r="B2646" t="s">
        <v>3165</v>
      </c>
      <c r="C2646" t="s">
        <v>368</v>
      </c>
      <c r="D2646" t="s">
        <v>3129</v>
      </c>
      <c r="E2646" t="s">
        <v>13</v>
      </c>
      <c r="F2646" t="s">
        <v>3491</v>
      </c>
      <c r="G2646" t="s">
        <v>3162</v>
      </c>
      <c r="H2646" t="s">
        <v>3492</v>
      </c>
      <c r="I2646" t="s">
        <v>374</v>
      </c>
      <c r="J2646" t="s">
        <v>429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3158</v>
      </c>
      <c r="B2647" t="s">
        <v>3165</v>
      </c>
      <c r="C2647" t="s">
        <v>368</v>
      </c>
      <c r="D2647" t="s">
        <v>3129</v>
      </c>
      <c r="E2647" t="s">
        <v>293</v>
      </c>
      <c r="F2647" t="s">
        <v>3491</v>
      </c>
      <c r="G2647" t="s">
        <v>3162</v>
      </c>
      <c r="H2647" t="s">
        <v>3492</v>
      </c>
      <c r="I2647" t="s">
        <v>374</v>
      </c>
      <c r="J2647" t="s">
        <v>429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3158</v>
      </c>
      <c r="B2648" t="s">
        <v>3165</v>
      </c>
      <c r="C2648" t="s">
        <v>368</v>
      </c>
      <c r="D2648" t="s">
        <v>3129</v>
      </c>
      <c r="E2648" t="s">
        <v>228</v>
      </c>
      <c r="F2648" t="s">
        <v>3491</v>
      </c>
      <c r="G2648" t="s">
        <v>3162</v>
      </c>
      <c r="H2648" t="s">
        <v>3492</v>
      </c>
      <c r="I2648" t="s">
        <v>374</v>
      </c>
      <c r="J2648" t="s">
        <v>429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3158</v>
      </c>
      <c r="B2649" t="s">
        <v>3165</v>
      </c>
      <c r="C2649" t="s">
        <v>368</v>
      </c>
      <c r="D2649" t="s">
        <v>3129</v>
      </c>
      <c r="E2649" t="s">
        <v>294</v>
      </c>
      <c r="F2649" t="s">
        <v>3491</v>
      </c>
      <c r="G2649" t="s">
        <v>3162</v>
      </c>
      <c r="H2649" t="s">
        <v>3492</v>
      </c>
      <c r="I2649" t="s">
        <v>374</v>
      </c>
      <c r="J2649" t="s">
        <v>429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3158</v>
      </c>
      <c r="B2650" t="s">
        <v>3165</v>
      </c>
      <c r="C2650" t="s">
        <v>368</v>
      </c>
      <c r="D2650" t="s">
        <v>3129</v>
      </c>
      <c r="E2650" t="s">
        <v>14</v>
      </c>
      <c r="F2650" t="s">
        <v>3491</v>
      </c>
      <c r="G2650" t="s">
        <v>3162</v>
      </c>
      <c r="H2650" t="s">
        <v>3492</v>
      </c>
      <c r="I2650" t="s">
        <v>374</v>
      </c>
      <c r="J2650" t="s">
        <v>429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3158</v>
      </c>
      <c r="B2651" t="s">
        <v>3165</v>
      </c>
      <c r="C2651" t="s">
        <v>368</v>
      </c>
      <c r="D2651" t="s">
        <v>3129</v>
      </c>
      <c r="E2651" t="s">
        <v>15</v>
      </c>
      <c r="F2651" t="s">
        <v>3491</v>
      </c>
      <c r="G2651" t="s">
        <v>3162</v>
      </c>
      <c r="H2651" t="s">
        <v>3492</v>
      </c>
      <c r="I2651" t="s">
        <v>374</v>
      </c>
      <c r="J2651" t="s">
        <v>429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3158</v>
      </c>
      <c r="B2652" t="s">
        <v>3165</v>
      </c>
      <c r="C2652" t="s">
        <v>368</v>
      </c>
      <c r="D2652" t="s">
        <v>3129</v>
      </c>
      <c r="E2652" t="s">
        <v>3493</v>
      </c>
      <c r="F2652" t="s">
        <v>3491</v>
      </c>
      <c r="G2652" t="s">
        <v>3162</v>
      </c>
      <c r="H2652" t="s">
        <v>3492</v>
      </c>
      <c r="I2652" t="s">
        <v>374</v>
      </c>
      <c r="J2652" t="s">
        <v>429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3158</v>
      </c>
      <c r="B2653" t="s">
        <v>3165</v>
      </c>
      <c r="C2653" t="s">
        <v>368</v>
      </c>
      <c r="D2653" t="s">
        <v>3129</v>
      </c>
      <c r="E2653" t="s">
        <v>3494</v>
      </c>
      <c r="F2653" t="s">
        <v>3491</v>
      </c>
      <c r="G2653" t="s">
        <v>3162</v>
      </c>
      <c r="H2653" t="s">
        <v>3492</v>
      </c>
      <c r="I2653" t="s">
        <v>374</v>
      </c>
      <c r="J2653" t="s">
        <v>429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3158</v>
      </c>
      <c r="B2654" t="s">
        <v>3165</v>
      </c>
      <c r="C2654" t="s">
        <v>368</v>
      </c>
      <c r="D2654" t="s">
        <v>3129</v>
      </c>
      <c r="E2654" t="s">
        <v>3495</v>
      </c>
      <c r="F2654" t="s">
        <v>3491</v>
      </c>
      <c r="G2654" t="s">
        <v>3162</v>
      </c>
      <c r="H2654" t="s">
        <v>3492</v>
      </c>
      <c r="I2654" t="s">
        <v>374</v>
      </c>
      <c r="J2654" t="s">
        <v>429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3158</v>
      </c>
      <c r="B2655" t="s">
        <v>3165</v>
      </c>
      <c r="C2655" t="s">
        <v>609</v>
      </c>
      <c r="D2655" t="s">
        <v>3129</v>
      </c>
      <c r="E2655" t="s">
        <v>3496</v>
      </c>
      <c r="F2655" t="s">
        <v>3491</v>
      </c>
      <c r="G2655" t="s">
        <v>3162</v>
      </c>
      <c r="H2655" t="s">
        <v>3492</v>
      </c>
      <c r="I2655" t="s">
        <v>374</v>
      </c>
      <c r="J2655" t="s">
        <v>429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3158</v>
      </c>
      <c r="B2656" t="s">
        <v>3165</v>
      </c>
      <c r="C2656" t="s">
        <v>609</v>
      </c>
      <c r="D2656" t="s">
        <v>3129</v>
      </c>
      <c r="E2656" t="s">
        <v>3497</v>
      </c>
      <c r="F2656" t="s">
        <v>3491</v>
      </c>
      <c r="G2656" t="s">
        <v>3162</v>
      </c>
      <c r="H2656" t="s">
        <v>3492</v>
      </c>
      <c r="I2656" t="s">
        <v>374</v>
      </c>
      <c r="J2656" t="s">
        <v>429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3158</v>
      </c>
      <c r="B2657" t="s">
        <v>3165</v>
      </c>
      <c r="C2657" t="s">
        <v>609</v>
      </c>
      <c r="D2657" t="s">
        <v>3129</v>
      </c>
      <c r="E2657" t="s">
        <v>3498</v>
      </c>
      <c r="F2657" t="s">
        <v>3491</v>
      </c>
      <c r="G2657" t="s">
        <v>3162</v>
      </c>
      <c r="H2657" t="s">
        <v>3492</v>
      </c>
      <c r="I2657" t="s">
        <v>374</v>
      </c>
      <c r="J2657" t="s">
        <v>429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3158</v>
      </c>
      <c r="B2658" t="s">
        <v>3165</v>
      </c>
      <c r="C2658" t="s">
        <v>609</v>
      </c>
      <c r="D2658" t="s">
        <v>3129</v>
      </c>
      <c r="E2658" t="s">
        <v>227</v>
      </c>
      <c r="F2658" t="s">
        <v>3491</v>
      </c>
      <c r="G2658" t="s">
        <v>3162</v>
      </c>
      <c r="H2658" t="s">
        <v>3492</v>
      </c>
      <c r="I2658" t="s">
        <v>374</v>
      </c>
      <c r="J2658" t="s">
        <v>429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3158</v>
      </c>
      <c r="B2659" t="s">
        <v>3165</v>
      </c>
      <c r="C2659" t="s">
        <v>368</v>
      </c>
      <c r="D2659" t="s">
        <v>3129</v>
      </c>
      <c r="E2659" t="s">
        <v>16</v>
      </c>
      <c r="F2659" t="s">
        <v>3491</v>
      </c>
      <c r="G2659" t="s">
        <v>3162</v>
      </c>
      <c r="H2659" t="s">
        <v>3492</v>
      </c>
      <c r="I2659" t="s">
        <v>374</v>
      </c>
      <c r="J2659" t="s">
        <v>429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3158</v>
      </c>
      <c r="B2660" t="s">
        <v>3165</v>
      </c>
      <c r="C2660" t="s">
        <v>368</v>
      </c>
      <c r="D2660" t="s">
        <v>3129</v>
      </c>
      <c r="E2660" t="s">
        <v>17</v>
      </c>
      <c r="F2660" t="s">
        <v>3491</v>
      </c>
      <c r="G2660" t="s">
        <v>3162</v>
      </c>
      <c r="H2660" t="s">
        <v>3492</v>
      </c>
      <c r="I2660" t="s">
        <v>374</v>
      </c>
      <c r="J2660" t="s">
        <v>429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3499</v>
      </c>
      <c r="B2661" t="s">
        <v>3500</v>
      </c>
      <c r="C2661" t="s">
        <v>368</v>
      </c>
      <c r="D2661" t="s">
        <v>3129</v>
      </c>
      <c r="E2661" t="s">
        <v>3501</v>
      </c>
      <c r="F2661" t="s">
        <v>3502</v>
      </c>
      <c r="G2661" t="s">
        <v>3503</v>
      </c>
      <c r="H2661" t="s">
        <v>3492</v>
      </c>
      <c r="I2661" t="s">
        <v>374</v>
      </c>
      <c r="J2661" t="s">
        <v>429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3499</v>
      </c>
      <c r="B2662" t="s">
        <v>3500</v>
      </c>
      <c r="C2662" t="s">
        <v>368</v>
      </c>
      <c r="D2662" t="s">
        <v>3129</v>
      </c>
      <c r="E2662" t="s">
        <v>3504</v>
      </c>
      <c r="F2662" t="s">
        <v>3502</v>
      </c>
      <c r="G2662" t="s">
        <v>3503</v>
      </c>
      <c r="H2662" t="s">
        <v>3492</v>
      </c>
      <c r="I2662" t="s">
        <v>374</v>
      </c>
      <c r="J2662" t="s">
        <v>429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3499</v>
      </c>
      <c r="B2663" t="s">
        <v>3500</v>
      </c>
      <c r="C2663" t="s">
        <v>368</v>
      </c>
      <c r="D2663" t="s">
        <v>3129</v>
      </c>
      <c r="E2663" t="s">
        <v>3505</v>
      </c>
      <c r="F2663" t="s">
        <v>3502</v>
      </c>
      <c r="G2663" t="s">
        <v>3503</v>
      </c>
      <c r="H2663" t="s">
        <v>3492</v>
      </c>
      <c r="I2663" t="s">
        <v>374</v>
      </c>
      <c r="J2663" t="s">
        <v>429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3499</v>
      </c>
      <c r="B2664" t="s">
        <v>3500</v>
      </c>
      <c r="C2664" t="s">
        <v>368</v>
      </c>
      <c r="D2664" t="s">
        <v>3129</v>
      </c>
      <c r="E2664" t="s">
        <v>3506</v>
      </c>
      <c r="F2664" t="s">
        <v>3502</v>
      </c>
      <c r="G2664" t="s">
        <v>3503</v>
      </c>
      <c r="H2664" t="s">
        <v>3492</v>
      </c>
      <c r="I2664" t="s">
        <v>374</v>
      </c>
      <c r="J2664" t="s">
        <v>429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3499</v>
      </c>
      <c r="B2665" t="s">
        <v>3500</v>
      </c>
      <c r="C2665" t="s">
        <v>368</v>
      </c>
      <c r="D2665" t="s">
        <v>3129</v>
      </c>
      <c r="E2665" t="s">
        <v>3507</v>
      </c>
      <c r="F2665" t="s">
        <v>3502</v>
      </c>
      <c r="G2665" t="s">
        <v>3503</v>
      </c>
      <c r="H2665" t="s">
        <v>3492</v>
      </c>
      <c r="I2665" t="s">
        <v>374</v>
      </c>
      <c r="J2665" t="s">
        <v>429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3499</v>
      </c>
      <c r="B2666" t="s">
        <v>3500</v>
      </c>
      <c r="C2666" t="s">
        <v>368</v>
      </c>
      <c r="D2666" t="s">
        <v>3129</v>
      </c>
      <c r="E2666" t="s">
        <v>3508</v>
      </c>
      <c r="F2666" t="s">
        <v>3502</v>
      </c>
      <c r="G2666" t="s">
        <v>3503</v>
      </c>
      <c r="H2666" t="s">
        <v>3492</v>
      </c>
      <c r="I2666" t="s">
        <v>374</v>
      </c>
      <c r="J2666" t="s">
        <v>429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3499</v>
      </c>
      <c r="B2667" t="s">
        <v>3500</v>
      </c>
      <c r="C2667" t="s">
        <v>368</v>
      </c>
      <c r="D2667" t="s">
        <v>3129</v>
      </c>
      <c r="E2667" t="s">
        <v>3509</v>
      </c>
      <c r="F2667" t="s">
        <v>3502</v>
      </c>
      <c r="G2667" t="s">
        <v>3503</v>
      </c>
      <c r="H2667" t="s">
        <v>3492</v>
      </c>
      <c r="I2667" t="s">
        <v>374</v>
      </c>
      <c r="J2667" t="s">
        <v>429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3499</v>
      </c>
      <c r="B2668" t="s">
        <v>3500</v>
      </c>
      <c r="C2668" t="s">
        <v>368</v>
      </c>
      <c r="D2668" t="s">
        <v>3129</v>
      </c>
      <c r="E2668" t="s">
        <v>3510</v>
      </c>
      <c r="F2668" t="s">
        <v>3502</v>
      </c>
      <c r="G2668" t="s">
        <v>3503</v>
      </c>
      <c r="H2668" t="s">
        <v>3492</v>
      </c>
      <c r="I2668" t="s">
        <v>374</v>
      </c>
      <c r="J2668" t="s">
        <v>429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3499</v>
      </c>
      <c r="B2669" t="s">
        <v>3500</v>
      </c>
      <c r="C2669" t="s">
        <v>368</v>
      </c>
      <c r="D2669" t="s">
        <v>3129</v>
      </c>
      <c r="E2669" t="s">
        <v>3511</v>
      </c>
      <c r="F2669" t="s">
        <v>3502</v>
      </c>
      <c r="G2669" t="s">
        <v>3503</v>
      </c>
      <c r="H2669" t="s">
        <v>3492</v>
      </c>
      <c r="I2669" t="s">
        <v>374</v>
      </c>
      <c r="J2669" t="s">
        <v>429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3499</v>
      </c>
      <c r="B2670" t="s">
        <v>3500</v>
      </c>
      <c r="C2670" t="s">
        <v>609</v>
      </c>
      <c r="D2670" t="s">
        <v>3129</v>
      </c>
      <c r="E2670" t="s">
        <v>3512</v>
      </c>
      <c r="F2670" t="s">
        <v>3502</v>
      </c>
      <c r="G2670" t="s">
        <v>3503</v>
      </c>
      <c r="H2670" t="s">
        <v>3492</v>
      </c>
      <c r="I2670" t="s">
        <v>374</v>
      </c>
      <c r="J2670" t="s">
        <v>429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3499</v>
      </c>
      <c r="B2671" t="s">
        <v>3500</v>
      </c>
      <c r="C2671" t="s">
        <v>609</v>
      </c>
      <c r="D2671" t="s">
        <v>3129</v>
      </c>
      <c r="E2671" t="s">
        <v>3513</v>
      </c>
      <c r="F2671" t="s">
        <v>3502</v>
      </c>
      <c r="G2671" t="s">
        <v>3503</v>
      </c>
      <c r="H2671" t="s">
        <v>3492</v>
      </c>
      <c r="I2671" t="s">
        <v>374</v>
      </c>
      <c r="J2671" t="s">
        <v>429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3499</v>
      </c>
      <c r="B2672" t="s">
        <v>3500</v>
      </c>
      <c r="C2672" t="s">
        <v>609</v>
      </c>
      <c r="D2672" t="s">
        <v>3129</v>
      </c>
      <c r="E2672" t="s">
        <v>3514</v>
      </c>
      <c r="F2672" t="s">
        <v>3502</v>
      </c>
      <c r="G2672" t="s">
        <v>3503</v>
      </c>
      <c r="H2672" t="s">
        <v>3492</v>
      </c>
      <c r="I2672" t="s">
        <v>374</v>
      </c>
      <c r="J2672" t="s">
        <v>429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3499</v>
      </c>
      <c r="B2673" t="s">
        <v>3500</v>
      </c>
      <c r="C2673" t="s">
        <v>609</v>
      </c>
      <c r="D2673" t="s">
        <v>3129</v>
      </c>
      <c r="E2673" t="s">
        <v>3515</v>
      </c>
      <c r="F2673" t="s">
        <v>3502</v>
      </c>
      <c r="G2673" t="s">
        <v>3503</v>
      </c>
      <c r="H2673" t="s">
        <v>3492</v>
      </c>
      <c r="I2673" t="s">
        <v>374</v>
      </c>
      <c r="J2673" t="s">
        <v>429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3499</v>
      </c>
      <c r="B2674" t="s">
        <v>3500</v>
      </c>
      <c r="C2674" t="s">
        <v>368</v>
      </c>
      <c r="D2674" t="s">
        <v>3129</v>
      </c>
      <c r="E2674" t="s">
        <v>3516</v>
      </c>
      <c r="F2674" t="s">
        <v>3502</v>
      </c>
      <c r="G2674" t="s">
        <v>3503</v>
      </c>
      <c r="H2674" t="s">
        <v>3492</v>
      </c>
      <c r="I2674" t="s">
        <v>374</v>
      </c>
      <c r="J2674" t="s">
        <v>429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3499</v>
      </c>
      <c r="B2675" t="s">
        <v>3500</v>
      </c>
      <c r="C2675" t="s">
        <v>368</v>
      </c>
      <c r="D2675" t="s">
        <v>3129</v>
      </c>
      <c r="E2675" t="s">
        <v>3517</v>
      </c>
      <c r="F2675" t="s">
        <v>3502</v>
      </c>
      <c r="G2675" t="s">
        <v>3503</v>
      </c>
      <c r="H2675" t="s">
        <v>3492</v>
      </c>
      <c r="I2675" t="s">
        <v>374</v>
      </c>
      <c r="J2675" t="s">
        <v>429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3499</v>
      </c>
      <c r="B2676" t="s">
        <v>3518</v>
      </c>
      <c r="C2676" t="s">
        <v>368</v>
      </c>
      <c r="D2676" t="s">
        <v>3129</v>
      </c>
      <c r="E2676" t="s">
        <v>252</v>
      </c>
      <c r="F2676" t="s">
        <v>3519</v>
      </c>
      <c r="G2676" t="s">
        <v>3503</v>
      </c>
      <c r="H2676" t="s">
        <v>458</v>
      </c>
      <c r="I2676" t="s">
        <v>374</v>
      </c>
      <c r="J2676" t="s">
        <v>1444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3499</v>
      </c>
      <c r="B2677" t="s">
        <v>3518</v>
      </c>
      <c r="C2677" t="s">
        <v>368</v>
      </c>
      <c r="D2677" t="s">
        <v>3129</v>
      </c>
      <c r="E2677" t="s">
        <v>253</v>
      </c>
      <c r="F2677" t="s">
        <v>3519</v>
      </c>
      <c r="G2677" t="s">
        <v>3503</v>
      </c>
      <c r="H2677" t="s">
        <v>458</v>
      </c>
      <c r="I2677" t="s">
        <v>374</v>
      </c>
      <c r="J2677" t="s">
        <v>1444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3499</v>
      </c>
      <c r="B2678" t="s">
        <v>3518</v>
      </c>
      <c r="C2678" t="s">
        <v>368</v>
      </c>
      <c r="D2678" t="s">
        <v>3129</v>
      </c>
      <c r="E2678" t="s">
        <v>3520</v>
      </c>
      <c r="F2678" t="s">
        <v>3519</v>
      </c>
      <c r="G2678" t="s">
        <v>3503</v>
      </c>
      <c r="H2678" t="s">
        <v>458</v>
      </c>
      <c r="I2678" t="s">
        <v>374</v>
      </c>
      <c r="J2678" t="s">
        <v>1444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3499</v>
      </c>
      <c r="B2679" t="s">
        <v>3518</v>
      </c>
      <c r="C2679" t="s">
        <v>368</v>
      </c>
      <c r="D2679" t="s">
        <v>3129</v>
      </c>
      <c r="E2679" t="s">
        <v>3521</v>
      </c>
      <c r="F2679" t="s">
        <v>3519</v>
      </c>
      <c r="G2679" t="s">
        <v>3503</v>
      </c>
      <c r="H2679" t="s">
        <v>458</v>
      </c>
      <c r="I2679" t="s">
        <v>374</v>
      </c>
      <c r="J2679" t="s">
        <v>1444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3499</v>
      </c>
      <c r="B2680" t="s">
        <v>3518</v>
      </c>
      <c r="C2680" t="s">
        <v>368</v>
      </c>
      <c r="D2680" t="s">
        <v>3129</v>
      </c>
      <c r="E2680" t="s">
        <v>254</v>
      </c>
      <c r="F2680" t="s">
        <v>3519</v>
      </c>
      <c r="G2680" t="s">
        <v>3503</v>
      </c>
      <c r="H2680" t="s">
        <v>458</v>
      </c>
      <c r="I2680" t="s">
        <v>374</v>
      </c>
      <c r="J2680" t="s">
        <v>1444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3499</v>
      </c>
      <c r="B2681" t="s">
        <v>3518</v>
      </c>
      <c r="C2681" t="s">
        <v>368</v>
      </c>
      <c r="D2681" t="s">
        <v>3129</v>
      </c>
      <c r="E2681" t="s">
        <v>3522</v>
      </c>
      <c r="F2681" t="s">
        <v>3519</v>
      </c>
      <c r="G2681" t="s">
        <v>3503</v>
      </c>
      <c r="H2681" t="s">
        <v>458</v>
      </c>
      <c r="I2681" t="s">
        <v>374</v>
      </c>
      <c r="J2681" t="s">
        <v>1444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3499</v>
      </c>
      <c r="B2682" t="s">
        <v>3518</v>
      </c>
      <c r="C2682" t="s">
        <v>368</v>
      </c>
      <c r="D2682" t="s">
        <v>3129</v>
      </c>
      <c r="E2682" t="s">
        <v>232</v>
      </c>
      <c r="F2682" t="s">
        <v>3519</v>
      </c>
      <c r="G2682" t="s">
        <v>3503</v>
      </c>
      <c r="H2682" t="s">
        <v>458</v>
      </c>
      <c r="I2682" t="s">
        <v>374</v>
      </c>
      <c r="J2682" t="s">
        <v>1444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3499</v>
      </c>
      <c r="B2683" t="s">
        <v>3518</v>
      </c>
      <c r="C2683" t="s">
        <v>368</v>
      </c>
      <c r="D2683" t="s">
        <v>3129</v>
      </c>
      <c r="E2683" t="s">
        <v>233</v>
      </c>
      <c r="F2683" t="s">
        <v>3519</v>
      </c>
      <c r="G2683" t="s">
        <v>3503</v>
      </c>
      <c r="H2683" t="s">
        <v>458</v>
      </c>
      <c r="I2683" t="s">
        <v>374</v>
      </c>
      <c r="J2683" t="s">
        <v>1444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3499</v>
      </c>
      <c r="B2684" t="s">
        <v>3518</v>
      </c>
      <c r="C2684" t="s">
        <v>368</v>
      </c>
      <c r="D2684" t="s">
        <v>3129</v>
      </c>
      <c r="E2684" t="s">
        <v>3523</v>
      </c>
      <c r="F2684" t="s">
        <v>3519</v>
      </c>
      <c r="G2684" t="s">
        <v>3503</v>
      </c>
      <c r="H2684" t="s">
        <v>458</v>
      </c>
      <c r="I2684" t="s">
        <v>374</v>
      </c>
      <c r="J2684" t="s">
        <v>1444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3499</v>
      </c>
      <c r="B2685" t="s">
        <v>3518</v>
      </c>
      <c r="C2685" t="s">
        <v>368</v>
      </c>
      <c r="D2685" t="s">
        <v>3129</v>
      </c>
      <c r="E2685" t="s">
        <v>3524</v>
      </c>
      <c r="F2685" t="s">
        <v>3519</v>
      </c>
      <c r="G2685" t="s">
        <v>3503</v>
      </c>
      <c r="H2685" t="s">
        <v>458</v>
      </c>
      <c r="I2685" t="s">
        <v>374</v>
      </c>
      <c r="J2685" t="s">
        <v>1444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3499</v>
      </c>
      <c r="B2686" t="s">
        <v>3518</v>
      </c>
      <c r="C2686" t="s">
        <v>368</v>
      </c>
      <c r="D2686" t="s">
        <v>3129</v>
      </c>
      <c r="E2686" t="s">
        <v>3525</v>
      </c>
      <c r="F2686" t="s">
        <v>3519</v>
      </c>
      <c r="G2686" t="s">
        <v>3503</v>
      </c>
      <c r="H2686" t="s">
        <v>458</v>
      </c>
      <c r="I2686" t="s">
        <v>374</v>
      </c>
      <c r="J2686" t="s">
        <v>1444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3499</v>
      </c>
      <c r="B2687" t="s">
        <v>3518</v>
      </c>
      <c r="C2687" t="s">
        <v>609</v>
      </c>
      <c r="D2687" t="s">
        <v>3129</v>
      </c>
      <c r="E2687" t="s">
        <v>3526</v>
      </c>
      <c r="F2687" t="s">
        <v>3519</v>
      </c>
      <c r="G2687" t="s">
        <v>3503</v>
      </c>
      <c r="H2687" t="s">
        <v>458</v>
      </c>
      <c r="I2687" t="s">
        <v>374</v>
      </c>
      <c r="J2687" t="s">
        <v>1444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3499</v>
      </c>
      <c r="B2688" t="s">
        <v>3518</v>
      </c>
      <c r="C2688" t="s">
        <v>609</v>
      </c>
      <c r="D2688" t="s">
        <v>3129</v>
      </c>
      <c r="E2688" t="s">
        <v>3527</v>
      </c>
      <c r="F2688" t="s">
        <v>3519</v>
      </c>
      <c r="G2688" t="s">
        <v>3503</v>
      </c>
      <c r="H2688" t="s">
        <v>458</v>
      </c>
      <c r="I2688" t="s">
        <v>374</v>
      </c>
      <c r="J2688" t="s">
        <v>1444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3499</v>
      </c>
      <c r="B2689" t="s">
        <v>3518</v>
      </c>
      <c r="C2689" t="s">
        <v>609</v>
      </c>
      <c r="D2689" t="s">
        <v>3129</v>
      </c>
      <c r="E2689" t="s">
        <v>3528</v>
      </c>
      <c r="F2689" t="s">
        <v>3519</v>
      </c>
      <c r="G2689" t="s">
        <v>3503</v>
      </c>
      <c r="H2689" t="s">
        <v>458</v>
      </c>
      <c r="I2689" t="s">
        <v>374</v>
      </c>
      <c r="J2689" t="s">
        <v>1444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3499</v>
      </c>
      <c r="B2690" t="s">
        <v>3518</v>
      </c>
      <c r="C2690" t="s">
        <v>609</v>
      </c>
      <c r="D2690" t="s">
        <v>3129</v>
      </c>
      <c r="E2690" t="s">
        <v>3529</v>
      </c>
      <c r="F2690" t="s">
        <v>3519</v>
      </c>
      <c r="G2690" t="s">
        <v>3503</v>
      </c>
      <c r="H2690" t="s">
        <v>458</v>
      </c>
      <c r="I2690" t="s">
        <v>374</v>
      </c>
      <c r="J2690" t="s">
        <v>1444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3499</v>
      </c>
      <c r="B2691" t="s">
        <v>3518</v>
      </c>
      <c r="C2691" t="s">
        <v>368</v>
      </c>
      <c r="D2691" t="s">
        <v>3129</v>
      </c>
      <c r="E2691" t="s">
        <v>3530</v>
      </c>
      <c r="F2691" t="s">
        <v>3519</v>
      </c>
      <c r="G2691" t="s">
        <v>3503</v>
      </c>
      <c r="H2691" t="s">
        <v>458</v>
      </c>
      <c r="I2691" t="s">
        <v>374</v>
      </c>
      <c r="J2691" t="s">
        <v>1444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3499</v>
      </c>
      <c r="B2692" t="s">
        <v>3518</v>
      </c>
      <c r="C2692" t="s">
        <v>368</v>
      </c>
      <c r="D2692" t="s">
        <v>3129</v>
      </c>
      <c r="E2692" t="s">
        <v>3531</v>
      </c>
      <c r="F2692" t="s">
        <v>3519</v>
      </c>
      <c r="G2692" t="s">
        <v>3503</v>
      </c>
      <c r="H2692" t="s">
        <v>458</v>
      </c>
      <c r="I2692" t="s">
        <v>374</v>
      </c>
      <c r="J2692" t="s">
        <v>1444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3499</v>
      </c>
      <c r="B2693" t="s">
        <v>3532</v>
      </c>
      <c r="C2693" t="s">
        <v>368</v>
      </c>
      <c r="D2693" t="s">
        <v>3129</v>
      </c>
      <c r="E2693" t="s">
        <v>3533</v>
      </c>
      <c r="F2693" t="s">
        <v>3534</v>
      </c>
      <c r="G2693" t="s">
        <v>3503</v>
      </c>
      <c r="H2693" t="s">
        <v>458</v>
      </c>
      <c r="I2693" t="s">
        <v>374</v>
      </c>
      <c r="J2693" t="s">
        <v>3381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3499</v>
      </c>
      <c r="B2694" t="s">
        <v>3532</v>
      </c>
      <c r="C2694" t="s">
        <v>368</v>
      </c>
      <c r="D2694" t="s">
        <v>3129</v>
      </c>
      <c r="E2694" t="s">
        <v>3535</v>
      </c>
      <c r="F2694" t="s">
        <v>3534</v>
      </c>
      <c r="G2694" t="s">
        <v>3503</v>
      </c>
      <c r="H2694" t="s">
        <v>458</v>
      </c>
      <c r="I2694" t="s">
        <v>374</v>
      </c>
      <c r="J2694" t="s">
        <v>3381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3499</v>
      </c>
      <c r="B2695" t="s">
        <v>3532</v>
      </c>
      <c r="C2695" t="s">
        <v>368</v>
      </c>
      <c r="D2695" t="s">
        <v>3129</v>
      </c>
      <c r="E2695" t="s">
        <v>3536</v>
      </c>
      <c r="F2695" t="s">
        <v>3534</v>
      </c>
      <c r="G2695" t="s">
        <v>3503</v>
      </c>
      <c r="H2695" t="s">
        <v>458</v>
      </c>
      <c r="I2695" t="s">
        <v>374</v>
      </c>
      <c r="J2695" t="s">
        <v>3381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3499</v>
      </c>
      <c r="B2696" t="s">
        <v>3532</v>
      </c>
      <c r="C2696" t="s">
        <v>368</v>
      </c>
      <c r="D2696" t="s">
        <v>3129</v>
      </c>
      <c r="E2696" t="s">
        <v>3537</v>
      </c>
      <c r="F2696" t="s">
        <v>3534</v>
      </c>
      <c r="G2696" t="s">
        <v>3503</v>
      </c>
      <c r="H2696" t="s">
        <v>458</v>
      </c>
      <c r="I2696" t="s">
        <v>374</v>
      </c>
      <c r="J2696" t="s">
        <v>3381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3499</v>
      </c>
      <c r="B2697" t="s">
        <v>3532</v>
      </c>
      <c r="C2697" t="s">
        <v>368</v>
      </c>
      <c r="D2697" t="s">
        <v>3129</v>
      </c>
      <c r="E2697" t="s">
        <v>3538</v>
      </c>
      <c r="F2697" t="s">
        <v>3534</v>
      </c>
      <c r="G2697" t="s">
        <v>3503</v>
      </c>
      <c r="H2697" t="s">
        <v>458</v>
      </c>
      <c r="I2697" t="s">
        <v>374</v>
      </c>
      <c r="J2697" t="s">
        <v>3381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3499</v>
      </c>
      <c r="B2698" t="s">
        <v>3532</v>
      </c>
      <c r="C2698" t="s">
        <v>368</v>
      </c>
      <c r="D2698" t="s">
        <v>3129</v>
      </c>
      <c r="E2698" t="s">
        <v>3539</v>
      </c>
      <c r="F2698" t="s">
        <v>3534</v>
      </c>
      <c r="G2698" t="s">
        <v>3503</v>
      </c>
      <c r="H2698" t="s">
        <v>458</v>
      </c>
      <c r="I2698" t="s">
        <v>374</v>
      </c>
      <c r="J2698" t="s">
        <v>3381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3499</v>
      </c>
      <c r="B2699" t="s">
        <v>3532</v>
      </c>
      <c r="C2699" t="s">
        <v>368</v>
      </c>
      <c r="D2699" t="s">
        <v>3129</v>
      </c>
      <c r="E2699" t="s">
        <v>3540</v>
      </c>
      <c r="F2699" t="s">
        <v>3534</v>
      </c>
      <c r="G2699" t="s">
        <v>3503</v>
      </c>
      <c r="H2699" t="s">
        <v>458</v>
      </c>
      <c r="I2699" t="s">
        <v>374</v>
      </c>
      <c r="J2699" t="s">
        <v>3381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3499</v>
      </c>
      <c r="B2700" t="s">
        <v>3532</v>
      </c>
      <c r="C2700" t="s">
        <v>368</v>
      </c>
      <c r="D2700" t="s">
        <v>3129</v>
      </c>
      <c r="E2700" t="s">
        <v>3541</v>
      </c>
      <c r="F2700" t="s">
        <v>3534</v>
      </c>
      <c r="G2700" t="s">
        <v>3503</v>
      </c>
      <c r="H2700" t="s">
        <v>458</v>
      </c>
      <c r="I2700" t="s">
        <v>374</v>
      </c>
      <c r="J2700" t="s">
        <v>3381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3499</v>
      </c>
      <c r="B2701" t="s">
        <v>3532</v>
      </c>
      <c r="C2701" t="s">
        <v>368</v>
      </c>
      <c r="D2701" t="s">
        <v>3129</v>
      </c>
      <c r="E2701" t="s">
        <v>3542</v>
      </c>
      <c r="F2701" t="s">
        <v>3534</v>
      </c>
      <c r="G2701" t="s">
        <v>3503</v>
      </c>
      <c r="H2701" t="s">
        <v>458</v>
      </c>
      <c r="I2701" t="s">
        <v>374</v>
      </c>
      <c r="J2701" t="s">
        <v>3381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3499</v>
      </c>
      <c r="B2702" t="s">
        <v>3532</v>
      </c>
      <c r="C2702" t="s">
        <v>609</v>
      </c>
      <c r="D2702" t="s">
        <v>3129</v>
      </c>
      <c r="E2702" t="s">
        <v>3543</v>
      </c>
      <c r="F2702" t="s">
        <v>3534</v>
      </c>
      <c r="G2702" t="s">
        <v>3503</v>
      </c>
      <c r="H2702" t="s">
        <v>458</v>
      </c>
      <c r="I2702" t="s">
        <v>374</v>
      </c>
      <c r="J2702" t="s">
        <v>3381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3499</v>
      </c>
      <c r="B2703" t="s">
        <v>3532</v>
      </c>
      <c r="C2703" t="s">
        <v>609</v>
      </c>
      <c r="D2703" t="s">
        <v>3129</v>
      </c>
      <c r="E2703" t="s">
        <v>3544</v>
      </c>
      <c r="F2703" t="s">
        <v>3534</v>
      </c>
      <c r="G2703" t="s">
        <v>3503</v>
      </c>
      <c r="H2703" t="s">
        <v>458</v>
      </c>
      <c r="I2703" t="s">
        <v>374</v>
      </c>
      <c r="J2703" t="s">
        <v>3381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3499</v>
      </c>
      <c r="B2704" t="s">
        <v>3532</v>
      </c>
      <c r="C2704" t="s">
        <v>609</v>
      </c>
      <c r="D2704" t="s">
        <v>3129</v>
      </c>
      <c r="E2704" t="s">
        <v>3545</v>
      </c>
      <c r="F2704" t="s">
        <v>3534</v>
      </c>
      <c r="G2704" t="s">
        <v>3503</v>
      </c>
      <c r="H2704" t="s">
        <v>458</v>
      </c>
      <c r="I2704" t="s">
        <v>374</v>
      </c>
      <c r="J2704" t="s">
        <v>3381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3499</v>
      </c>
      <c r="B2705" t="s">
        <v>3532</v>
      </c>
      <c r="C2705" t="s">
        <v>609</v>
      </c>
      <c r="D2705" t="s">
        <v>3129</v>
      </c>
      <c r="E2705" t="s">
        <v>3546</v>
      </c>
      <c r="F2705" t="s">
        <v>3534</v>
      </c>
      <c r="G2705" t="s">
        <v>3503</v>
      </c>
      <c r="H2705" t="s">
        <v>458</v>
      </c>
      <c r="I2705" t="s">
        <v>374</v>
      </c>
      <c r="J2705" t="s">
        <v>3381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3499</v>
      </c>
      <c r="B2706" t="s">
        <v>3532</v>
      </c>
      <c r="C2706" t="s">
        <v>368</v>
      </c>
      <c r="D2706" t="s">
        <v>3129</v>
      </c>
      <c r="E2706" t="s">
        <v>3547</v>
      </c>
      <c r="F2706" t="s">
        <v>3534</v>
      </c>
      <c r="G2706" t="s">
        <v>3503</v>
      </c>
      <c r="H2706" t="s">
        <v>458</v>
      </c>
      <c r="I2706" t="s">
        <v>374</v>
      </c>
      <c r="J2706" t="s">
        <v>3381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3499</v>
      </c>
      <c r="B2707" t="s">
        <v>3532</v>
      </c>
      <c r="C2707" t="s">
        <v>368</v>
      </c>
      <c r="D2707" t="s">
        <v>3129</v>
      </c>
      <c r="E2707" t="s">
        <v>3548</v>
      </c>
      <c r="F2707" t="s">
        <v>3534</v>
      </c>
      <c r="G2707" t="s">
        <v>3503</v>
      </c>
      <c r="H2707" t="s">
        <v>458</v>
      </c>
      <c r="I2707" t="s">
        <v>374</v>
      </c>
      <c r="J2707" t="s">
        <v>3381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3499</v>
      </c>
      <c r="B2708" t="s">
        <v>3549</v>
      </c>
      <c r="C2708" t="s">
        <v>368</v>
      </c>
      <c r="D2708" t="s">
        <v>3129</v>
      </c>
      <c r="E2708" t="s">
        <v>3550</v>
      </c>
      <c r="F2708" t="s">
        <v>3551</v>
      </c>
      <c r="G2708" t="s">
        <v>3503</v>
      </c>
      <c r="H2708" t="s">
        <v>458</v>
      </c>
      <c r="I2708" t="s">
        <v>374</v>
      </c>
      <c r="J2708" t="s">
        <v>1467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3499</v>
      </c>
      <c r="B2709" t="s">
        <v>3549</v>
      </c>
      <c r="C2709" t="s">
        <v>368</v>
      </c>
      <c r="D2709" t="s">
        <v>3129</v>
      </c>
      <c r="E2709" t="s">
        <v>3552</v>
      </c>
      <c r="F2709" t="s">
        <v>3551</v>
      </c>
      <c r="G2709" t="s">
        <v>3503</v>
      </c>
      <c r="H2709" t="s">
        <v>458</v>
      </c>
      <c r="I2709" t="s">
        <v>374</v>
      </c>
      <c r="J2709" t="s">
        <v>1467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3499</v>
      </c>
      <c r="B2710" t="s">
        <v>3549</v>
      </c>
      <c r="C2710" t="s">
        <v>368</v>
      </c>
      <c r="D2710" t="s">
        <v>3129</v>
      </c>
      <c r="E2710" t="s">
        <v>3553</v>
      </c>
      <c r="F2710" t="s">
        <v>3551</v>
      </c>
      <c r="G2710" t="s">
        <v>3503</v>
      </c>
      <c r="H2710" t="s">
        <v>458</v>
      </c>
      <c r="I2710" t="s">
        <v>374</v>
      </c>
      <c r="J2710" t="s">
        <v>1467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3499</v>
      </c>
      <c r="B2711" t="s">
        <v>3549</v>
      </c>
      <c r="C2711" t="s">
        <v>368</v>
      </c>
      <c r="D2711" t="s">
        <v>3129</v>
      </c>
      <c r="E2711" t="s">
        <v>3554</v>
      </c>
      <c r="F2711" t="s">
        <v>3551</v>
      </c>
      <c r="G2711" t="s">
        <v>3503</v>
      </c>
      <c r="H2711" t="s">
        <v>458</v>
      </c>
      <c r="I2711" t="s">
        <v>374</v>
      </c>
      <c r="J2711" t="s">
        <v>1467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3499</v>
      </c>
      <c r="B2712" t="s">
        <v>3549</v>
      </c>
      <c r="C2712" t="s">
        <v>368</v>
      </c>
      <c r="D2712" t="s">
        <v>3129</v>
      </c>
      <c r="E2712" t="s">
        <v>3555</v>
      </c>
      <c r="F2712" t="s">
        <v>3551</v>
      </c>
      <c r="G2712" t="s">
        <v>3503</v>
      </c>
      <c r="H2712" t="s">
        <v>458</v>
      </c>
      <c r="I2712" t="s">
        <v>374</v>
      </c>
      <c r="J2712" t="s">
        <v>1467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3499</v>
      </c>
      <c r="B2713" t="s">
        <v>3549</v>
      </c>
      <c r="C2713" t="s">
        <v>368</v>
      </c>
      <c r="D2713" t="s">
        <v>3129</v>
      </c>
      <c r="E2713" t="s">
        <v>3556</v>
      </c>
      <c r="F2713" t="s">
        <v>3551</v>
      </c>
      <c r="G2713" t="s">
        <v>3503</v>
      </c>
      <c r="H2713" t="s">
        <v>458</v>
      </c>
      <c r="I2713" t="s">
        <v>374</v>
      </c>
      <c r="J2713" t="s">
        <v>1467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3499</v>
      </c>
      <c r="B2714" t="s">
        <v>3549</v>
      </c>
      <c r="C2714" t="s">
        <v>368</v>
      </c>
      <c r="D2714" t="s">
        <v>3129</v>
      </c>
      <c r="E2714" t="s">
        <v>3557</v>
      </c>
      <c r="F2714" t="s">
        <v>3551</v>
      </c>
      <c r="G2714" t="s">
        <v>3503</v>
      </c>
      <c r="H2714" t="s">
        <v>458</v>
      </c>
      <c r="I2714" t="s">
        <v>374</v>
      </c>
      <c r="J2714" t="s">
        <v>1467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3499</v>
      </c>
      <c r="B2715" t="s">
        <v>3549</v>
      </c>
      <c r="C2715" t="s">
        <v>368</v>
      </c>
      <c r="D2715" t="s">
        <v>3129</v>
      </c>
      <c r="E2715" t="s">
        <v>3558</v>
      </c>
      <c r="F2715" t="s">
        <v>3551</v>
      </c>
      <c r="G2715" t="s">
        <v>3503</v>
      </c>
      <c r="H2715" t="s">
        <v>458</v>
      </c>
      <c r="I2715" t="s">
        <v>374</v>
      </c>
      <c r="J2715" t="s">
        <v>1467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3499</v>
      </c>
      <c r="B2716" t="s">
        <v>3549</v>
      </c>
      <c r="C2716" t="s">
        <v>368</v>
      </c>
      <c r="D2716" t="s">
        <v>3129</v>
      </c>
      <c r="E2716" t="s">
        <v>3559</v>
      </c>
      <c r="F2716" t="s">
        <v>3551</v>
      </c>
      <c r="G2716" t="s">
        <v>3503</v>
      </c>
      <c r="H2716" t="s">
        <v>458</v>
      </c>
      <c r="I2716" t="s">
        <v>374</v>
      </c>
      <c r="J2716" t="s">
        <v>1467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3499</v>
      </c>
      <c r="B2717" t="s">
        <v>3549</v>
      </c>
      <c r="C2717" t="s">
        <v>368</v>
      </c>
      <c r="D2717" t="s">
        <v>3129</v>
      </c>
      <c r="E2717" t="s">
        <v>3560</v>
      </c>
      <c r="F2717" t="s">
        <v>3551</v>
      </c>
      <c r="G2717" t="s">
        <v>3503</v>
      </c>
      <c r="H2717" t="s">
        <v>458</v>
      </c>
      <c r="I2717" t="s">
        <v>374</v>
      </c>
      <c r="J2717" t="s">
        <v>1467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3499</v>
      </c>
      <c r="B2718" t="s">
        <v>3549</v>
      </c>
      <c r="C2718" t="s">
        <v>368</v>
      </c>
      <c r="D2718" t="s">
        <v>3129</v>
      </c>
      <c r="E2718" t="s">
        <v>3561</v>
      </c>
      <c r="F2718" t="s">
        <v>3551</v>
      </c>
      <c r="G2718" t="s">
        <v>3503</v>
      </c>
      <c r="H2718" t="s">
        <v>458</v>
      </c>
      <c r="I2718" t="s">
        <v>374</v>
      </c>
      <c r="J2718" t="s">
        <v>1467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3499</v>
      </c>
      <c r="B2719" t="s">
        <v>3549</v>
      </c>
      <c r="C2719" t="s">
        <v>609</v>
      </c>
      <c r="D2719" t="s">
        <v>3129</v>
      </c>
      <c r="E2719" t="s">
        <v>3562</v>
      </c>
      <c r="F2719" t="s">
        <v>3551</v>
      </c>
      <c r="G2719" t="s">
        <v>3503</v>
      </c>
      <c r="H2719" t="s">
        <v>458</v>
      </c>
      <c r="I2719" t="s">
        <v>374</v>
      </c>
      <c r="J2719" t="s">
        <v>1467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3499</v>
      </c>
      <c r="B2720" t="s">
        <v>3549</v>
      </c>
      <c r="C2720" t="s">
        <v>609</v>
      </c>
      <c r="D2720" t="s">
        <v>3129</v>
      </c>
      <c r="E2720" t="s">
        <v>3563</v>
      </c>
      <c r="F2720" t="s">
        <v>3551</v>
      </c>
      <c r="G2720" t="s">
        <v>3503</v>
      </c>
      <c r="H2720" t="s">
        <v>458</v>
      </c>
      <c r="I2720" t="s">
        <v>374</v>
      </c>
      <c r="J2720" t="s">
        <v>1467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3499</v>
      </c>
      <c r="B2721" t="s">
        <v>3549</v>
      </c>
      <c r="C2721" t="s">
        <v>609</v>
      </c>
      <c r="D2721" t="s">
        <v>3129</v>
      </c>
      <c r="E2721" t="s">
        <v>3564</v>
      </c>
      <c r="F2721" t="s">
        <v>3551</v>
      </c>
      <c r="G2721" t="s">
        <v>3503</v>
      </c>
      <c r="H2721" t="s">
        <v>458</v>
      </c>
      <c r="I2721" t="s">
        <v>374</v>
      </c>
      <c r="J2721" t="s">
        <v>1467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3499</v>
      </c>
      <c r="B2722" t="s">
        <v>3549</v>
      </c>
      <c r="C2722" t="s">
        <v>609</v>
      </c>
      <c r="D2722" t="s">
        <v>3129</v>
      </c>
      <c r="E2722" t="s">
        <v>3565</v>
      </c>
      <c r="F2722" t="s">
        <v>3551</v>
      </c>
      <c r="G2722" t="s">
        <v>3503</v>
      </c>
      <c r="H2722" t="s">
        <v>458</v>
      </c>
      <c r="I2722" t="s">
        <v>374</v>
      </c>
      <c r="J2722" t="s">
        <v>1467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3499</v>
      </c>
      <c r="B2723" t="s">
        <v>3549</v>
      </c>
      <c r="C2723" t="s">
        <v>368</v>
      </c>
      <c r="D2723" t="s">
        <v>3129</v>
      </c>
      <c r="E2723" t="s">
        <v>3566</v>
      </c>
      <c r="F2723" t="s">
        <v>3551</v>
      </c>
      <c r="G2723" t="s">
        <v>3503</v>
      </c>
      <c r="H2723" t="s">
        <v>458</v>
      </c>
      <c r="I2723" t="s">
        <v>374</v>
      </c>
      <c r="J2723" t="s">
        <v>1467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3499</v>
      </c>
      <c r="B2724" t="s">
        <v>3549</v>
      </c>
      <c r="C2724" t="s">
        <v>368</v>
      </c>
      <c r="D2724" t="s">
        <v>3129</v>
      </c>
      <c r="E2724" t="s">
        <v>3567</v>
      </c>
      <c r="F2724" t="s">
        <v>3551</v>
      </c>
      <c r="G2724" t="s">
        <v>3503</v>
      </c>
      <c r="H2724" t="s">
        <v>458</v>
      </c>
      <c r="I2724" t="s">
        <v>374</v>
      </c>
      <c r="J2724" t="s">
        <v>1467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3499</v>
      </c>
      <c r="B2725" t="s">
        <v>3568</v>
      </c>
      <c r="C2725" t="s">
        <v>368</v>
      </c>
      <c r="D2725" t="s">
        <v>3129</v>
      </c>
      <c r="E2725" t="s">
        <v>3569</v>
      </c>
      <c r="F2725" t="s">
        <v>3570</v>
      </c>
      <c r="G2725" t="s">
        <v>3503</v>
      </c>
      <c r="H2725" t="s">
        <v>458</v>
      </c>
      <c r="I2725" t="s">
        <v>374</v>
      </c>
      <c r="J2725" t="s">
        <v>698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3499</v>
      </c>
      <c r="B2726" t="s">
        <v>3568</v>
      </c>
      <c r="C2726" t="s">
        <v>368</v>
      </c>
      <c r="D2726" t="s">
        <v>3129</v>
      </c>
      <c r="E2726" t="s">
        <v>3571</v>
      </c>
      <c r="F2726" t="s">
        <v>3570</v>
      </c>
      <c r="G2726" t="s">
        <v>3503</v>
      </c>
      <c r="H2726" t="s">
        <v>458</v>
      </c>
      <c r="I2726" t="s">
        <v>374</v>
      </c>
      <c r="J2726" t="s">
        <v>698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3499</v>
      </c>
      <c r="B2727" t="s">
        <v>3568</v>
      </c>
      <c r="C2727" t="s">
        <v>368</v>
      </c>
      <c r="D2727" t="s">
        <v>3129</v>
      </c>
      <c r="E2727" t="s">
        <v>3572</v>
      </c>
      <c r="F2727" t="s">
        <v>3570</v>
      </c>
      <c r="G2727" t="s">
        <v>3503</v>
      </c>
      <c r="H2727" t="s">
        <v>458</v>
      </c>
      <c r="I2727" t="s">
        <v>374</v>
      </c>
      <c r="J2727" t="s">
        <v>698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3499</v>
      </c>
      <c r="B2728" t="s">
        <v>3568</v>
      </c>
      <c r="C2728" t="s">
        <v>368</v>
      </c>
      <c r="D2728" t="s">
        <v>3129</v>
      </c>
      <c r="E2728" t="s">
        <v>3573</v>
      </c>
      <c r="F2728" t="s">
        <v>3570</v>
      </c>
      <c r="G2728" t="s">
        <v>3503</v>
      </c>
      <c r="H2728" t="s">
        <v>458</v>
      </c>
      <c r="I2728" t="s">
        <v>374</v>
      </c>
      <c r="J2728" t="s">
        <v>698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3499</v>
      </c>
      <c r="B2729" t="s">
        <v>3568</v>
      </c>
      <c r="C2729" t="s">
        <v>368</v>
      </c>
      <c r="D2729" t="s">
        <v>3129</v>
      </c>
      <c r="E2729" t="s">
        <v>3574</v>
      </c>
      <c r="F2729" t="s">
        <v>3570</v>
      </c>
      <c r="G2729" t="s">
        <v>3503</v>
      </c>
      <c r="H2729" t="s">
        <v>458</v>
      </c>
      <c r="I2729" t="s">
        <v>374</v>
      </c>
      <c r="J2729" t="s">
        <v>698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3499</v>
      </c>
      <c r="B2730" t="s">
        <v>3568</v>
      </c>
      <c r="C2730" t="s">
        <v>368</v>
      </c>
      <c r="D2730" t="s">
        <v>3129</v>
      </c>
      <c r="E2730" t="s">
        <v>3575</v>
      </c>
      <c r="F2730" t="s">
        <v>3570</v>
      </c>
      <c r="G2730" t="s">
        <v>3503</v>
      </c>
      <c r="H2730" t="s">
        <v>458</v>
      </c>
      <c r="I2730" t="s">
        <v>374</v>
      </c>
      <c r="J2730" t="s">
        <v>698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3499</v>
      </c>
      <c r="B2731" t="s">
        <v>3568</v>
      </c>
      <c r="C2731" t="s">
        <v>368</v>
      </c>
      <c r="D2731" t="s">
        <v>3129</v>
      </c>
      <c r="E2731" t="s">
        <v>3576</v>
      </c>
      <c r="F2731" t="s">
        <v>3570</v>
      </c>
      <c r="G2731" t="s">
        <v>3503</v>
      </c>
      <c r="H2731" t="s">
        <v>458</v>
      </c>
      <c r="I2731" t="s">
        <v>374</v>
      </c>
      <c r="J2731" t="s">
        <v>698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3499</v>
      </c>
      <c r="B2732" t="s">
        <v>3568</v>
      </c>
      <c r="C2732" t="s">
        <v>368</v>
      </c>
      <c r="D2732" t="s">
        <v>3129</v>
      </c>
      <c r="E2732" t="s">
        <v>3577</v>
      </c>
      <c r="F2732" t="s">
        <v>3570</v>
      </c>
      <c r="G2732" t="s">
        <v>3503</v>
      </c>
      <c r="H2732" t="s">
        <v>458</v>
      </c>
      <c r="I2732" t="s">
        <v>374</v>
      </c>
      <c r="J2732" t="s">
        <v>698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3499</v>
      </c>
      <c r="B2733" t="s">
        <v>3568</v>
      </c>
      <c r="C2733" t="s">
        <v>368</v>
      </c>
      <c r="D2733" t="s">
        <v>3129</v>
      </c>
      <c r="E2733" t="s">
        <v>3578</v>
      </c>
      <c r="F2733" t="s">
        <v>3570</v>
      </c>
      <c r="G2733" t="s">
        <v>3503</v>
      </c>
      <c r="H2733" t="s">
        <v>458</v>
      </c>
      <c r="I2733" t="s">
        <v>374</v>
      </c>
      <c r="J2733" t="s">
        <v>698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3499</v>
      </c>
      <c r="B2734" t="s">
        <v>3568</v>
      </c>
      <c r="C2734" t="s">
        <v>609</v>
      </c>
      <c r="D2734" t="s">
        <v>3129</v>
      </c>
      <c r="E2734" t="s">
        <v>3579</v>
      </c>
      <c r="F2734" t="s">
        <v>3570</v>
      </c>
      <c r="G2734" t="s">
        <v>3503</v>
      </c>
      <c r="H2734" t="s">
        <v>458</v>
      </c>
      <c r="I2734" t="s">
        <v>374</v>
      </c>
      <c r="J2734" t="s">
        <v>698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3499</v>
      </c>
      <c r="B2735" t="s">
        <v>3568</v>
      </c>
      <c r="C2735" t="s">
        <v>609</v>
      </c>
      <c r="D2735" t="s">
        <v>3129</v>
      </c>
      <c r="E2735" t="s">
        <v>3580</v>
      </c>
      <c r="F2735" t="s">
        <v>3570</v>
      </c>
      <c r="G2735" t="s">
        <v>3503</v>
      </c>
      <c r="H2735" t="s">
        <v>458</v>
      </c>
      <c r="I2735" t="s">
        <v>374</v>
      </c>
      <c r="J2735" t="s">
        <v>698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3499</v>
      </c>
      <c r="B2736" t="s">
        <v>3568</v>
      </c>
      <c r="C2736" t="s">
        <v>609</v>
      </c>
      <c r="D2736" t="s">
        <v>3129</v>
      </c>
      <c r="E2736" t="s">
        <v>3581</v>
      </c>
      <c r="F2736" t="s">
        <v>3570</v>
      </c>
      <c r="G2736" t="s">
        <v>3503</v>
      </c>
      <c r="H2736" t="s">
        <v>458</v>
      </c>
      <c r="I2736" t="s">
        <v>374</v>
      </c>
      <c r="J2736" t="s">
        <v>698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3499</v>
      </c>
      <c r="B2737" t="s">
        <v>3568</v>
      </c>
      <c r="C2737" t="s">
        <v>609</v>
      </c>
      <c r="D2737" t="s">
        <v>3129</v>
      </c>
      <c r="E2737" t="s">
        <v>3582</v>
      </c>
      <c r="F2737" t="s">
        <v>3570</v>
      </c>
      <c r="G2737" t="s">
        <v>3503</v>
      </c>
      <c r="H2737" t="s">
        <v>458</v>
      </c>
      <c r="I2737" t="s">
        <v>374</v>
      </c>
      <c r="J2737" t="s">
        <v>698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3499</v>
      </c>
      <c r="B2738" t="s">
        <v>3568</v>
      </c>
      <c r="C2738" t="s">
        <v>368</v>
      </c>
      <c r="D2738" t="s">
        <v>3129</v>
      </c>
      <c r="E2738" t="s">
        <v>3583</v>
      </c>
      <c r="F2738" t="s">
        <v>3570</v>
      </c>
      <c r="G2738" t="s">
        <v>3503</v>
      </c>
      <c r="H2738" t="s">
        <v>458</v>
      </c>
      <c r="I2738" t="s">
        <v>374</v>
      </c>
      <c r="J2738" t="s">
        <v>698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3499</v>
      </c>
      <c r="B2739" t="s">
        <v>3568</v>
      </c>
      <c r="C2739" t="s">
        <v>368</v>
      </c>
      <c r="D2739" t="s">
        <v>3129</v>
      </c>
      <c r="E2739" t="s">
        <v>3584</v>
      </c>
      <c r="F2739" t="s">
        <v>3570</v>
      </c>
      <c r="G2739" t="s">
        <v>3503</v>
      </c>
      <c r="H2739" t="s">
        <v>458</v>
      </c>
      <c r="I2739" t="s">
        <v>374</v>
      </c>
      <c r="J2739" t="s">
        <v>698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3499</v>
      </c>
      <c r="B2740" t="s">
        <v>3500</v>
      </c>
      <c r="C2740" t="s">
        <v>368</v>
      </c>
      <c r="D2740" t="s">
        <v>3129</v>
      </c>
      <c r="E2740" t="s">
        <v>3585</v>
      </c>
      <c r="F2740" t="s">
        <v>3586</v>
      </c>
      <c r="G2740" t="s">
        <v>3503</v>
      </c>
      <c r="H2740" t="s">
        <v>458</v>
      </c>
      <c r="I2740" t="s">
        <v>374</v>
      </c>
      <c r="J2740" t="s">
        <v>429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3499</v>
      </c>
      <c r="B2741" t="s">
        <v>3500</v>
      </c>
      <c r="C2741" t="s">
        <v>368</v>
      </c>
      <c r="D2741" t="s">
        <v>3129</v>
      </c>
      <c r="E2741" t="s">
        <v>3587</v>
      </c>
      <c r="F2741" t="s">
        <v>3586</v>
      </c>
      <c r="G2741" t="s">
        <v>3503</v>
      </c>
      <c r="H2741" t="s">
        <v>458</v>
      </c>
      <c r="I2741" t="s">
        <v>374</v>
      </c>
      <c r="J2741" t="s">
        <v>429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3499</v>
      </c>
      <c r="B2742" t="s">
        <v>3500</v>
      </c>
      <c r="C2742" t="s">
        <v>368</v>
      </c>
      <c r="D2742" t="s">
        <v>3129</v>
      </c>
      <c r="E2742" t="s">
        <v>3588</v>
      </c>
      <c r="F2742" t="s">
        <v>3586</v>
      </c>
      <c r="G2742" t="s">
        <v>3503</v>
      </c>
      <c r="H2742" t="s">
        <v>458</v>
      </c>
      <c r="I2742" t="s">
        <v>374</v>
      </c>
      <c r="J2742" t="s">
        <v>429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3499</v>
      </c>
      <c r="B2743" t="s">
        <v>3500</v>
      </c>
      <c r="C2743" t="s">
        <v>368</v>
      </c>
      <c r="D2743" t="s">
        <v>3129</v>
      </c>
      <c r="E2743" t="s">
        <v>3589</v>
      </c>
      <c r="F2743" t="s">
        <v>3586</v>
      </c>
      <c r="G2743" t="s">
        <v>3503</v>
      </c>
      <c r="H2743" t="s">
        <v>458</v>
      </c>
      <c r="I2743" t="s">
        <v>374</v>
      </c>
      <c r="J2743" t="s">
        <v>429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3499</v>
      </c>
      <c r="B2744" t="s">
        <v>3500</v>
      </c>
      <c r="C2744" t="s">
        <v>368</v>
      </c>
      <c r="D2744" t="s">
        <v>3129</v>
      </c>
      <c r="E2744" t="s">
        <v>3590</v>
      </c>
      <c r="F2744" t="s">
        <v>3586</v>
      </c>
      <c r="G2744" t="s">
        <v>3503</v>
      </c>
      <c r="H2744" t="s">
        <v>458</v>
      </c>
      <c r="I2744" t="s">
        <v>374</v>
      </c>
      <c r="J2744" t="s">
        <v>429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3499</v>
      </c>
      <c r="B2745" t="s">
        <v>3500</v>
      </c>
      <c r="C2745" t="s">
        <v>368</v>
      </c>
      <c r="D2745" t="s">
        <v>3129</v>
      </c>
      <c r="E2745" t="s">
        <v>3591</v>
      </c>
      <c r="F2745" t="s">
        <v>3586</v>
      </c>
      <c r="G2745" t="s">
        <v>3503</v>
      </c>
      <c r="H2745" t="s">
        <v>458</v>
      </c>
      <c r="I2745" t="s">
        <v>374</v>
      </c>
      <c r="J2745" t="s">
        <v>429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3499</v>
      </c>
      <c r="B2746" t="s">
        <v>3500</v>
      </c>
      <c r="C2746" t="s">
        <v>368</v>
      </c>
      <c r="D2746" t="s">
        <v>3129</v>
      </c>
      <c r="E2746" t="s">
        <v>3592</v>
      </c>
      <c r="F2746" t="s">
        <v>3586</v>
      </c>
      <c r="G2746" t="s">
        <v>3503</v>
      </c>
      <c r="H2746" t="s">
        <v>458</v>
      </c>
      <c r="I2746" t="s">
        <v>374</v>
      </c>
      <c r="J2746" t="s">
        <v>429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3499</v>
      </c>
      <c r="B2747" t="s">
        <v>3500</v>
      </c>
      <c r="C2747" t="s">
        <v>368</v>
      </c>
      <c r="D2747" t="s">
        <v>3129</v>
      </c>
      <c r="E2747" t="s">
        <v>3593</v>
      </c>
      <c r="F2747" t="s">
        <v>3586</v>
      </c>
      <c r="G2747" t="s">
        <v>3503</v>
      </c>
      <c r="H2747" t="s">
        <v>458</v>
      </c>
      <c r="I2747" t="s">
        <v>374</v>
      </c>
      <c r="J2747" t="s">
        <v>429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3499</v>
      </c>
      <c r="B2748" t="s">
        <v>3500</v>
      </c>
      <c r="C2748" t="s">
        <v>368</v>
      </c>
      <c r="D2748" t="s">
        <v>3129</v>
      </c>
      <c r="E2748" t="s">
        <v>3594</v>
      </c>
      <c r="F2748" t="s">
        <v>3586</v>
      </c>
      <c r="G2748" t="s">
        <v>3503</v>
      </c>
      <c r="H2748" t="s">
        <v>458</v>
      </c>
      <c r="I2748" t="s">
        <v>374</v>
      </c>
      <c r="J2748" t="s">
        <v>429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3499</v>
      </c>
      <c r="B2749" t="s">
        <v>3500</v>
      </c>
      <c r="C2749" t="s">
        <v>609</v>
      </c>
      <c r="D2749" t="s">
        <v>3129</v>
      </c>
      <c r="E2749" t="s">
        <v>3595</v>
      </c>
      <c r="F2749" t="s">
        <v>3586</v>
      </c>
      <c r="G2749" t="s">
        <v>3503</v>
      </c>
      <c r="H2749" t="s">
        <v>458</v>
      </c>
      <c r="I2749" t="s">
        <v>374</v>
      </c>
      <c r="J2749" t="s">
        <v>429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3499</v>
      </c>
      <c r="B2750" t="s">
        <v>3500</v>
      </c>
      <c r="C2750" t="s">
        <v>609</v>
      </c>
      <c r="D2750" t="s">
        <v>3129</v>
      </c>
      <c r="E2750" t="s">
        <v>3596</v>
      </c>
      <c r="F2750" t="s">
        <v>3586</v>
      </c>
      <c r="G2750" t="s">
        <v>3503</v>
      </c>
      <c r="H2750" t="s">
        <v>458</v>
      </c>
      <c r="I2750" t="s">
        <v>374</v>
      </c>
      <c r="J2750" t="s">
        <v>429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3499</v>
      </c>
      <c r="B2751" t="s">
        <v>3500</v>
      </c>
      <c r="C2751" t="s">
        <v>609</v>
      </c>
      <c r="D2751" t="s">
        <v>3129</v>
      </c>
      <c r="E2751" t="s">
        <v>3597</v>
      </c>
      <c r="F2751" t="s">
        <v>3586</v>
      </c>
      <c r="G2751" t="s">
        <v>3503</v>
      </c>
      <c r="H2751" t="s">
        <v>458</v>
      </c>
      <c r="I2751" t="s">
        <v>374</v>
      </c>
      <c r="J2751" t="s">
        <v>429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3499</v>
      </c>
      <c r="B2752" t="s">
        <v>3500</v>
      </c>
      <c r="C2752" t="s">
        <v>609</v>
      </c>
      <c r="D2752" t="s">
        <v>3129</v>
      </c>
      <c r="E2752" t="s">
        <v>3598</v>
      </c>
      <c r="F2752" t="s">
        <v>3586</v>
      </c>
      <c r="G2752" t="s">
        <v>3503</v>
      </c>
      <c r="H2752" t="s">
        <v>458</v>
      </c>
      <c r="I2752" t="s">
        <v>374</v>
      </c>
      <c r="J2752" t="s">
        <v>429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3499</v>
      </c>
      <c r="B2753" t="s">
        <v>3500</v>
      </c>
      <c r="C2753" t="s">
        <v>368</v>
      </c>
      <c r="D2753" t="s">
        <v>3129</v>
      </c>
      <c r="E2753" t="s">
        <v>3599</v>
      </c>
      <c r="F2753" t="s">
        <v>3586</v>
      </c>
      <c r="G2753" t="s">
        <v>3503</v>
      </c>
      <c r="H2753" t="s">
        <v>458</v>
      </c>
      <c r="I2753" t="s">
        <v>374</v>
      </c>
      <c r="J2753" t="s">
        <v>429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3499</v>
      </c>
      <c r="B2754" t="s">
        <v>3500</v>
      </c>
      <c r="C2754" t="s">
        <v>368</v>
      </c>
      <c r="D2754" t="s">
        <v>3129</v>
      </c>
      <c r="E2754" t="s">
        <v>3600</v>
      </c>
      <c r="F2754" t="s">
        <v>3586</v>
      </c>
      <c r="G2754" t="s">
        <v>3503</v>
      </c>
      <c r="H2754" t="s">
        <v>458</v>
      </c>
      <c r="I2754" t="s">
        <v>374</v>
      </c>
      <c r="J2754" t="s">
        <v>429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3499</v>
      </c>
      <c r="B2755" t="s">
        <v>3601</v>
      </c>
      <c r="C2755" t="s">
        <v>368</v>
      </c>
      <c r="D2755" t="s">
        <v>3129</v>
      </c>
      <c r="E2755" t="s">
        <v>3602</v>
      </c>
      <c r="F2755" t="s">
        <v>3603</v>
      </c>
      <c r="G2755" t="s">
        <v>3503</v>
      </c>
      <c r="H2755" t="s">
        <v>458</v>
      </c>
      <c r="I2755" t="s">
        <v>374</v>
      </c>
      <c r="J2755" t="s">
        <v>757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3499</v>
      </c>
      <c r="B2756" t="s">
        <v>3601</v>
      </c>
      <c r="C2756" t="s">
        <v>368</v>
      </c>
      <c r="D2756" t="s">
        <v>3129</v>
      </c>
      <c r="E2756" t="s">
        <v>3604</v>
      </c>
      <c r="F2756" t="s">
        <v>3603</v>
      </c>
      <c r="G2756" t="s">
        <v>3503</v>
      </c>
      <c r="H2756" t="s">
        <v>458</v>
      </c>
      <c r="I2756" t="s">
        <v>374</v>
      </c>
      <c r="J2756" t="s">
        <v>757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3499</v>
      </c>
      <c r="B2757" t="s">
        <v>3601</v>
      </c>
      <c r="C2757" t="s">
        <v>368</v>
      </c>
      <c r="D2757" t="s">
        <v>3129</v>
      </c>
      <c r="E2757" t="s">
        <v>3605</v>
      </c>
      <c r="F2757" t="s">
        <v>3603</v>
      </c>
      <c r="G2757" t="s">
        <v>3503</v>
      </c>
      <c r="H2757" t="s">
        <v>458</v>
      </c>
      <c r="I2757" t="s">
        <v>374</v>
      </c>
      <c r="J2757" t="s">
        <v>757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3499</v>
      </c>
      <c r="B2758" t="s">
        <v>3601</v>
      </c>
      <c r="C2758" t="s">
        <v>368</v>
      </c>
      <c r="D2758" t="s">
        <v>3129</v>
      </c>
      <c r="E2758" t="s">
        <v>3606</v>
      </c>
      <c r="F2758" t="s">
        <v>3603</v>
      </c>
      <c r="G2758" t="s">
        <v>3503</v>
      </c>
      <c r="H2758" t="s">
        <v>458</v>
      </c>
      <c r="I2758" t="s">
        <v>374</v>
      </c>
      <c r="J2758" t="s">
        <v>757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3499</v>
      </c>
      <c r="B2759" t="s">
        <v>3601</v>
      </c>
      <c r="C2759" t="s">
        <v>368</v>
      </c>
      <c r="D2759" t="s">
        <v>3129</v>
      </c>
      <c r="E2759" t="s">
        <v>3607</v>
      </c>
      <c r="F2759" t="s">
        <v>3603</v>
      </c>
      <c r="G2759" t="s">
        <v>3503</v>
      </c>
      <c r="H2759" t="s">
        <v>458</v>
      </c>
      <c r="I2759" t="s">
        <v>374</v>
      </c>
      <c r="J2759" t="s">
        <v>757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3499</v>
      </c>
      <c r="B2760" t="s">
        <v>3601</v>
      </c>
      <c r="C2760" t="s">
        <v>368</v>
      </c>
      <c r="D2760" t="s">
        <v>3129</v>
      </c>
      <c r="E2760" t="s">
        <v>3608</v>
      </c>
      <c r="F2760" t="s">
        <v>3603</v>
      </c>
      <c r="G2760" t="s">
        <v>3503</v>
      </c>
      <c r="H2760" t="s">
        <v>458</v>
      </c>
      <c r="I2760" t="s">
        <v>374</v>
      </c>
      <c r="J2760" t="s">
        <v>757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3499</v>
      </c>
      <c r="B2761" t="s">
        <v>3601</v>
      </c>
      <c r="C2761" t="s">
        <v>368</v>
      </c>
      <c r="D2761" t="s">
        <v>3129</v>
      </c>
      <c r="E2761" t="s">
        <v>3609</v>
      </c>
      <c r="F2761" t="s">
        <v>3603</v>
      </c>
      <c r="G2761" t="s">
        <v>3503</v>
      </c>
      <c r="H2761" t="s">
        <v>458</v>
      </c>
      <c r="I2761" t="s">
        <v>374</v>
      </c>
      <c r="J2761" t="s">
        <v>757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3499</v>
      </c>
      <c r="B2762" t="s">
        <v>3601</v>
      </c>
      <c r="C2762" t="s">
        <v>368</v>
      </c>
      <c r="D2762" t="s">
        <v>3129</v>
      </c>
      <c r="E2762" t="s">
        <v>3610</v>
      </c>
      <c r="F2762" t="s">
        <v>3603</v>
      </c>
      <c r="G2762" t="s">
        <v>3503</v>
      </c>
      <c r="H2762" t="s">
        <v>458</v>
      </c>
      <c r="I2762" t="s">
        <v>374</v>
      </c>
      <c r="J2762" t="s">
        <v>757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3499</v>
      </c>
      <c r="B2763" t="s">
        <v>3601</v>
      </c>
      <c r="C2763" t="s">
        <v>368</v>
      </c>
      <c r="D2763" t="s">
        <v>3129</v>
      </c>
      <c r="E2763" t="s">
        <v>3611</v>
      </c>
      <c r="F2763" t="s">
        <v>3603</v>
      </c>
      <c r="G2763" t="s">
        <v>3503</v>
      </c>
      <c r="H2763" t="s">
        <v>458</v>
      </c>
      <c r="I2763" t="s">
        <v>374</v>
      </c>
      <c r="J2763" t="s">
        <v>757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3499</v>
      </c>
      <c r="B2764" t="s">
        <v>3601</v>
      </c>
      <c r="C2764" t="s">
        <v>368</v>
      </c>
      <c r="D2764" t="s">
        <v>3129</v>
      </c>
      <c r="E2764" t="s">
        <v>3612</v>
      </c>
      <c r="F2764" t="s">
        <v>3603</v>
      </c>
      <c r="G2764" t="s">
        <v>3503</v>
      </c>
      <c r="H2764" t="s">
        <v>458</v>
      </c>
      <c r="I2764" t="s">
        <v>374</v>
      </c>
      <c r="J2764" t="s">
        <v>757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3499</v>
      </c>
      <c r="B2765" t="s">
        <v>3601</v>
      </c>
      <c r="C2765" t="s">
        <v>609</v>
      </c>
      <c r="D2765" t="s">
        <v>3129</v>
      </c>
      <c r="E2765" t="s">
        <v>3613</v>
      </c>
      <c r="F2765" t="s">
        <v>3603</v>
      </c>
      <c r="G2765" t="s">
        <v>3503</v>
      </c>
      <c r="H2765" t="s">
        <v>458</v>
      </c>
      <c r="I2765" t="s">
        <v>374</v>
      </c>
      <c r="J2765" t="s">
        <v>757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3499</v>
      </c>
      <c r="B2766" t="s">
        <v>3601</v>
      </c>
      <c r="C2766" t="s">
        <v>609</v>
      </c>
      <c r="D2766" t="s">
        <v>3129</v>
      </c>
      <c r="E2766" t="s">
        <v>3614</v>
      </c>
      <c r="F2766" t="s">
        <v>3603</v>
      </c>
      <c r="G2766" t="s">
        <v>3503</v>
      </c>
      <c r="H2766" t="s">
        <v>458</v>
      </c>
      <c r="I2766" t="s">
        <v>374</v>
      </c>
      <c r="J2766" t="s">
        <v>757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3499</v>
      </c>
      <c r="B2767" t="s">
        <v>3601</v>
      </c>
      <c r="C2767" t="s">
        <v>609</v>
      </c>
      <c r="D2767" t="s">
        <v>3129</v>
      </c>
      <c r="E2767" t="s">
        <v>3615</v>
      </c>
      <c r="F2767" t="s">
        <v>3603</v>
      </c>
      <c r="G2767" t="s">
        <v>3503</v>
      </c>
      <c r="H2767" t="s">
        <v>458</v>
      </c>
      <c r="I2767" t="s">
        <v>374</v>
      </c>
      <c r="J2767" t="s">
        <v>757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3499</v>
      </c>
      <c r="B2768" t="s">
        <v>3601</v>
      </c>
      <c r="C2768" t="s">
        <v>609</v>
      </c>
      <c r="D2768" t="s">
        <v>3129</v>
      </c>
      <c r="E2768" t="s">
        <v>3616</v>
      </c>
      <c r="F2768" t="s">
        <v>3603</v>
      </c>
      <c r="G2768" t="s">
        <v>3503</v>
      </c>
      <c r="H2768" t="s">
        <v>458</v>
      </c>
      <c r="I2768" t="s">
        <v>374</v>
      </c>
      <c r="J2768" t="s">
        <v>757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3499</v>
      </c>
      <c r="B2769" t="s">
        <v>3601</v>
      </c>
      <c r="C2769" t="s">
        <v>368</v>
      </c>
      <c r="D2769" t="s">
        <v>3129</v>
      </c>
      <c r="E2769" t="s">
        <v>3617</v>
      </c>
      <c r="F2769" t="s">
        <v>3603</v>
      </c>
      <c r="G2769" t="s">
        <v>3503</v>
      </c>
      <c r="H2769" t="s">
        <v>458</v>
      </c>
      <c r="I2769" t="s">
        <v>374</v>
      </c>
      <c r="J2769" t="s">
        <v>757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3499</v>
      </c>
      <c r="B2770" t="s">
        <v>3601</v>
      </c>
      <c r="C2770" t="s">
        <v>368</v>
      </c>
      <c r="D2770" t="s">
        <v>3129</v>
      </c>
      <c r="E2770" t="s">
        <v>3618</v>
      </c>
      <c r="F2770" t="s">
        <v>3603</v>
      </c>
      <c r="G2770" t="s">
        <v>3503</v>
      </c>
      <c r="H2770" t="s">
        <v>458</v>
      </c>
      <c r="I2770" t="s">
        <v>374</v>
      </c>
      <c r="J2770" t="s">
        <v>757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3499</v>
      </c>
      <c r="B2771" t="s">
        <v>3619</v>
      </c>
      <c r="C2771" t="s">
        <v>368</v>
      </c>
      <c r="D2771" t="s">
        <v>3129</v>
      </c>
      <c r="E2771" t="s">
        <v>3620</v>
      </c>
      <c r="F2771" t="s">
        <v>3621</v>
      </c>
      <c r="G2771" t="s">
        <v>3503</v>
      </c>
      <c r="H2771" t="s">
        <v>458</v>
      </c>
      <c r="I2771" t="s">
        <v>374</v>
      </c>
      <c r="J2771" t="s">
        <v>849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3499</v>
      </c>
      <c r="B2772" t="s">
        <v>3619</v>
      </c>
      <c r="C2772" t="s">
        <v>368</v>
      </c>
      <c r="D2772" t="s">
        <v>3129</v>
      </c>
      <c r="E2772" t="s">
        <v>3622</v>
      </c>
      <c r="F2772" t="s">
        <v>3621</v>
      </c>
      <c r="G2772" t="s">
        <v>3503</v>
      </c>
      <c r="H2772" t="s">
        <v>458</v>
      </c>
      <c r="I2772" t="s">
        <v>374</v>
      </c>
      <c r="J2772" t="s">
        <v>849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3499</v>
      </c>
      <c r="B2773" t="s">
        <v>3619</v>
      </c>
      <c r="C2773" t="s">
        <v>368</v>
      </c>
      <c r="D2773" t="s">
        <v>3129</v>
      </c>
      <c r="E2773" t="s">
        <v>3623</v>
      </c>
      <c r="F2773" t="s">
        <v>3621</v>
      </c>
      <c r="G2773" t="s">
        <v>3503</v>
      </c>
      <c r="H2773" t="s">
        <v>458</v>
      </c>
      <c r="I2773" t="s">
        <v>374</v>
      </c>
      <c r="J2773" t="s">
        <v>849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3499</v>
      </c>
      <c r="B2774" t="s">
        <v>3619</v>
      </c>
      <c r="C2774" t="s">
        <v>368</v>
      </c>
      <c r="D2774" t="s">
        <v>3129</v>
      </c>
      <c r="E2774" t="s">
        <v>3624</v>
      </c>
      <c r="F2774" t="s">
        <v>3621</v>
      </c>
      <c r="G2774" t="s">
        <v>3503</v>
      </c>
      <c r="H2774" t="s">
        <v>458</v>
      </c>
      <c r="I2774" t="s">
        <v>374</v>
      </c>
      <c r="J2774" t="s">
        <v>849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3499</v>
      </c>
      <c r="B2775" t="s">
        <v>3619</v>
      </c>
      <c r="C2775" t="s">
        <v>368</v>
      </c>
      <c r="D2775" t="s">
        <v>3129</v>
      </c>
      <c r="E2775" t="s">
        <v>3625</v>
      </c>
      <c r="F2775" t="s">
        <v>3621</v>
      </c>
      <c r="G2775" t="s">
        <v>3503</v>
      </c>
      <c r="H2775" t="s">
        <v>458</v>
      </c>
      <c r="I2775" t="s">
        <v>374</v>
      </c>
      <c r="J2775" t="s">
        <v>849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3499</v>
      </c>
      <c r="B2776" t="s">
        <v>3619</v>
      </c>
      <c r="C2776" t="s">
        <v>368</v>
      </c>
      <c r="D2776" t="s">
        <v>3129</v>
      </c>
      <c r="E2776" t="s">
        <v>3626</v>
      </c>
      <c r="F2776" t="s">
        <v>3621</v>
      </c>
      <c r="G2776" t="s">
        <v>3503</v>
      </c>
      <c r="H2776" t="s">
        <v>458</v>
      </c>
      <c r="I2776" t="s">
        <v>374</v>
      </c>
      <c r="J2776" t="s">
        <v>849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3499</v>
      </c>
      <c r="B2777" t="s">
        <v>3619</v>
      </c>
      <c r="C2777" t="s">
        <v>368</v>
      </c>
      <c r="D2777" t="s">
        <v>3129</v>
      </c>
      <c r="E2777" t="s">
        <v>3627</v>
      </c>
      <c r="F2777" t="s">
        <v>3621</v>
      </c>
      <c r="G2777" t="s">
        <v>3503</v>
      </c>
      <c r="H2777" t="s">
        <v>458</v>
      </c>
      <c r="I2777" t="s">
        <v>374</v>
      </c>
      <c r="J2777" t="s">
        <v>849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3499</v>
      </c>
      <c r="B2778" t="s">
        <v>3619</v>
      </c>
      <c r="C2778" t="s">
        <v>368</v>
      </c>
      <c r="D2778" t="s">
        <v>3129</v>
      </c>
      <c r="E2778" t="s">
        <v>3628</v>
      </c>
      <c r="F2778" t="s">
        <v>3621</v>
      </c>
      <c r="G2778" t="s">
        <v>3503</v>
      </c>
      <c r="H2778" t="s">
        <v>458</v>
      </c>
      <c r="I2778" t="s">
        <v>374</v>
      </c>
      <c r="J2778" t="s">
        <v>849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3499</v>
      </c>
      <c r="B2779" t="s">
        <v>3619</v>
      </c>
      <c r="C2779" t="s">
        <v>368</v>
      </c>
      <c r="D2779" t="s">
        <v>3129</v>
      </c>
      <c r="E2779" t="s">
        <v>3629</v>
      </c>
      <c r="F2779" t="s">
        <v>3621</v>
      </c>
      <c r="G2779" t="s">
        <v>3503</v>
      </c>
      <c r="H2779" t="s">
        <v>458</v>
      </c>
      <c r="I2779" t="s">
        <v>374</v>
      </c>
      <c r="J2779" t="s">
        <v>849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3499</v>
      </c>
      <c r="B2780" t="s">
        <v>3619</v>
      </c>
      <c r="C2780" t="s">
        <v>609</v>
      </c>
      <c r="D2780" t="s">
        <v>3129</v>
      </c>
      <c r="E2780" t="s">
        <v>3630</v>
      </c>
      <c r="F2780" t="s">
        <v>3621</v>
      </c>
      <c r="G2780" t="s">
        <v>3503</v>
      </c>
      <c r="H2780" t="s">
        <v>458</v>
      </c>
      <c r="I2780" t="s">
        <v>374</v>
      </c>
      <c r="J2780" t="s">
        <v>849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3499</v>
      </c>
      <c r="B2781" t="s">
        <v>3619</v>
      </c>
      <c r="C2781" t="s">
        <v>609</v>
      </c>
      <c r="D2781" t="s">
        <v>3129</v>
      </c>
      <c r="E2781" t="s">
        <v>3631</v>
      </c>
      <c r="F2781" t="s">
        <v>3621</v>
      </c>
      <c r="G2781" t="s">
        <v>3503</v>
      </c>
      <c r="H2781" t="s">
        <v>458</v>
      </c>
      <c r="I2781" t="s">
        <v>374</v>
      </c>
      <c r="J2781" t="s">
        <v>849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3499</v>
      </c>
      <c r="B2782" t="s">
        <v>3619</v>
      </c>
      <c r="C2782" t="s">
        <v>609</v>
      </c>
      <c r="D2782" t="s">
        <v>3129</v>
      </c>
      <c r="E2782" t="s">
        <v>3632</v>
      </c>
      <c r="F2782" t="s">
        <v>3621</v>
      </c>
      <c r="G2782" t="s">
        <v>3503</v>
      </c>
      <c r="H2782" t="s">
        <v>458</v>
      </c>
      <c r="I2782" t="s">
        <v>374</v>
      </c>
      <c r="J2782" t="s">
        <v>849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3499</v>
      </c>
      <c r="B2783" t="s">
        <v>3619</v>
      </c>
      <c r="C2783" t="s">
        <v>368</v>
      </c>
      <c r="D2783" t="s">
        <v>3129</v>
      </c>
      <c r="E2783" t="s">
        <v>3633</v>
      </c>
      <c r="F2783" t="s">
        <v>3621</v>
      </c>
      <c r="G2783" t="s">
        <v>3503</v>
      </c>
      <c r="H2783" t="s">
        <v>458</v>
      </c>
      <c r="I2783" t="s">
        <v>374</v>
      </c>
      <c r="J2783" t="s">
        <v>849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3499</v>
      </c>
      <c r="B2784" t="s">
        <v>3619</v>
      </c>
      <c r="C2784" t="s">
        <v>368</v>
      </c>
      <c r="D2784" t="s">
        <v>3129</v>
      </c>
      <c r="E2784" t="s">
        <v>3634</v>
      </c>
      <c r="F2784" t="s">
        <v>3621</v>
      </c>
      <c r="G2784" t="s">
        <v>3503</v>
      </c>
      <c r="H2784" t="s">
        <v>458</v>
      </c>
      <c r="I2784" t="s">
        <v>374</v>
      </c>
      <c r="J2784" t="s">
        <v>849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3499</v>
      </c>
      <c r="B2785" t="s">
        <v>3635</v>
      </c>
      <c r="C2785" t="s">
        <v>368</v>
      </c>
      <c r="D2785" t="s">
        <v>3129</v>
      </c>
      <c r="E2785" t="s">
        <v>3636</v>
      </c>
      <c r="F2785" t="s">
        <v>3637</v>
      </c>
      <c r="G2785" t="s">
        <v>3503</v>
      </c>
      <c r="H2785" t="s">
        <v>458</v>
      </c>
      <c r="I2785" t="s">
        <v>374</v>
      </c>
      <c r="J2785" t="s">
        <v>874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3499</v>
      </c>
      <c r="B2786" t="s">
        <v>3635</v>
      </c>
      <c r="C2786" t="s">
        <v>368</v>
      </c>
      <c r="D2786" t="s">
        <v>3129</v>
      </c>
      <c r="E2786" t="s">
        <v>3638</v>
      </c>
      <c r="F2786" t="s">
        <v>3637</v>
      </c>
      <c r="G2786" t="s">
        <v>3503</v>
      </c>
      <c r="H2786" t="s">
        <v>458</v>
      </c>
      <c r="I2786" t="s">
        <v>374</v>
      </c>
      <c r="J2786" t="s">
        <v>874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3499</v>
      </c>
      <c r="B2787" t="s">
        <v>3635</v>
      </c>
      <c r="C2787" t="s">
        <v>368</v>
      </c>
      <c r="D2787" t="s">
        <v>3129</v>
      </c>
      <c r="E2787" t="s">
        <v>3639</v>
      </c>
      <c r="F2787" t="s">
        <v>3637</v>
      </c>
      <c r="G2787" t="s">
        <v>3503</v>
      </c>
      <c r="H2787" t="s">
        <v>458</v>
      </c>
      <c r="I2787" t="s">
        <v>374</v>
      </c>
      <c r="J2787" t="s">
        <v>874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3499</v>
      </c>
      <c r="B2788" t="s">
        <v>3635</v>
      </c>
      <c r="C2788" t="s">
        <v>368</v>
      </c>
      <c r="D2788" t="s">
        <v>3129</v>
      </c>
      <c r="E2788" t="s">
        <v>3640</v>
      </c>
      <c r="F2788" t="s">
        <v>3637</v>
      </c>
      <c r="G2788" t="s">
        <v>3503</v>
      </c>
      <c r="H2788" t="s">
        <v>458</v>
      </c>
      <c r="I2788" t="s">
        <v>374</v>
      </c>
      <c r="J2788" t="s">
        <v>874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3499</v>
      </c>
      <c r="B2789" t="s">
        <v>3635</v>
      </c>
      <c r="C2789" t="s">
        <v>368</v>
      </c>
      <c r="D2789" t="s">
        <v>3129</v>
      </c>
      <c r="E2789" t="s">
        <v>3641</v>
      </c>
      <c r="F2789" t="s">
        <v>3637</v>
      </c>
      <c r="G2789" t="s">
        <v>3503</v>
      </c>
      <c r="H2789" t="s">
        <v>458</v>
      </c>
      <c r="I2789" t="s">
        <v>374</v>
      </c>
      <c r="J2789" t="s">
        <v>874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3499</v>
      </c>
      <c r="B2790" t="s">
        <v>3635</v>
      </c>
      <c r="C2790" t="s">
        <v>368</v>
      </c>
      <c r="D2790" t="s">
        <v>3129</v>
      </c>
      <c r="E2790" t="s">
        <v>3642</v>
      </c>
      <c r="F2790" t="s">
        <v>3637</v>
      </c>
      <c r="G2790" t="s">
        <v>3503</v>
      </c>
      <c r="H2790" t="s">
        <v>458</v>
      </c>
      <c r="I2790" t="s">
        <v>374</v>
      </c>
      <c r="J2790" t="s">
        <v>874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3499</v>
      </c>
      <c r="B2791" t="s">
        <v>3635</v>
      </c>
      <c r="C2791" t="s">
        <v>368</v>
      </c>
      <c r="D2791" t="s">
        <v>3129</v>
      </c>
      <c r="E2791" t="s">
        <v>3643</v>
      </c>
      <c r="F2791" t="s">
        <v>3637</v>
      </c>
      <c r="G2791" t="s">
        <v>3503</v>
      </c>
      <c r="H2791" t="s">
        <v>458</v>
      </c>
      <c r="I2791" t="s">
        <v>374</v>
      </c>
      <c r="J2791" t="s">
        <v>874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3499</v>
      </c>
      <c r="B2792" t="s">
        <v>3635</v>
      </c>
      <c r="C2792" t="s">
        <v>368</v>
      </c>
      <c r="D2792" t="s">
        <v>3129</v>
      </c>
      <c r="E2792" t="s">
        <v>3644</v>
      </c>
      <c r="F2792" t="s">
        <v>3637</v>
      </c>
      <c r="G2792" t="s">
        <v>3503</v>
      </c>
      <c r="H2792" t="s">
        <v>458</v>
      </c>
      <c r="I2792" t="s">
        <v>374</v>
      </c>
      <c r="J2792" t="s">
        <v>874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3499</v>
      </c>
      <c r="B2793" t="s">
        <v>3635</v>
      </c>
      <c r="C2793" t="s">
        <v>368</v>
      </c>
      <c r="D2793" t="s">
        <v>3129</v>
      </c>
      <c r="E2793" t="s">
        <v>3645</v>
      </c>
      <c r="F2793" t="s">
        <v>3637</v>
      </c>
      <c r="G2793" t="s">
        <v>3503</v>
      </c>
      <c r="H2793" t="s">
        <v>458</v>
      </c>
      <c r="I2793" t="s">
        <v>374</v>
      </c>
      <c r="J2793" t="s">
        <v>874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3499</v>
      </c>
      <c r="B2794" t="s">
        <v>3635</v>
      </c>
      <c r="C2794" t="s">
        <v>609</v>
      </c>
      <c r="D2794" t="s">
        <v>3129</v>
      </c>
      <c r="E2794" t="s">
        <v>3646</v>
      </c>
      <c r="F2794" t="s">
        <v>3637</v>
      </c>
      <c r="G2794" t="s">
        <v>3503</v>
      </c>
      <c r="H2794" t="s">
        <v>458</v>
      </c>
      <c r="I2794" t="s">
        <v>374</v>
      </c>
      <c r="J2794" t="s">
        <v>874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3499</v>
      </c>
      <c r="B2795" t="s">
        <v>3635</v>
      </c>
      <c r="C2795" t="s">
        <v>609</v>
      </c>
      <c r="D2795" t="s">
        <v>3129</v>
      </c>
      <c r="E2795" t="s">
        <v>3647</v>
      </c>
      <c r="F2795" t="s">
        <v>3637</v>
      </c>
      <c r="G2795" t="s">
        <v>3503</v>
      </c>
      <c r="H2795" t="s">
        <v>458</v>
      </c>
      <c r="I2795" t="s">
        <v>374</v>
      </c>
      <c r="J2795" t="s">
        <v>874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3499</v>
      </c>
      <c r="B2796" t="s">
        <v>3635</v>
      </c>
      <c r="C2796" t="s">
        <v>609</v>
      </c>
      <c r="D2796" t="s">
        <v>3129</v>
      </c>
      <c r="E2796" t="s">
        <v>3648</v>
      </c>
      <c r="F2796" t="s">
        <v>3637</v>
      </c>
      <c r="G2796" t="s">
        <v>3503</v>
      </c>
      <c r="H2796" t="s">
        <v>458</v>
      </c>
      <c r="I2796" t="s">
        <v>374</v>
      </c>
      <c r="J2796" t="s">
        <v>874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3499</v>
      </c>
      <c r="B2797" t="s">
        <v>3635</v>
      </c>
      <c r="C2797" t="s">
        <v>609</v>
      </c>
      <c r="D2797" t="s">
        <v>3129</v>
      </c>
      <c r="E2797" t="s">
        <v>3649</v>
      </c>
      <c r="F2797" t="s">
        <v>3637</v>
      </c>
      <c r="G2797" t="s">
        <v>3503</v>
      </c>
      <c r="H2797" t="s">
        <v>458</v>
      </c>
      <c r="I2797" t="s">
        <v>374</v>
      </c>
      <c r="J2797" t="s">
        <v>874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3499</v>
      </c>
      <c r="B2798" t="s">
        <v>3635</v>
      </c>
      <c r="C2798" t="s">
        <v>368</v>
      </c>
      <c r="D2798" t="s">
        <v>3129</v>
      </c>
      <c r="E2798" t="s">
        <v>3650</v>
      </c>
      <c r="F2798" t="s">
        <v>3637</v>
      </c>
      <c r="G2798" t="s">
        <v>3503</v>
      </c>
      <c r="H2798" t="s">
        <v>458</v>
      </c>
      <c r="I2798" t="s">
        <v>374</v>
      </c>
      <c r="J2798" t="s">
        <v>874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3499</v>
      </c>
      <c r="B2799" t="s">
        <v>3635</v>
      </c>
      <c r="C2799" t="s">
        <v>368</v>
      </c>
      <c r="D2799" t="s">
        <v>3129</v>
      </c>
      <c r="E2799" t="s">
        <v>3651</v>
      </c>
      <c r="F2799" t="s">
        <v>3637</v>
      </c>
      <c r="G2799" t="s">
        <v>3503</v>
      </c>
      <c r="H2799" t="s">
        <v>458</v>
      </c>
      <c r="I2799" t="s">
        <v>374</v>
      </c>
      <c r="J2799" t="s">
        <v>874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3499</v>
      </c>
      <c r="B2800" t="s">
        <v>3652</v>
      </c>
      <c r="C2800" t="s">
        <v>368</v>
      </c>
      <c r="D2800" t="s">
        <v>3129</v>
      </c>
      <c r="E2800" t="s">
        <v>3653</v>
      </c>
      <c r="F2800" t="s">
        <v>3654</v>
      </c>
      <c r="G2800" t="s">
        <v>3503</v>
      </c>
      <c r="H2800" t="s">
        <v>458</v>
      </c>
      <c r="I2800" t="s">
        <v>374</v>
      </c>
      <c r="J2800" t="s">
        <v>881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3499</v>
      </c>
      <c r="B2801" t="s">
        <v>3652</v>
      </c>
      <c r="C2801" t="s">
        <v>368</v>
      </c>
      <c r="D2801" t="s">
        <v>3129</v>
      </c>
      <c r="E2801" t="s">
        <v>3655</v>
      </c>
      <c r="F2801" t="s">
        <v>3654</v>
      </c>
      <c r="G2801" t="s">
        <v>3503</v>
      </c>
      <c r="H2801" t="s">
        <v>458</v>
      </c>
      <c r="I2801" t="s">
        <v>374</v>
      </c>
      <c r="J2801" t="s">
        <v>881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3499</v>
      </c>
      <c r="B2802" t="s">
        <v>3652</v>
      </c>
      <c r="C2802" t="s">
        <v>368</v>
      </c>
      <c r="D2802" t="s">
        <v>3129</v>
      </c>
      <c r="E2802" t="s">
        <v>3656</v>
      </c>
      <c r="F2802" t="s">
        <v>3654</v>
      </c>
      <c r="G2802" t="s">
        <v>3503</v>
      </c>
      <c r="H2802" t="s">
        <v>458</v>
      </c>
      <c r="I2802" t="s">
        <v>374</v>
      </c>
      <c r="J2802" t="s">
        <v>881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3499</v>
      </c>
      <c r="B2803" t="s">
        <v>3652</v>
      </c>
      <c r="C2803" t="s">
        <v>368</v>
      </c>
      <c r="D2803" t="s">
        <v>3129</v>
      </c>
      <c r="E2803" t="s">
        <v>3657</v>
      </c>
      <c r="F2803" t="s">
        <v>3654</v>
      </c>
      <c r="G2803" t="s">
        <v>3503</v>
      </c>
      <c r="H2803" t="s">
        <v>458</v>
      </c>
      <c r="I2803" t="s">
        <v>374</v>
      </c>
      <c r="J2803" t="s">
        <v>881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3499</v>
      </c>
      <c r="B2804" t="s">
        <v>3652</v>
      </c>
      <c r="C2804" t="s">
        <v>368</v>
      </c>
      <c r="D2804" t="s">
        <v>3129</v>
      </c>
      <c r="E2804" t="s">
        <v>3658</v>
      </c>
      <c r="F2804" t="s">
        <v>3654</v>
      </c>
      <c r="G2804" t="s">
        <v>3503</v>
      </c>
      <c r="H2804" t="s">
        <v>458</v>
      </c>
      <c r="I2804" t="s">
        <v>374</v>
      </c>
      <c r="J2804" t="s">
        <v>881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3499</v>
      </c>
      <c r="B2805" t="s">
        <v>3652</v>
      </c>
      <c r="C2805" t="s">
        <v>368</v>
      </c>
      <c r="D2805" t="s">
        <v>3129</v>
      </c>
      <c r="E2805" t="s">
        <v>3659</v>
      </c>
      <c r="F2805" t="s">
        <v>3654</v>
      </c>
      <c r="G2805" t="s">
        <v>3503</v>
      </c>
      <c r="H2805" t="s">
        <v>458</v>
      </c>
      <c r="I2805" t="s">
        <v>374</v>
      </c>
      <c r="J2805" t="s">
        <v>881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3499</v>
      </c>
      <c r="B2806" t="s">
        <v>3652</v>
      </c>
      <c r="C2806" t="s">
        <v>368</v>
      </c>
      <c r="D2806" t="s">
        <v>3129</v>
      </c>
      <c r="E2806" t="s">
        <v>3660</v>
      </c>
      <c r="F2806" t="s">
        <v>3654</v>
      </c>
      <c r="G2806" t="s">
        <v>3503</v>
      </c>
      <c r="H2806" t="s">
        <v>458</v>
      </c>
      <c r="I2806" t="s">
        <v>374</v>
      </c>
      <c r="J2806" t="s">
        <v>881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3499</v>
      </c>
      <c r="B2807" t="s">
        <v>3652</v>
      </c>
      <c r="C2807" t="s">
        <v>368</v>
      </c>
      <c r="D2807" t="s">
        <v>3129</v>
      </c>
      <c r="E2807" t="s">
        <v>3661</v>
      </c>
      <c r="F2807" t="s">
        <v>3654</v>
      </c>
      <c r="G2807" t="s">
        <v>3503</v>
      </c>
      <c r="H2807" t="s">
        <v>458</v>
      </c>
      <c r="I2807" t="s">
        <v>374</v>
      </c>
      <c r="J2807" t="s">
        <v>881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3499</v>
      </c>
      <c r="B2808" t="s">
        <v>3652</v>
      </c>
      <c r="C2808" t="s">
        <v>368</v>
      </c>
      <c r="D2808" t="s">
        <v>3129</v>
      </c>
      <c r="E2808" t="s">
        <v>3662</v>
      </c>
      <c r="F2808" t="s">
        <v>3654</v>
      </c>
      <c r="G2808" t="s">
        <v>3503</v>
      </c>
      <c r="H2808" t="s">
        <v>458</v>
      </c>
      <c r="I2808" t="s">
        <v>374</v>
      </c>
      <c r="J2808" t="s">
        <v>881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3499</v>
      </c>
      <c r="B2809" t="s">
        <v>3652</v>
      </c>
      <c r="C2809" t="s">
        <v>609</v>
      </c>
      <c r="D2809" t="s">
        <v>3129</v>
      </c>
      <c r="E2809" t="s">
        <v>3663</v>
      </c>
      <c r="F2809" t="s">
        <v>3654</v>
      </c>
      <c r="G2809" t="s">
        <v>3503</v>
      </c>
      <c r="H2809" t="s">
        <v>458</v>
      </c>
      <c r="I2809" t="s">
        <v>374</v>
      </c>
      <c r="J2809" t="s">
        <v>881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3499</v>
      </c>
      <c r="B2810" t="s">
        <v>3652</v>
      </c>
      <c r="C2810" t="s">
        <v>609</v>
      </c>
      <c r="D2810" t="s">
        <v>3129</v>
      </c>
      <c r="E2810" t="s">
        <v>3664</v>
      </c>
      <c r="F2810" t="s">
        <v>3654</v>
      </c>
      <c r="G2810" t="s">
        <v>3503</v>
      </c>
      <c r="H2810" t="s">
        <v>458</v>
      </c>
      <c r="I2810" t="s">
        <v>374</v>
      </c>
      <c r="J2810" t="s">
        <v>881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3499</v>
      </c>
      <c r="B2811" t="s">
        <v>3652</v>
      </c>
      <c r="C2811" t="s">
        <v>609</v>
      </c>
      <c r="D2811" t="s">
        <v>3129</v>
      </c>
      <c r="E2811" t="s">
        <v>3665</v>
      </c>
      <c r="F2811" t="s">
        <v>3654</v>
      </c>
      <c r="G2811" t="s">
        <v>3503</v>
      </c>
      <c r="H2811" t="s">
        <v>458</v>
      </c>
      <c r="I2811" t="s">
        <v>374</v>
      </c>
      <c r="J2811" t="s">
        <v>881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3499</v>
      </c>
      <c r="B2812" t="s">
        <v>3652</v>
      </c>
      <c r="C2812" t="s">
        <v>609</v>
      </c>
      <c r="D2812" t="s">
        <v>3129</v>
      </c>
      <c r="E2812" t="s">
        <v>3666</v>
      </c>
      <c r="F2812" t="s">
        <v>3654</v>
      </c>
      <c r="G2812" t="s">
        <v>3503</v>
      </c>
      <c r="H2812" t="s">
        <v>458</v>
      </c>
      <c r="I2812" t="s">
        <v>374</v>
      </c>
      <c r="J2812" t="s">
        <v>881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3499</v>
      </c>
      <c r="B2813" t="s">
        <v>3652</v>
      </c>
      <c r="C2813" t="s">
        <v>368</v>
      </c>
      <c r="D2813" t="s">
        <v>3129</v>
      </c>
      <c r="E2813" t="s">
        <v>3667</v>
      </c>
      <c r="F2813" t="s">
        <v>3654</v>
      </c>
      <c r="G2813" t="s">
        <v>3503</v>
      </c>
      <c r="H2813" t="s">
        <v>458</v>
      </c>
      <c r="I2813" t="s">
        <v>374</v>
      </c>
      <c r="J2813" t="s">
        <v>881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3499</v>
      </c>
      <c r="B2814" t="s">
        <v>3652</v>
      </c>
      <c r="C2814" t="s">
        <v>368</v>
      </c>
      <c r="D2814" t="s">
        <v>3129</v>
      </c>
      <c r="E2814" t="s">
        <v>3668</v>
      </c>
      <c r="F2814" t="s">
        <v>3654</v>
      </c>
      <c r="G2814" t="s">
        <v>3503</v>
      </c>
      <c r="H2814" t="s">
        <v>458</v>
      </c>
      <c r="I2814" t="s">
        <v>374</v>
      </c>
      <c r="J2814" t="s">
        <v>881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3499</v>
      </c>
      <c r="B2815" t="s">
        <v>3669</v>
      </c>
      <c r="C2815" t="s">
        <v>368</v>
      </c>
      <c r="D2815" t="s">
        <v>3129</v>
      </c>
      <c r="E2815" t="s">
        <v>3670</v>
      </c>
      <c r="F2815" t="s">
        <v>3671</v>
      </c>
      <c r="G2815" t="s">
        <v>3503</v>
      </c>
      <c r="H2815" t="s">
        <v>458</v>
      </c>
      <c r="I2815" t="s">
        <v>374</v>
      </c>
      <c r="J2815" t="s">
        <v>906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3499</v>
      </c>
      <c r="B2816" t="s">
        <v>3669</v>
      </c>
      <c r="C2816" t="s">
        <v>368</v>
      </c>
      <c r="D2816" t="s">
        <v>3129</v>
      </c>
      <c r="E2816" t="s">
        <v>3672</v>
      </c>
      <c r="F2816" t="s">
        <v>3671</v>
      </c>
      <c r="G2816" t="s">
        <v>3503</v>
      </c>
      <c r="H2816" t="s">
        <v>458</v>
      </c>
      <c r="I2816" t="s">
        <v>374</v>
      </c>
      <c r="J2816" t="s">
        <v>906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3499</v>
      </c>
      <c r="B2817" t="s">
        <v>3669</v>
      </c>
      <c r="C2817" t="s">
        <v>368</v>
      </c>
      <c r="D2817" t="s">
        <v>3129</v>
      </c>
      <c r="E2817" t="s">
        <v>3673</v>
      </c>
      <c r="F2817" t="s">
        <v>3671</v>
      </c>
      <c r="G2817" t="s">
        <v>3503</v>
      </c>
      <c r="H2817" t="s">
        <v>458</v>
      </c>
      <c r="I2817" t="s">
        <v>374</v>
      </c>
      <c r="J2817" t="s">
        <v>906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3499</v>
      </c>
      <c r="B2818" t="s">
        <v>3669</v>
      </c>
      <c r="C2818" t="s">
        <v>368</v>
      </c>
      <c r="D2818" t="s">
        <v>3129</v>
      </c>
      <c r="E2818" t="s">
        <v>3674</v>
      </c>
      <c r="F2818" t="s">
        <v>3671</v>
      </c>
      <c r="G2818" t="s">
        <v>3503</v>
      </c>
      <c r="H2818" t="s">
        <v>458</v>
      </c>
      <c r="I2818" t="s">
        <v>374</v>
      </c>
      <c r="J2818" t="s">
        <v>906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3499</v>
      </c>
      <c r="B2819" t="s">
        <v>3669</v>
      </c>
      <c r="C2819" t="s">
        <v>368</v>
      </c>
      <c r="D2819" t="s">
        <v>3129</v>
      </c>
      <c r="E2819" t="s">
        <v>3675</v>
      </c>
      <c r="F2819" t="s">
        <v>3671</v>
      </c>
      <c r="G2819" t="s">
        <v>3503</v>
      </c>
      <c r="H2819" t="s">
        <v>458</v>
      </c>
      <c r="I2819" t="s">
        <v>374</v>
      </c>
      <c r="J2819" t="s">
        <v>906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3499</v>
      </c>
      <c r="B2820" t="s">
        <v>3669</v>
      </c>
      <c r="C2820" t="s">
        <v>368</v>
      </c>
      <c r="D2820" t="s">
        <v>3129</v>
      </c>
      <c r="E2820" t="s">
        <v>3676</v>
      </c>
      <c r="F2820" t="s">
        <v>3671</v>
      </c>
      <c r="G2820" t="s">
        <v>3503</v>
      </c>
      <c r="H2820" t="s">
        <v>458</v>
      </c>
      <c r="I2820" t="s">
        <v>374</v>
      </c>
      <c r="J2820" t="s">
        <v>906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3499</v>
      </c>
      <c r="B2821" t="s">
        <v>3669</v>
      </c>
      <c r="C2821" t="s">
        <v>368</v>
      </c>
      <c r="D2821" t="s">
        <v>3129</v>
      </c>
      <c r="E2821" t="s">
        <v>3677</v>
      </c>
      <c r="F2821" t="s">
        <v>3671</v>
      </c>
      <c r="G2821" t="s">
        <v>3503</v>
      </c>
      <c r="H2821" t="s">
        <v>458</v>
      </c>
      <c r="I2821" t="s">
        <v>374</v>
      </c>
      <c r="J2821" t="s">
        <v>906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3499</v>
      </c>
      <c r="B2822" t="s">
        <v>3669</v>
      </c>
      <c r="C2822" t="s">
        <v>368</v>
      </c>
      <c r="D2822" t="s">
        <v>3129</v>
      </c>
      <c r="E2822" t="s">
        <v>3678</v>
      </c>
      <c r="F2822" t="s">
        <v>3671</v>
      </c>
      <c r="G2822" t="s">
        <v>3503</v>
      </c>
      <c r="H2822" t="s">
        <v>458</v>
      </c>
      <c r="I2822" t="s">
        <v>374</v>
      </c>
      <c r="J2822" t="s">
        <v>906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3499</v>
      </c>
      <c r="B2823" t="s">
        <v>3669</v>
      </c>
      <c r="C2823" t="s">
        <v>368</v>
      </c>
      <c r="D2823" t="s">
        <v>3129</v>
      </c>
      <c r="E2823" t="s">
        <v>3679</v>
      </c>
      <c r="F2823" t="s">
        <v>3671</v>
      </c>
      <c r="G2823" t="s">
        <v>3503</v>
      </c>
      <c r="H2823" t="s">
        <v>458</v>
      </c>
      <c r="I2823" t="s">
        <v>374</v>
      </c>
      <c r="J2823" t="s">
        <v>906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3499</v>
      </c>
      <c r="B2824" t="s">
        <v>3669</v>
      </c>
      <c r="C2824" t="s">
        <v>368</v>
      </c>
      <c r="D2824" t="s">
        <v>3129</v>
      </c>
      <c r="E2824" t="s">
        <v>3680</v>
      </c>
      <c r="F2824" t="s">
        <v>3671</v>
      </c>
      <c r="G2824" t="s">
        <v>3503</v>
      </c>
      <c r="H2824" t="s">
        <v>458</v>
      </c>
      <c r="I2824" t="s">
        <v>374</v>
      </c>
      <c r="J2824" t="s">
        <v>906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3499</v>
      </c>
      <c r="B2825" t="s">
        <v>3669</v>
      </c>
      <c r="C2825" t="s">
        <v>609</v>
      </c>
      <c r="D2825" t="s">
        <v>3129</v>
      </c>
      <c r="E2825" t="s">
        <v>3681</v>
      </c>
      <c r="F2825" t="s">
        <v>3671</v>
      </c>
      <c r="G2825" t="s">
        <v>3503</v>
      </c>
      <c r="H2825" t="s">
        <v>458</v>
      </c>
      <c r="I2825" t="s">
        <v>374</v>
      </c>
      <c r="J2825" t="s">
        <v>906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3499</v>
      </c>
      <c r="B2826" t="s">
        <v>3669</v>
      </c>
      <c r="C2826" t="s">
        <v>609</v>
      </c>
      <c r="D2826" t="s">
        <v>3129</v>
      </c>
      <c r="E2826" t="s">
        <v>3682</v>
      </c>
      <c r="F2826" t="s">
        <v>3671</v>
      </c>
      <c r="G2826" t="s">
        <v>3503</v>
      </c>
      <c r="H2826" t="s">
        <v>458</v>
      </c>
      <c r="I2826" t="s">
        <v>374</v>
      </c>
      <c r="J2826" t="s">
        <v>906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3499</v>
      </c>
      <c r="B2827" t="s">
        <v>3669</v>
      </c>
      <c r="C2827" t="s">
        <v>609</v>
      </c>
      <c r="D2827" t="s">
        <v>3129</v>
      </c>
      <c r="E2827" t="s">
        <v>3683</v>
      </c>
      <c r="F2827" t="s">
        <v>3671</v>
      </c>
      <c r="G2827" t="s">
        <v>3503</v>
      </c>
      <c r="H2827" t="s">
        <v>458</v>
      </c>
      <c r="I2827" t="s">
        <v>374</v>
      </c>
      <c r="J2827" t="s">
        <v>906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3499</v>
      </c>
      <c r="B2828" t="s">
        <v>3669</v>
      </c>
      <c r="C2828" t="s">
        <v>609</v>
      </c>
      <c r="D2828" t="s">
        <v>3129</v>
      </c>
      <c r="E2828" t="s">
        <v>3684</v>
      </c>
      <c r="F2828" t="s">
        <v>3671</v>
      </c>
      <c r="G2828" t="s">
        <v>3503</v>
      </c>
      <c r="H2828" t="s">
        <v>458</v>
      </c>
      <c r="I2828" t="s">
        <v>374</v>
      </c>
      <c r="J2828" t="s">
        <v>906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3499</v>
      </c>
      <c r="B2829" t="s">
        <v>3669</v>
      </c>
      <c r="C2829" t="s">
        <v>368</v>
      </c>
      <c r="D2829" t="s">
        <v>3129</v>
      </c>
      <c r="E2829" t="s">
        <v>3685</v>
      </c>
      <c r="F2829" t="s">
        <v>3671</v>
      </c>
      <c r="G2829" t="s">
        <v>3503</v>
      </c>
      <c r="H2829" t="s">
        <v>458</v>
      </c>
      <c r="I2829" t="s">
        <v>374</v>
      </c>
      <c r="J2829" t="s">
        <v>906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3499</v>
      </c>
      <c r="B2830" t="s">
        <v>3669</v>
      </c>
      <c r="C2830" t="s">
        <v>368</v>
      </c>
      <c r="D2830" t="s">
        <v>3129</v>
      </c>
      <c r="E2830" t="s">
        <v>3686</v>
      </c>
      <c r="F2830" t="s">
        <v>3671</v>
      </c>
      <c r="G2830" t="s">
        <v>3503</v>
      </c>
      <c r="H2830" t="s">
        <v>458</v>
      </c>
      <c r="I2830" t="s">
        <v>374</v>
      </c>
      <c r="J2830" t="s">
        <v>906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3499</v>
      </c>
      <c r="B2831" t="s">
        <v>3687</v>
      </c>
      <c r="C2831" t="s">
        <v>368</v>
      </c>
      <c r="D2831" t="s">
        <v>3129</v>
      </c>
      <c r="E2831" t="s">
        <v>3688</v>
      </c>
      <c r="F2831" t="s">
        <v>3689</v>
      </c>
      <c r="G2831" t="s">
        <v>3503</v>
      </c>
      <c r="H2831" t="s">
        <v>458</v>
      </c>
      <c r="I2831" t="s">
        <v>374</v>
      </c>
      <c r="J2831" t="s">
        <v>2053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3499</v>
      </c>
      <c r="B2832" t="s">
        <v>3687</v>
      </c>
      <c r="C2832" t="s">
        <v>368</v>
      </c>
      <c r="D2832" t="s">
        <v>3129</v>
      </c>
      <c r="E2832" t="s">
        <v>3690</v>
      </c>
      <c r="F2832" t="s">
        <v>3689</v>
      </c>
      <c r="G2832" t="s">
        <v>3503</v>
      </c>
      <c r="H2832" t="s">
        <v>458</v>
      </c>
      <c r="I2832" t="s">
        <v>374</v>
      </c>
      <c r="J2832" t="s">
        <v>2053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3499</v>
      </c>
      <c r="B2833" t="s">
        <v>3687</v>
      </c>
      <c r="C2833" t="s">
        <v>368</v>
      </c>
      <c r="D2833" t="s">
        <v>3129</v>
      </c>
      <c r="E2833" t="s">
        <v>3691</v>
      </c>
      <c r="F2833" t="s">
        <v>3689</v>
      </c>
      <c r="G2833" t="s">
        <v>3503</v>
      </c>
      <c r="H2833" t="s">
        <v>458</v>
      </c>
      <c r="I2833" t="s">
        <v>374</v>
      </c>
      <c r="J2833" t="s">
        <v>2053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3499</v>
      </c>
      <c r="B2834" t="s">
        <v>3687</v>
      </c>
      <c r="C2834" t="s">
        <v>368</v>
      </c>
      <c r="D2834" t="s">
        <v>3129</v>
      </c>
      <c r="E2834" t="s">
        <v>3692</v>
      </c>
      <c r="F2834" t="s">
        <v>3689</v>
      </c>
      <c r="G2834" t="s">
        <v>3503</v>
      </c>
      <c r="H2834" t="s">
        <v>458</v>
      </c>
      <c r="I2834" t="s">
        <v>374</v>
      </c>
      <c r="J2834" t="s">
        <v>2053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3499</v>
      </c>
      <c r="B2835" t="s">
        <v>3687</v>
      </c>
      <c r="C2835" t="s">
        <v>368</v>
      </c>
      <c r="D2835" t="s">
        <v>3129</v>
      </c>
      <c r="E2835" t="s">
        <v>3693</v>
      </c>
      <c r="F2835" t="s">
        <v>3689</v>
      </c>
      <c r="G2835" t="s">
        <v>3503</v>
      </c>
      <c r="H2835" t="s">
        <v>458</v>
      </c>
      <c r="I2835" t="s">
        <v>374</v>
      </c>
      <c r="J2835" t="s">
        <v>2053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3499</v>
      </c>
      <c r="B2836" t="s">
        <v>3687</v>
      </c>
      <c r="C2836" t="s">
        <v>368</v>
      </c>
      <c r="D2836" t="s">
        <v>3129</v>
      </c>
      <c r="E2836" t="s">
        <v>3694</v>
      </c>
      <c r="F2836" t="s">
        <v>3689</v>
      </c>
      <c r="G2836" t="s">
        <v>3503</v>
      </c>
      <c r="H2836" t="s">
        <v>458</v>
      </c>
      <c r="I2836" t="s">
        <v>374</v>
      </c>
      <c r="J2836" t="s">
        <v>2053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3499</v>
      </c>
      <c r="B2837" t="s">
        <v>3687</v>
      </c>
      <c r="C2837" t="s">
        <v>368</v>
      </c>
      <c r="D2837" t="s">
        <v>3129</v>
      </c>
      <c r="E2837" t="s">
        <v>3695</v>
      </c>
      <c r="F2837" t="s">
        <v>3689</v>
      </c>
      <c r="G2837" t="s">
        <v>3503</v>
      </c>
      <c r="H2837" t="s">
        <v>458</v>
      </c>
      <c r="I2837" t="s">
        <v>374</v>
      </c>
      <c r="J2837" t="s">
        <v>2053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3499</v>
      </c>
      <c r="B2838" t="s">
        <v>3687</v>
      </c>
      <c r="C2838" t="s">
        <v>368</v>
      </c>
      <c r="D2838" t="s">
        <v>3129</v>
      </c>
      <c r="E2838" t="s">
        <v>3696</v>
      </c>
      <c r="F2838" t="s">
        <v>3689</v>
      </c>
      <c r="G2838" t="s">
        <v>3503</v>
      </c>
      <c r="H2838" t="s">
        <v>458</v>
      </c>
      <c r="I2838" t="s">
        <v>374</v>
      </c>
      <c r="J2838" t="s">
        <v>2053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3499</v>
      </c>
      <c r="B2839" t="s">
        <v>3687</v>
      </c>
      <c r="C2839" t="s">
        <v>368</v>
      </c>
      <c r="D2839" t="s">
        <v>3129</v>
      </c>
      <c r="E2839" t="s">
        <v>3697</v>
      </c>
      <c r="F2839" t="s">
        <v>3689</v>
      </c>
      <c r="G2839" t="s">
        <v>3503</v>
      </c>
      <c r="H2839" t="s">
        <v>458</v>
      </c>
      <c r="I2839" t="s">
        <v>374</v>
      </c>
      <c r="J2839" t="s">
        <v>2053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3499</v>
      </c>
      <c r="B2840" t="s">
        <v>3687</v>
      </c>
      <c r="C2840" t="s">
        <v>609</v>
      </c>
      <c r="D2840" t="s">
        <v>3129</v>
      </c>
      <c r="E2840" t="s">
        <v>3698</v>
      </c>
      <c r="F2840" t="s">
        <v>3689</v>
      </c>
      <c r="G2840" t="s">
        <v>3503</v>
      </c>
      <c r="H2840" t="s">
        <v>458</v>
      </c>
      <c r="I2840" t="s">
        <v>374</v>
      </c>
      <c r="J2840" t="s">
        <v>2053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3499</v>
      </c>
      <c r="B2841" t="s">
        <v>3687</v>
      </c>
      <c r="C2841" t="s">
        <v>609</v>
      </c>
      <c r="D2841" t="s">
        <v>3129</v>
      </c>
      <c r="E2841" t="s">
        <v>3699</v>
      </c>
      <c r="F2841" t="s">
        <v>3689</v>
      </c>
      <c r="G2841" t="s">
        <v>3503</v>
      </c>
      <c r="H2841" t="s">
        <v>458</v>
      </c>
      <c r="I2841" t="s">
        <v>374</v>
      </c>
      <c r="J2841" t="s">
        <v>2053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3499</v>
      </c>
      <c r="B2842" t="s">
        <v>3687</v>
      </c>
      <c r="C2842" t="s">
        <v>609</v>
      </c>
      <c r="D2842" t="s">
        <v>3129</v>
      </c>
      <c r="E2842" t="s">
        <v>3700</v>
      </c>
      <c r="F2842" t="s">
        <v>3689</v>
      </c>
      <c r="G2842" t="s">
        <v>3503</v>
      </c>
      <c r="H2842" t="s">
        <v>458</v>
      </c>
      <c r="I2842" t="s">
        <v>374</v>
      </c>
      <c r="J2842" t="s">
        <v>2053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3499</v>
      </c>
      <c r="B2843" t="s">
        <v>3687</v>
      </c>
      <c r="C2843" t="s">
        <v>609</v>
      </c>
      <c r="D2843" t="s">
        <v>3129</v>
      </c>
      <c r="E2843" t="s">
        <v>3701</v>
      </c>
      <c r="F2843" t="s">
        <v>3689</v>
      </c>
      <c r="G2843" t="s">
        <v>3503</v>
      </c>
      <c r="H2843" t="s">
        <v>458</v>
      </c>
      <c r="I2843" t="s">
        <v>374</v>
      </c>
      <c r="J2843" t="s">
        <v>2053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3499</v>
      </c>
      <c r="B2844" t="s">
        <v>3687</v>
      </c>
      <c r="C2844" t="s">
        <v>368</v>
      </c>
      <c r="D2844" t="s">
        <v>3129</v>
      </c>
      <c r="E2844" t="s">
        <v>3702</v>
      </c>
      <c r="F2844" t="s">
        <v>3689</v>
      </c>
      <c r="G2844" t="s">
        <v>3503</v>
      </c>
      <c r="H2844" t="s">
        <v>458</v>
      </c>
      <c r="I2844" t="s">
        <v>374</v>
      </c>
      <c r="J2844" t="s">
        <v>2053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3499</v>
      </c>
      <c r="B2845" t="s">
        <v>3687</v>
      </c>
      <c r="C2845" t="s">
        <v>368</v>
      </c>
      <c r="D2845" t="s">
        <v>3129</v>
      </c>
      <c r="E2845" t="s">
        <v>3703</v>
      </c>
      <c r="F2845" t="s">
        <v>3689</v>
      </c>
      <c r="G2845" t="s">
        <v>3503</v>
      </c>
      <c r="H2845" t="s">
        <v>458</v>
      </c>
      <c r="I2845" t="s">
        <v>374</v>
      </c>
      <c r="J2845" t="s">
        <v>2053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3499</v>
      </c>
      <c r="B2846" t="s">
        <v>3704</v>
      </c>
      <c r="C2846" t="s">
        <v>368</v>
      </c>
      <c r="D2846" t="s">
        <v>3129</v>
      </c>
      <c r="E2846" t="s">
        <v>3705</v>
      </c>
      <c r="F2846" t="s">
        <v>3706</v>
      </c>
      <c r="G2846" t="s">
        <v>3503</v>
      </c>
      <c r="H2846" t="s">
        <v>458</v>
      </c>
      <c r="I2846" t="s">
        <v>374</v>
      </c>
      <c r="J2846" t="s">
        <v>386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3499</v>
      </c>
      <c r="B2847" t="s">
        <v>3704</v>
      </c>
      <c r="C2847" t="s">
        <v>368</v>
      </c>
      <c r="D2847" t="s">
        <v>3129</v>
      </c>
      <c r="E2847" t="s">
        <v>3707</v>
      </c>
      <c r="F2847" t="s">
        <v>3706</v>
      </c>
      <c r="G2847" t="s">
        <v>3503</v>
      </c>
      <c r="H2847" t="s">
        <v>458</v>
      </c>
      <c r="I2847" t="s">
        <v>374</v>
      </c>
      <c r="J2847" t="s">
        <v>386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3499</v>
      </c>
      <c r="B2848" t="s">
        <v>3704</v>
      </c>
      <c r="C2848" t="s">
        <v>368</v>
      </c>
      <c r="D2848" t="s">
        <v>3129</v>
      </c>
      <c r="E2848" t="s">
        <v>3708</v>
      </c>
      <c r="F2848" t="s">
        <v>3706</v>
      </c>
      <c r="G2848" t="s">
        <v>3503</v>
      </c>
      <c r="H2848" t="s">
        <v>458</v>
      </c>
      <c r="I2848" t="s">
        <v>374</v>
      </c>
      <c r="J2848" t="s">
        <v>386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3499</v>
      </c>
      <c r="B2849" t="s">
        <v>3704</v>
      </c>
      <c r="C2849" t="s">
        <v>368</v>
      </c>
      <c r="D2849" t="s">
        <v>3129</v>
      </c>
      <c r="E2849" t="s">
        <v>3709</v>
      </c>
      <c r="F2849" t="s">
        <v>3706</v>
      </c>
      <c r="G2849" t="s">
        <v>3503</v>
      </c>
      <c r="H2849" t="s">
        <v>458</v>
      </c>
      <c r="I2849" t="s">
        <v>374</v>
      </c>
      <c r="J2849" t="s">
        <v>386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3499</v>
      </c>
      <c r="B2850" t="s">
        <v>3704</v>
      </c>
      <c r="C2850" t="s">
        <v>368</v>
      </c>
      <c r="D2850" t="s">
        <v>3129</v>
      </c>
      <c r="E2850" t="s">
        <v>3710</v>
      </c>
      <c r="F2850" t="s">
        <v>3706</v>
      </c>
      <c r="G2850" t="s">
        <v>3503</v>
      </c>
      <c r="H2850" t="s">
        <v>458</v>
      </c>
      <c r="I2850" t="s">
        <v>374</v>
      </c>
      <c r="J2850" t="s">
        <v>386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3499</v>
      </c>
      <c r="B2851" t="s">
        <v>3704</v>
      </c>
      <c r="C2851" t="s">
        <v>368</v>
      </c>
      <c r="D2851" t="s">
        <v>3129</v>
      </c>
      <c r="E2851" t="s">
        <v>3711</v>
      </c>
      <c r="F2851" t="s">
        <v>3706</v>
      </c>
      <c r="G2851" t="s">
        <v>3503</v>
      </c>
      <c r="H2851" t="s">
        <v>458</v>
      </c>
      <c r="I2851" t="s">
        <v>374</v>
      </c>
      <c r="J2851" t="s">
        <v>386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3499</v>
      </c>
      <c r="B2852" t="s">
        <v>3704</v>
      </c>
      <c r="C2852" t="s">
        <v>368</v>
      </c>
      <c r="D2852" t="s">
        <v>3129</v>
      </c>
      <c r="E2852" t="s">
        <v>3712</v>
      </c>
      <c r="F2852" t="s">
        <v>3706</v>
      </c>
      <c r="G2852" t="s">
        <v>3503</v>
      </c>
      <c r="H2852" t="s">
        <v>458</v>
      </c>
      <c r="I2852" t="s">
        <v>374</v>
      </c>
      <c r="J2852" t="s">
        <v>386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3499</v>
      </c>
      <c r="B2853" t="s">
        <v>3704</v>
      </c>
      <c r="C2853" t="s">
        <v>368</v>
      </c>
      <c r="D2853" t="s">
        <v>3129</v>
      </c>
      <c r="E2853" t="s">
        <v>3713</v>
      </c>
      <c r="F2853" t="s">
        <v>3706</v>
      </c>
      <c r="G2853" t="s">
        <v>3503</v>
      </c>
      <c r="H2853" t="s">
        <v>458</v>
      </c>
      <c r="I2853" t="s">
        <v>374</v>
      </c>
      <c r="J2853" t="s">
        <v>386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3499</v>
      </c>
      <c r="B2854" t="s">
        <v>3704</v>
      </c>
      <c r="C2854" t="s">
        <v>368</v>
      </c>
      <c r="D2854" t="s">
        <v>3129</v>
      </c>
      <c r="E2854" t="s">
        <v>3714</v>
      </c>
      <c r="F2854" t="s">
        <v>3706</v>
      </c>
      <c r="G2854" t="s">
        <v>3503</v>
      </c>
      <c r="H2854" t="s">
        <v>458</v>
      </c>
      <c r="I2854" t="s">
        <v>374</v>
      </c>
      <c r="J2854" t="s">
        <v>386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3499</v>
      </c>
      <c r="B2855" t="s">
        <v>3704</v>
      </c>
      <c r="C2855" t="s">
        <v>609</v>
      </c>
      <c r="D2855" t="s">
        <v>3129</v>
      </c>
      <c r="E2855" t="s">
        <v>3715</v>
      </c>
      <c r="F2855" t="s">
        <v>3706</v>
      </c>
      <c r="G2855" t="s">
        <v>3503</v>
      </c>
      <c r="H2855" t="s">
        <v>458</v>
      </c>
      <c r="I2855" t="s">
        <v>374</v>
      </c>
      <c r="J2855" t="s">
        <v>386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3499</v>
      </c>
      <c r="B2856" t="s">
        <v>3704</v>
      </c>
      <c r="C2856" t="s">
        <v>609</v>
      </c>
      <c r="D2856" t="s">
        <v>3129</v>
      </c>
      <c r="E2856" t="s">
        <v>3716</v>
      </c>
      <c r="F2856" t="s">
        <v>3706</v>
      </c>
      <c r="G2856" t="s">
        <v>3503</v>
      </c>
      <c r="H2856" t="s">
        <v>458</v>
      </c>
      <c r="I2856" t="s">
        <v>374</v>
      </c>
      <c r="J2856" t="s">
        <v>386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3499</v>
      </c>
      <c r="B2857" t="s">
        <v>3704</v>
      </c>
      <c r="C2857" t="s">
        <v>609</v>
      </c>
      <c r="D2857" t="s">
        <v>3129</v>
      </c>
      <c r="E2857" t="s">
        <v>3717</v>
      </c>
      <c r="F2857" t="s">
        <v>3706</v>
      </c>
      <c r="G2857" t="s">
        <v>3503</v>
      </c>
      <c r="H2857" t="s">
        <v>458</v>
      </c>
      <c r="I2857" t="s">
        <v>374</v>
      </c>
      <c r="J2857" t="s">
        <v>386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3499</v>
      </c>
      <c r="B2858" t="s">
        <v>3704</v>
      </c>
      <c r="C2858" t="s">
        <v>609</v>
      </c>
      <c r="D2858" t="s">
        <v>3129</v>
      </c>
      <c r="E2858" t="s">
        <v>3718</v>
      </c>
      <c r="F2858" t="s">
        <v>3706</v>
      </c>
      <c r="G2858" t="s">
        <v>3503</v>
      </c>
      <c r="H2858" t="s">
        <v>458</v>
      </c>
      <c r="I2858" t="s">
        <v>374</v>
      </c>
      <c r="J2858" t="s">
        <v>386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3499</v>
      </c>
      <c r="B2859" t="s">
        <v>3704</v>
      </c>
      <c r="C2859" t="s">
        <v>368</v>
      </c>
      <c r="D2859" t="s">
        <v>3129</v>
      </c>
      <c r="E2859" t="s">
        <v>3719</v>
      </c>
      <c r="F2859" t="s">
        <v>3706</v>
      </c>
      <c r="G2859" t="s">
        <v>3503</v>
      </c>
      <c r="H2859" t="s">
        <v>458</v>
      </c>
      <c r="I2859" t="s">
        <v>374</v>
      </c>
      <c r="J2859" t="s">
        <v>386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3499</v>
      </c>
      <c r="B2860" t="s">
        <v>3704</v>
      </c>
      <c r="C2860" t="s">
        <v>368</v>
      </c>
      <c r="D2860" t="s">
        <v>3129</v>
      </c>
      <c r="E2860" t="s">
        <v>3720</v>
      </c>
      <c r="F2860" t="s">
        <v>3706</v>
      </c>
      <c r="G2860" t="s">
        <v>3503</v>
      </c>
      <c r="H2860" t="s">
        <v>458</v>
      </c>
      <c r="I2860" t="s">
        <v>374</v>
      </c>
      <c r="J2860" t="s">
        <v>386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3499</v>
      </c>
      <c r="B2861" t="s">
        <v>3500</v>
      </c>
      <c r="C2861" t="s">
        <v>368</v>
      </c>
      <c r="D2861" t="s">
        <v>3129</v>
      </c>
      <c r="E2861" t="s">
        <v>3721</v>
      </c>
      <c r="F2861" t="s">
        <v>3722</v>
      </c>
      <c r="G2861" t="s">
        <v>3503</v>
      </c>
      <c r="H2861" t="s">
        <v>3723</v>
      </c>
      <c r="I2861" t="s">
        <v>374</v>
      </c>
      <c r="J2861" t="s">
        <v>429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3499</v>
      </c>
      <c r="B2862" t="s">
        <v>3500</v>
      </c>
      <c r="C2862" t="s">
        <v>368</v>
      </c>
      <c r="D2862" t="s">
        <v>3129</v>
      </c>
      <c r="E2862" t="s">
        <v>329</v>
      </c>
      <c r="F2862" t="s">
        <v>3722</v>
      </c>
      <c r="G2862" t="s">
        <v>3503</v>
      </c>
      <c r="H2862" t="s">
        <v>3723</v>
      </c>
      <c r="I2862" t="s">
        <v>374</v>
      </c>
      <c r="J2862" t="s">
        <v>429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3499</v>
      </c>
      <c r="B2863" t="s">
        <v>3500</v>
      </c>
      <c r="C2863" t="s">
        <v>368</v>
      </c>
      <c r="D2863" t="s">
        <v>3129</v>
      </c>
      <c r="E2863" t="s">
        <v>330</v>
      </c>
      <c r="F2863" t="s">
        <v>3722</v>
      </c>
      <c r="G2863" t="s">
        <v>3503</v>
      </c>
      <c r="H2863" t="s">
        <v>3723</v>
      </c>
      <c r="I2863" t="s">
        <v>374</v>
      </c>
      <c r="J2863" t="s">
        <v>429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3499</v>
      </c>
      <c r="B2864" t="s">
        <v>3500</v>
      </c>
      <c r="C2864" t="s">
        <v>368</v>
      </c>
      <c r="D2864" t="s">
        <v>3129</v>
      </c>
      <c r="E2864" t="s">
        <v>331</v>
      </c>
      <c r="F2864" t="s">
        <v>3722</v>
      </c>
      <c r="G2864" t="s">
        <v>3503</v>
      </c>
      <c r="H2864" t="s">
        <v>3723</v>
      </c>
      <c r="I2864" t="s">
        <v>374</v>
      </c>
      <c r="J2864" t="s">
        <v>429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3499</v>
      </c>
      <c r="B2865" t="s">
        <v>3500</v>
      </c>
      <c r="C2865" t="s">
        <v>368</v>
      </c>
      <c r="D2865" t="s">
        <v>3129</v>
      </c>
      <c r="E2865" t="s">
        <v>239</v>
      </c>
      <c r="F2865" t="s">
        <v>3722</v>
      </c>
      <c r="G2865" t="s">
        <v>3503</v>
      </c>
      <c r="H2865" t="s">
        <v>3723</v>
      </c>
      <c r="I2865" t="s">
        <v>374</v>
      </c>
      <c r="J2865" t="s">
        <v>429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3499</v>
      </c>
      <c r="B2866" t="s">
        <v>3500</v>
      </c>
      <c r="C2866" t="s">
        <v>368</v>
      </c>
      <c r="D2866" t="s">
        <v>3129</v>
      </c>
      <c r="E2866" t="s">
        <v>3724</v>
      </c>
      <c r="F2866" t="s">
        <v>3722</v>
      </c>
      <c r="G2866" t="s">
        <v>3503</v>
      </c>
      <c r="H2866" t="s">
        <v>3723</v>
      </c>
      <c r="I2866" t="s">
        <v>374</v>
      </c>
      <c r="J2866" t="s">
        <v>429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3499</v>
      </c>
      <c r="B2867" t="s">
        <v>3500</v>
      </c>
      <c r="C2867" t="s">
        <v>368</v>
      </c>
      <c r="D2867" t="s">
        <v>3129</v>
      </c>
      <c r="E2867" t="s">
        <v>344</v>
      </c>
      <c r="F2867" t="s">
        <v>3722</v>
      </c>
      <c r="G2867" t="s">
        <v>3503</v>
      </c>
      <c r="H2867" t="s">
        <v>3723</v>
      </c>
      <c r="I2867" t="s">
        <v>374</v>
      </c>
      <c r="J2867" t="s">
        <v>429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3499</v>
      </c>
      <c r="B2868" t="s">
        <v>3500</v>
      </c>
      <c r="C2868" t="s">
        <v>368</v>
      </c>
      <c r="D2868" t="s">
        <v>3129</v>
      </c>
      <c r="E2868" t="s">
        <v>3725</v>
      </c>
      <c r="F2868" t="s">
        <v>3722</v>
      </c>
      <c r="G2868" t="s">
        <v>3503</v>
      </c>
      <c r="H2868" t="s">
        <v>3723</v>
      </c>
      <c r="I2868" t="s">
        <v>374</v>
      </c>
      <c r="J2868" t="s">
        <v>429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3499</v>
      </c>
      <c r="B2869" t="s">
        <v>3500</v>
      </c>
      <c r="C2869" t="s">
        <v>368</v>
      </c>
      <c r="D2869" t="s">
        <v>3129</v>
      </c>
      <c r="E2869" t="s">
        <v>3726</v>
      </c>
      <c r="F2869" t="s">
        <v>3722</v>
      </c>
      <c r="G2869" t="s">
        <v>3503</v>
      </c>
      <c r="H2869" t="s">
        <v>3723</v>
      </c>
      <c r="I2869" t="s">
        <v>374</v>
      </c>
      <c r="J2869" t="s">
        <v>429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3499</v>
      </c>
      <c r="B2870" t="s">
        <v>3500</v>
      </c>
      <c r="C2870" t="s">
        <v>368</v>
      </c>
      <c r="D2870" t="s">
        <v>3129</v>
      </c>
      <c r="E2870" t="s">
        <v>3727</v>
      </c>
      <c r="F2870" t="s">
        <v>3722</v>
      </c>
      <c r="G2870" t="s">
        <v>3503</v>
      </c>
      <c r="H2870" t="s">
        <v>3723</v>
      </c>
      <c r="I2870" t="s">
        <v>374</v>
      </c>
      <c r="J2870" t="s">
        <v>429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3499</v>
      </c>
      <c r="B2871" t="s">
        <v>3500</v>
      </c>
      <c r="C2871" t="s">
        <v>368</v>
      </c>
      <c r="D2871" t="s">
        <v>3129</v>
      </c>
      <c r="E2871" t="s">
        <v>3728</v>
      </c>
      <c r="F2871" t="s">
        <v>3722</v>
      </c>
      <c r="G2871" t="s">
        <v>3503</v>
      </c>
      <c r="H2871" t="s">
        <v>3723</v>
      </c>
      <c r="I2871" t="s">
        <v>374</v>
      </c>
      <c r="J2871" t="s">
        <v>429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3499</v>
      </c>
      <c r="B2872" t="s">
        <v>3500</v>
      </c>
      <c r="C2872" t="s">
        <v>368</v>
      </c>
      <c r="D2872" t="s">
        <v>3129</v>
      </c>
      <c r="E2872" t="s">
        <v>3729</v>
      </c>
      <c r="F2872" t="s">
        <v>3722</v>
      </c>
      <c r="G2872" t="s">
        <v>3503</v>
      </c>
      <c r="H2872" t="s">
        <v>3723</v>
      </c>
      <c r="I2872" t="s">
        <v>374</v>
      </c>
      <c r="J2872" t="s">
        <v>429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3499</v>
      </c>
      <c r="B2873" t="s">
        <v>3500</v>
      </c>
      <c r="C2873" t="s">
        <v>368</v>
      </c>
      <c r="D2873" t="s">
        <v>3129</v>
      </c>
      <c r="E2873" t="s">
        <v>3730</v>
      </c>
      <c r="F2873" t="s">
        <v>3722</v>
      </c>
      <c r="G2873" t="s">
        <v>3503</v>
      </c>
      <c r="H2873" t="s">
        <v>3723</v>
      </c>
      <c r="I2873" t="s">
        <v>374</v>
      </c>
      <c r="J2873" t="s">
        <v>429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3499</v>
      </c>
      <c r="B2874" t="s">
        <v>3500</v>
      </c>
      <c r="C2874" t="s">
        <v>368</v>
      </c>
      <c r="D2874" t="s">
        <v>3129</v>
      </c>
      <c r="E2874" t="s">
        <v>3731</v>
      </c>
      <c r="F2874" t="s">
        <v>3722</v>
      </c>
      <c r="G2874" t="s">
        <v>3503</v>
      </c>
      <c r="H2874" t="s">
        <v>3723</v>
      </c>
      <c r="I2874" t="s">
        <v>374</v>
      </c>
      <c r="J2874" t="s">
        <v>429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3499</v>
      </c>
      <c r="B2875" t="s">
        <v>3500</v>
      </c>
      <c r="C2875" t="s">
        <v>368</v>
      </c>
      <c r="D2875" t="s">
        <v>3129</v>
      </c>
      <c r="E2875" t="s">
        <v>3732</v>
      </c>
      <c r="F2875" t="s">
        <v>3722</v>
      </c>
      <c r="G2875" t="s">
        <v>3503</v>
      </c>
      <c r="H2875" t="s">
        <v>3723</v>
      </c>
      <c r="I2875" t="s">
        <v>374</v>
      </c>
      <c r="J2875" t="s">
        <v>429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3499</v>
      </c>
      <c r="B2876" t="s">
        <v>3500</v>
      </c>
      <c r="C2876" t="s">
        <v>368</v>
      </c>
      <c r="D2876" t="s">
        <v>3129</v>
      </c>
      <c r="E2876" t="s">
        <v>3733</v>
      </c>
      <c r="F2876" t="s">
        <v>3722</v>
      </c>
      <c r="G2876" t="s">
        <v>3503</v>
      </c>
      <c r="H2876" t="s">
        <v>3723</v>
      </c>
      <c r="I2876" t="s">
        <v>374</v>
      </c>
      <c r="J2876" t="s">
        <v>429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3499</v>
      </c>
      <c r="B2877" t="s">
        <v>3500</v>
      </c>
      <c r="C2877" t="s">
        <v>368</v>
      </c>
      <c r="D2877" t="s">
        <v>3129</v>
      </c>
      <c r="E2877" t="s">
        <v>3734</v>
      </c>
      <c r="F2877" t="s">
        <v>3735</v>
      </c>
      <c r="G2877" t="s">
        <v>3503</v>
      </c>
      <c r="H2877" t="s">
        <v>3482</v>
      </c>
      <c r="I2877" t="s">
        <v>374</v>
      </c>
      <c r="J2877" t="s">
        <v>429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3499</v>
      </c>
      <c r="B2878" t="s">
        <v>3500</v>
      </c>
      <c r="C2878" t="s">
        <v>368</v>
      </c>
      <c r="D2878" t="s">
        <v>3129</v>
      </c>
      <c r="E2878" t="s">
        <v>3736</v>
      </c>
      <c r="F2878" t="s">
        <v>3735</v>
      </c>
      <c r="G2878" t="s">
        <v>3503</v>
      </c>
      <c r="H2878" t="s">
        <v>3482</v>
      </c>
      <c r="I2878" t="s">
        <v>374</v>
      </c>
      <c r="J2878" t="s">
        <v>429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3499</v>
      </c>
      <c r="B2879" t="s">
        <v>3500</v>
      </c>
      <c r="C2879" t="s">
        <v>368</v>
      </c>
      <c r="D2879" t="s">
        <v>3129</v>
      </c>
      <c r="E2879" t="s">
        <v>3737</v>
      </c>
      <c r="F2879" t="s">
        <v>3735</v>
      </c>
      <c r="G2879" t="s">
        <v>3503</v>
      </c>
      <c r="H2879" t="s">
        <v>3482</v>
      </c>
      <c r="I2879" t="s">
        <v>374</v>
      </c>
      <c r="J2879" t="s">
        <v>429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3499</v>
      </c>
      <c r="B2880" t="s">
        <v>3500</v>
      </c>
      <c r="C2880" t="s">
        <v>368</v>
      </c>
      <c r="D2880" t="s">
        <v>3129</v>
      </c>
      <c r="E2880" t="s">
        <v>3738</v>
      </c>
      <c r="F2880" t="s">
        <v>3735</v>
      </c>
      <c r="G2880" t="s">
        <v>3503</v>
      </c>
      <c r="H2880" t="s">
        <v>3482</v>
      </c>
      <c r="I2880" t="s">
        <v>374</v>
      </c>
      <c r="J2880" t="s">
        <v>429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3499</v>
      </c>
      <c r="B2881" t="s">
        <v>3500</v>
      </c>
      <c r="C2881" t="s">
        <v>368</v>
      </c>
      <c r="D2881" t="s">
        <v>3129</v>
      </c>
      <c r="E2881" t="s">
        <v>3739</v>
      </c>
      <c r="F2881" t="s">
        <v>3735</v>
      </c>
      <c r="G2881" t="s">
        <v>3503</v>
      </c>
      <c r="H2881" t="s">
        <v>3482</v>
      </c>
      <c r="I2881" t="s">
        <v>374</v>
      </c>
      <c r="J2881" t="s">
        <v>429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3499</v>
      </c>
      <c r="B2882" t="s">
        <v>3500</v>
      </c>
      <c r="C2882" t="s">
        <v>368</v>
      </c>
      <c r="D2882" t="s">
        <v>3129</v>
      </c>
      <c r="E2882" t="s">
        <v>3740</v>
      </c>
      <c r="F2882" t="s">
        <v>3735</v>
      </c>
      <c r="G2882" t="s">
        <v>3503</v>
      </c>
      <c r="H2882" t="s">
        <v>3482</v>
      </c>
      <c r="I2882" t="s">
        <v>374</v>
      </c>
      <c r="J2882" t="s">
        <v>429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3499</v>
      </c>
      <c r="B2883" t="s">
        <v>3500</v>
      </c>
      <c r="C2883" t="s">
        <v>368</v>
      </c>
      <c r="D2883" t="s">
        <v>3129</v>
      </c>
      <c r="E2883" t="s">
        <v>3741</v>
      </c>
      <c r="F2883" t="s">
        <v>3735</v>
      </c>
      <c r="G2883" t="s">
        <v>3503</v>
      </c>
      <c r="H2883" t="s">
        <v>3482</v>
      </c>
      <c r="I2883" t="s">
        <v>374</v>
      </c>
      <c r="J2883" t="s">
        <v>429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3499</v>
      </c>
      <c r="B2884" t="s">
        <v>3500</v>
      </c>
      <c r="C2884" t="s">
        <v>368</v>
      </c>
      <c r="D2884" t="s">
        <v>3129</v>
      </c>
      <c r="E2884" t="s">
        <v>3742</v>
      </c>
      <c r="F2884" t="s">
        <v>3735</v>
      </c>
      <c r="G2884" t="s">
        <v>3503</v>
      </c>
      <c r="H2884" t="s">
        <v>3482</v>
      </c>
      <c r="I2884" t="s">
        <v>374</v>
      </c>
      <c r="J2884" t="s">
        <v>429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3499</v>
      </c>
      <c r="B2885" t="s">
        <v>3500</v>
      </c>
      <c r="C2885" t="s">
        <v>368</v>
      </c>
      <c r="D2885" t="s">
        <v>3129</v>
      </c>
      <c r="E2885" t="s">
        <v>3743</v>
      </c>
      <c r="F2885" t="s">
        <v>3735</v>
      </c>
      <c r="G2885" t="s">
        <v>3503</v>
      </c>
      <c r="H2885" t="s">
        <v>3482</v>
      </c>
      <c r="I2885" t="s">
        <v>374</v>
      </c>
      <c r="J2885" t="s">
        <v>429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3499</v>
      </c>
      <c r="B2886" t="s">
        <v>3500</v>
      </c>
      <c r="C2886" t="s">
        <v>368</v>
      </c>
      <c r="D2886" t="s">
        <v>3129</v>
      </c>
      <c r="E2886" t="s">
        <v>3744</v>
      </c>
      <c r="F2886" t="s">
        <v>3735</v>
      </c>
      <c r="G2886" t="s">
        <v>3503</v>
      </c>
      <c r="H2886" t="s">
        <v>3482</v>
      </c>
      <c r="I2886" t="s">
        <v>374</v>
      </c>
      <c r="J2886" t="s">
        <v>429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3499</v>
      </c>
      <c r="B2887" t="s">
        <v>3500</v>
      </c>
      <c r="C2887" t="s">
        <v>609</v>
      </c>
      <c r="D2887" t="s">
        <v>3129</v>
      </c>
      <c r="E2887" t="s">
        <v>3745</v>
      </c>
      <c r="F2887" t="s">
        <v>3735</v>
      </c>
      <c r="G2887" t="s">
        <v>3503</v>
      </c>
      <c r="H2887" t="s">
        <v>3482</v>
      </c>
      <c r="I2887" t="s">
        <v>374</v>
      </c>
      <c r="J2887" t="s">
        <v>429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3499</v>
      </c>
      <c r="B2888" t="s">
        <v>3500</v>
      </c>
      <c r="C2888" t="s">
        <v>609</v>
      </c>
      <c r="D2888" t="s">
        <v>3129</v>
      </c>
      <c r="E2888" t="s">
        <v>3746</v>
      </c>
      <c r="F2888" t="s">
        <v>3735</v>
      </c>
      <c r="G2888" t="s">
        <v>3503</v>
      </c>
      <c r="H2888" t="s">
        <v>3482</v>
      </c>
      <c r="I2888" t="s">
        <v>374</v>
      </c>
      <c r="J2888" t="s">
        <v>429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3499</v>
      </c>
      <c r="B2889" t="s">
        <v>3500</v>
      </c>
      <c r="C2889" t="s">
        <v>609</v>
      </c>
      <c r="D2889" t="s">
        <v>3129</v>
      </c>
      <c r="E2889" t="s">
        <v>3747</v>
      </c>
      <c r="F2889" t="s">
        <v>3735</v>
      </c>
      <c r="G2889" t="s">
        <v>3503</v>
      </c>
      <c r="H2889" t="s">
        <v>3482</v>
      </c>
      <c r="I2889" t="s">
        <v>374</v>
      </c>
      <c r="J2889" t="s">
        <v>429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3499</v>
      </c>
      <c r="B2890" t="s">
        <v>3500</v>
      </c>
      <c r="C2890" t="s">
        <v>609</v>
      </c>
      <c r="D2890" t="s">
        <v>3129</v>
      </c>
      <c r="E2890" t="s">
        <v>3748</v>
      </c>
      <c r="F2890" t="s">
        <v>3735</v>
      </c>
      <c r="G2890" t="s">
        <v>3503</v>
      </c>
      <c r="H2890" t="s">
        <v>3482</v>
      </c>
      <c r="I2890" t="s">
        <v>374</v>
      </c>
      <c r="J2890" t="s">
        <v>429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3499</v>
      </c>
      <c r="B2891" t="s">
        <v>3500</v>
      </c>
      <c r="C2891" t="s">
        <v>368</v>
      </c>
      <c r="D2891" t="s">
        <v>3129</v>
      </c>
      <c r="E2891" t="s">
        <v>3749</v>
      </c>
      <c r="F2891" t="s">
        <v>3735</v>
      </c>
      <c r="G2891" t="s">
        <v>3503</v>
      </c>
      <c r="H2891" t="s">
        <v>3482</v>
      </c>
      <c r="I2891" t="s">
        <v>374</v>
      </c>
      <c r="J2891" t="s">
        <v>429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3499</v>
      </c>
      <c r="B2892" t="s">
        <v>3500</v>
      </c>
      <c r="C2892" t="s">
        <v>368</v>
      </c>
      <c r="D2892" t="s">
        <v>3129</v>
      </c>
      <c r="E2892" t="s">
        <v>3750</v>
      </c>
      <c r="F2892" t="s">
        <v>3735</v>
      </c>
      <c r="G2892" t="s">
        <v>3503</v>
      </c>
      <c r="H2892" t="s">
        <v>3482</v>
      </c>
      <c r="I2892" t="s">
        <v>374</v>
      </c>
      <c r="J2892" t="s">
        <v>429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3158</v>
      </c>
      <c r="B2893" t="s">
        <v>3751</v>
      </c>
      <c r="C2893" t="s">
        <v>368</v>
      </c>
      <c r="D2893" t="s">
        <v>3129</v>
      </c>
      <c r="E2893" t="s">
        <v>3752</v>
      </c>
      <c r="F2893" t="s">
        <v>3753</v>
      </c>
      <c r="G2893" t="s">
        <v>3162</v>
      </c>
      <c r="H2893" t="s">
        <v>373</v>
      </c>
      <c r="I2893" t="s">
        <v>374</v>
      </c>
      <c r="J2893" t="s">
        <v>386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3158</v>
      </c>
      <c r="B2894" t="s">
        <v>3751</v>
      </c>
      <c r="C2894" t="s">
        <v>368</v>
      </c>
      <c r="D2894" t="s">
        <v>3129</v>
      </c>
      <c r="E2894" t="s">
        <v>3754</v>
      </c>
      <c r="F2894" t="s">
        <v>3753</v>
      </c>
      <c r="G2894" t="s">
        <v>3162</v>
      </c>
      <c r="H2894" t="s">
        <v>373</v>
      </c>
      <c r="I2894" t="s">
        <v>374</v>
      </c>
      <c r="J2894" t="s">
        <v>386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3158</v>
      </c>
      <c r="B2895" t="s">
        <v>3751</v>
      </c>
      <c r="C2895" t="s">
        <v>368</v>
      </c>
      <c r="D2895" t="s">
        <v>3129</v>
      </c>
      <c r="E2895" t="s">
        <v>3755</v>
      </c>
      <c r="F2895" t="s">
        <v>3753</v>
      </c>
      <c r="G2895" t="s">
        <v>3162</v>
      </c>
      <c r="H2895" t="s">
        <v>373</v>
      </c>
      <c r="I2895" t="s">
        <v>374</v>
      </c>
      <c r="J2895" t="s">
        <v>386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3158</v>
      </c>
      <c r="B2896" t="s">
        <v>3751</v>
      </c>
      <c r="C2896" t="s">
        <v>368</v>
      </c>
      <c r="D2896" t="s">
        <v>3129</v>
      </c>
      <c r="E2896" t="s">
        <v>3756</v>
      </c>
      <c r="F2896" t="s">
        <v>3753</v>
      </c>
      <c r="G2896" t="s">
        <v>3162</v>
      </c>
      <c r="H2896" t="s">
        <v>373</v>
      </c>
      <c r="I2896" t="s">
        <v>374</v>
      </c>
      <c r="J2896" t="s">
        <v>386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3158</v>
      </c>
      <c r="B2897" t="s">
        <v>3751</v>
      </c>
      <c r="C2897" t="s">
        <v>368</v>
      </c>
      <c r="D2897" t="s">
        <v>3129</v>
      </c>
      <c r="E2897" t="s">
        <v>3757</v>
      </c>
      <c r="F2897" t="s">
        <v>3753</v>
      </c>
      <c r="G2897" t="s">
        <v>3162</v>
      </c>
      <c r="H2897" t="s">
        <v>373</v>
      </c>
      <c r="I2897" t="s">
        <v>374</v>
      </c>
      <c r="J2897" t="s">
        <v>386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3158</v>
      </c>
      <c r="B2898" t="s">
        <v>3751</v>
      </c>
      <c r="C2898" t="s">
        <v>368</v>
      </c>
      <c r="D2898" t="s">
        <v>3129</v>
      </c>
      <c r="E2898" t="s">
        <v>3758</v>
      </c>
      <c r="F2898" t="s">
        <v>3753</v>
      </c>
      <c r="G2898" t="s">
        <v>3162</v>
      </c>
      <c r="H2898" t="s">
        <v>373</v>
      </c>
      <c r="I2898" t="s">
        <v>374</v>
      </c>
      <c r="J2898" t="s">
        <v>386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3158</v>
      </c>
      <c r="B2899" t="s">
        <v>3751</v>
      </c>
      <c r="C2899" t="s">
        <v>368</v>
      </c>
      <c r="D2899" t="s">
        <v>3129</v>
      </c>
      <c r="E2899" t="s">
        <v>3759</v>
      </c>
      <c r="F2899" t="s">
        <v>3753</v>
      </c>
      <c r="G2899" t="s">
        <v>3162</v>
      </c>
      <c r="H2899" t="s">
        <v>373</v>
      </c>
      <c r="I2899" t="s">
        <v>374</v>
      </c>
      <c r="J2899" t="s">
        <v>386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3158</v>
      </c>
      <c r="B2900" t="s">
        <v>3751</v>
      </c>
      <c r="C2900" t="s">
        <v>368</v>
      </c>
      <c r="D2900" t="s">
        <v>3129</v>
      </c>
      <c r="E2900" t="s">
        <v>3760</v>
      </c>
      <c r="F2900" t="s">
        <v>3753</v>
      </c>
      <c r="G2900" t="s">
        <v>3162</v>
      </c>
      <c r="H2900" t="s">
        <v>373</v>
      </c>
      <c r="I2900" t="s">
        <v>374</v>
      </c>
      <c r="J2900" t="s">
        <v>386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3158</v>
      </c>
      <c r="B2901" t="s">
        <v>3751</v>
      </c>
      <c r="C2901" t="s">
        <v>368</v>
      </c>
      <c r="D2901" t="s">
        <v>3129</v>
      </c>
      <c r="E2901" t="s">
        <v>3761</v>
      </c>
      <c r="F2901" t="s">
        <v>3753</v>
      </c>
      <c r="G2901" t="s">
        <v>3162</v>
      </c>
      <c r="H2901" t="s">
        <v>373</v>
      </c>
      <c r="I2901" t="s">
        <v>374</v>
      </c>
      <c r="J2901" t="s">
        <v>386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3158</v>
      </c>
      <c r="B2902" t="s">
        <v>3751</v>
      </c>
      <c r="C2902" t="s">
        <v>609</v>
      </c>
      <c r="D2902" t="s">
        <v>3129</v>
      </c>
      <c r="E2902" t="s">
        <v>3762</v>
      </c>
      <c r="F2902" t="s">
        <v>3753</v>
      </c>
      <c r="G2902" t="s">
        <v>3162</v>
      </c>
      <c r="H2902" t="s">
        <v>373</v>
      </c>
      <c r="I2902" t="s">
        <v>374</v>
      </c>
      <c r="J2902" t="s">
        <v>386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3158</v>
      </c>
      <c r="B2903" t="s">
        <v>3751</v>
      </c>
      <c r="C2903" t="s">
        <v>609</v>
      </c>
      <c r="D2903" t="s">
        <v>3129</v>
      </c>
      <c r="E2903" t="s">
        <v>3763</v>
      </c>
      <c r="F2903" t="s">
        <v>3753</v>
      </c>
      <c r="G2903" t="s">
        <v>3162</v>
      </c>
      <c r="H2903" t="s">
        <v>373</v>
      </c>
      <c r="I2903" t="s">
        <v>374</v>
      </c>
      <c r="J2903" t="s">
        <v>386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3158</v>
      </c>
      <c r="B2904" t="s">
        <v>3751</v>
      </c>
      <c r="C2904" t="s">
        <v>609</v>
      </c>
      <c r="D2904" t="s">
        <v>3129</v>
      </c>
      <c r="E2904" t="s">
        <v>3764</v>
      </c>
      <c r="F2904" t="s">
        <v>3753</v>
      </c>
      <c r="G2904" t="s">
        <v>3162</v>
      </c>
      <c r="H2904" t="s">
        <v>373</v>
      </c>
      <c r="I2904" t="s">
        <v>374</v>
      </c>
      <c r="J2904" t="s">
        <v>386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3158</v>
      </c>
      <c r="B2905" t="s">
        <v>3751</v>
      </c>
      <c r="C2905" t="s">
        <v>609</v>
      </c>
      <c r="D2905" t="s">
        <v>3129</v>
      </c>
      <c r="E2905" t="s">
        <v>3765</v>
      </c>
      <c r="F2905" t="s">
        <v>3753</v>
      </c>
      <c r="G2905" t="s">
        <v>3162</v>
      </c>
      <c r="H2905" t="s">
        <v>373</v>
      </c>
      <c r="I2905" t="s">
        <v>374</v>
      </c>
      <c r="J2905" t="s">
        <v>386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3158</v>
      </c>
      <c r="B2906" t="s">
        <v>3751</v>
      </c>
      <c r="C2906" t="s">
        <v>368</v>
      </c>
      <c r="D2906" t="s">
        <v>3129</v>
      </c>
      <c r="E2906" t="s">
        <v>3766</v>
      </c>
      <c r="F2906" t="s">
        <v>3753</v>
      </c>
      <c r="G2906" t="s">
        <v>3162</v>
      </c>
      <c r="H2906" t="s">
        <v>373</v>
      </c>
      <c r="I2906" t="s">
        <v>374</v>
      </c>
      <c r="J2906" t="s">
        <v>386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3158</v>
      </c>
      <c r="B2907" t="s">
        <v>3751</v>
      </c>
      <c r="C2907" t="s">
        <v>368</v>
      </c>
      <c r="D2907" t="s">
        <v>3129</v>
      </c>
      <c r="E2907" t="s">
        <v>3767</v>
      </c>
      <c r="F2907" t="s">
        <v>3753</v>
      </c>
      <c r="G2907" t="s">
        <v>3162</v>
      </c>
      <c r="H2907" t="s">
        <v>373</v>
      </c>
      <c r="I2907" t="s">
        <v>374</v>
      </c>
      <c r="J2907" t="s">
        <v>386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3158</v>
      </c>
      <c r="B2908" t="s">
        <v>3768</v>
      </c>
      <c r="C2908" t="s">
        <v>368</v>
      </c>
      <c r="D2908" t="s">
        <v>3129</v>
      </c>
      <c r="E2908" t="s">
        <v>3769</v>
      </c>
      <c r="F2908" t="s">
        <v>3770</v>
      </c>
      <c r="G2908" t="s">
        <v>3162</v>
      </c>
      <c r="H2908" t="s">
        <v>458</v>
      </c>
      <c r="I2908" t="s">
        <v>374</v>
      </c>
      <c r="J2908" t="s">
        <v>1444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3158</v>
      </c>
      <c r="B2909" t="s">
        <v>3768</v>
      </c>
      <c r="C2909" t="s">
        <v>368</v>
      </c>
      <c r="D2909" t="s">
        <v>3129</v>
      </c>
      <c r="E2909" t="s">
        <v>3771</v>
      </c>
      <c r="F2909" t="s">
        <v>3770</v>
      </c>
      <c r="G2909" t="s">
        <v>3162</v>
      </c>
      <c r="H2909" t="s">
        <v>458</v>
      </c>
      <c r="I2909" t="s">
        <v>374</v>
      </c>
      <c r="J2909" t="s">
        <v>1444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3158</v>
      </c>
      <c r="B2910" t="s">
        <v>3768</v>
      </c>
      <c r="C2910" t="s">
        <v>368</v>
      </c>
      <c r="D2910" t="s">
        <v>3129</v>
      </c>
      <c r="E2910" t="s">
        <v>3772</v>
      </c>
      <c r="F2910" t="s">
        <v>3770</v>
      </c>
      <c r="G2910" t="s">
        <v>3162</v>
      </c>
      <c r="H2910" t="s">
        <v>458</v>
      </c>
      <c r="I2910" t="s">
        <v>374</v>
      </c>
      <c r="J2910" t="s">
        <v>1444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3158</v>
      </c>
      <c r="B2911" t="s">
        <v>3768</v>
      </c>
      <c r="C2911" t="s">
        <v>368</v>
      </c>
      <c r="D2911" t="s">
        <v>3129</v>
      </c>
      <c r="E2911" t="s">
        <v>3773</v>
      </c>
      <c r="F2911" t="s">
        <v>3770</v>
      </c>
      <c r="G2911" t="s">
        <v>3162</v>
      </c>
      <c r="H2911" t="s">
        <v>458</v>
      </c>
      <c r="I2911" t="s">
        <v>374</v>
      </c>
      <c r="J2911" t="s">
        <v>1444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3158</v>
      </c>
      <c r="B2912" t="s">
        <v>3768</v>
      </c>
      <c r="C2912" t="s">
        <v>368</v>
      </c>
      <c r="D2912" t="s">
        <v>3129</v>
      </c>
      <c r="E2912" t="s">
        <v>3774</v>
      </c>
      <c r="F2912" t="s">
        <v>3770</v>
      </c>
      <c r="G2912" t="s">
        <v>3162</v>
      </c>
      <c r="H2912" t="s">
        <v>458</v>
      </c>
      <c r="I2912" t="s">
        <v>374</v>
      </c>
      <c r="J2912" t="s">
        <v>1444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3158</v>
      </c>
      <c r="B2913" t="s">
        <v>3768</v>
      </c>
      <c r="C2913" t="s">
        <v>368</v>
      </c>
      <c r="D2913" t="s">
        <v>3129</v>
      </c>
      <c r="E2913" t="s">
        <v>3775</v>
      </c>
      <c r="F2913" t="s">
        <v>3770</v>
      </c>
      <c r="G2913" t="s">
        <v>3162</v>
      </c>
      <c r="H2913" t="s">
        <v>458</v>
      </c>
      <c r="I2913" t="s">
        <v>374</v>
      </c>
      <c r="J2913" t="s">
        <v>1444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3158</v>
      </c>
      <c r="B2914" t="s">
        <v>3768</v>
      </c>
      <c r="C2914" t="s">
        <v>368</v>
      </c>
      <c r="D2914" t="s">
        <v>3129</v>
      </c>
      <c r="E2914" t="s">
        <v>3776</v>
      </c>
      <c r="F2914" t="s">
        <v>3770</v>
      </c>
      <c r="G2914" t="s">
        <v>3162</v>
      </c>
      <c r="H2914" t="s">
        <v>458</v>
      </c>
      <c r="I2914" t="s">
        <v>374</v>
      </c>
      <c r="J2914" t="s">
        <v>1444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3158</v>
      </c>
      <c r="B2915" t="s">
        <v>3768</v>
      </c>
      <c r="C2915" t="s">
        <v>368</v>
      </c>
      <c r="D2915" t="s">
        <v>3129</v>
      </c>
      <c r="E2915" t="s">
        <v>3777</v>
      </c>
      <c r="F2915" t="s">
        <v>3770</v>
      </c>
      <c r="G2915" t="s">
        <v>3162</v>
      </c>
      <c r="H2915" t="s">
        <v>458</v>
      </c>
      <c r="I2915" t="s">
        <v>374</v>
      </c>
      <c r="J2915" t="s">
        <v>1444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3158</v>
      </c>
      <c r="B2916" t="s">
        <v>3768</v>
      </c>
      <c r="C2916" t="s">
        <v>368</v>
      </c>
      <c r="D2916" t="s">
        <v>3129</v>
      </c>
      <c r="E2916" t="s">
        <v>3778</v>
      </c>
      <c r="F2916" t="s">
        <v>3770</v>
      </c>
      <c r="G2916" t="s">
        <v>3162</v>
      </c>
      <c r="H2916" t="s">
        <v>458</v>
      </c>
      <c r="I2916" t="s">
        <v>374</v>
      </c>
      <c r="J2916" t="s">
        <v>1444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3158</v>
      </c>
      <c r="B2917" t="s">
        <v>3768</v>
      </c>
      <c r="C2917" t="s">
        <v>609</v>
      </c>
      <c r="D2917" t="s">
        <v>3129</v>
      </c>
      <c r="E2917" t="s">
        <v>3779</v>
      </c>
      <c r="F2917" t="s">
        <v>3770</v>
      </c>
      <c r="G2917" t="s">
        <v>3162</v>
      </c>
      <c r="H2917" t="s">
        <v>458</v>
      </c>
      <c r="I2917" t="s">
        <v>374</v>
      </c>
      <c r="J2917" t="s">
        <v>1444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3158</v>
      </c>
      <c r="B2918" t="s">
        <v>3768</v>
      </c>
      <c r="C2918" t="s">
        <v>609</v>
      </c>
      <c r="D2918" t="s">
        <v>3129</v>
      </c>
      <c r="E2918" t="s">
        <v>3780</v>
      </c>
      <c r="F2918" t="s">
        <v>3770</v>
      </c>
      <c r="G2918" t="s">
        <v>3162</v>
      </c>
      <c r="H2918" t="s">
        <v>458</v>
      </c>
      <c r="I2918" t="s">
        <v>374</v>
      </c>
      <c r="J2918" t="s">
        <v>1444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3158</v>
      </c>
      <c r="B2919" t="s">
        <v>3768</v>
      </c>
      <c r="C2919" t="s">
        <v>609</v>
      </c>
      <c r="D2919" t="s">
        <v>3129</v>
      </c>
      <c r="E2919" t="s">
        <v>3781</v>
      </c>
      <c r="F2919" t="s">
        <v>3770</v>
      </c>
      <c r="G2919" t="s">
        <v>3162</v>
      </c>
      <c r="H2919" t="s">
        <v>458</v>
      </c>
      <c r="I2919" t="s">
        <v>374</v>
      </c>
      <c r="J2919" t="s">
        <v>1444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3158</v>
      </c>
      <c r="B2920" t="s">
        <v>3768</v>
      </c>
      <c r="C2920" t="s">
        <v>609</v>
      </c>
      <c r="D2920" t="s">
        <v>3129</v>
      </c>
      <c r="E2920" t="s">
        <v>3782</v>
      </c>
      <c r="F2920" t="s">
        <v>3770</v>
      </c>
      <c r="G2920" t="s">
        <v>3162</v>
      </c>
      <c r="H2920" t="s">
        <v>458</v>
      </c>
      <c r="I2920" t="s">
        <v>374</v>
      </c>
      <c r="J2920" t="s">
        <v>1444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3158</v>
      </c>
      <c r="B2921" t="s">
        <v>3768</v>
      </c>
      <c r="C2921" t="s">
        <v>368</v>
      </c>
      <c r="D2921" t="s">
        <v>3129</v>
      </c>
      <c r="E2921" t="s">
        <v>3783</v>
      </c>
      <c r="F2921" t="s">
        <v>3770</v>
      </c>
      <c r="G2921" t="s">
        <v>3162</v>
      </c>
      <c r="H2921" t="s">
        <v>458</v>
      </c>
      <c r="I2921" t="s">
        <v>374</v>
      </c>
      <c r="J2921" t="s">
        <v>1444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3158</v>
      </c>
      <c r="B2922" t="s">
        <v>3768</v>
      </c>
      <c r="C2922" t="s">
        <v>368</v>
      </c>
      <c r="D2922" t="s">
        <v>3129</v>
      </c>
      <c r="E2922" t="s">
        <v>3784</v>
      </c>
      <c r="F2922" t="s">
        <v>3770</v>
      </c>
      <c r="G2922" t="s">
        <v>3162</v>
      </c>
      <c r="H2922" t="s">
        <v>458</v>
      </c>
      <c r="I2922" t="s">
        <v>374</v>
      </c>
      <c r="J2922" t="s">
        <v>1444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3158</v>
      </c>
      <c r="B2923" t="s">
        <v>3785</v>
      </c>
      <c r="C2923" t="s">
        <v>368</v>
      </c>
      <c r="D2923" t="s">
        <v>3129</v>
      </c>
      <c r="E2923" t="s">
        <v>3786</v>
      </c>
      <c r="F2923" t="s">
        <v>3787</v>
      </c>
      <c r="G2923" t="s">
        <v>3162</v>
      </c>
      <c r="H2923" t="s">
        <v>458</v>
      </c>
      <c r="I2923" t="s">
        <v>374</v>
      </c>
      <c r="J2923" t="s">
        <v>3381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3158</v>
      </c>
      <c r="B2924" t="s">
        <v>3785</v>
      </c>
      <c r="C2924" t="s">
        <v>368</v>
      </c>
      <c r="D2924" t="s">
        <v>3129</v>
      </c>
      <c r="E2924" t="s">
        <v>3788</v>
      </c>
      <c r="F2924" t="s">
        <v>3787</v>
      </c>
      <c r="G2924" t="s">
        <v>3162</v>
      </c>
      <c r="H2924" t="s">
        <v>458</v>
      </c>
      <c r="I2924" t="s">
        <v>374</v>
      </c>
      <c r="J2924" t="s">
        <v>3381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3158</v>
      </c>
      <c r="B2925" t="s">
        <v>3785</v>
      </c>
      <c r="C2925" t="s">
        <v>368</v>
      </c>
      <c r="D2925" t="s">
        <v>3129</v>
      </c>
      <c r="E2925" t="s">
        <v>3789</v>
      </c>
      <c r="F2925" t="s">
        <v>3787</v>
      </c>
      <c r="G2925" t="s">
        <v>3162</v>
      </c>
      <c r="H2925" t="s">
        <v>458</v>
      </c>
      <c r="I2925" t="s">
        <v>374</v>
      </c>
      <c r="J2925" t="s">
        <v>3381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3158</v>
      </c>
      <c r="B2926" t="s">
        <v>3785</v>
      </c>
      <c r="C2926" t="s">
        <v>368</v>
      </c>
      <c r="D2926" t="s">
        <v>3129</v>
      </c>
      <c r="E2926" t="s">
        <v>3790</v>
      </c>
      <c r="F2926" t="s">
        <v>3787</v>
      </c>
      <c r="G2926" t="s">
        <v>3162</v>
      </c>
      <c r="H2926" t="s">
        <v>458</v>
      </c>
      <c r="I2926" t="s">
        <v>374</v>
      </c>
      <c r="J2926" t="s">
        <v>3381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3158</v>
      </c>
      <c r="B2927" t="s">
        <v>3785</v>
      </c>
      <c r="C2927" t="s">
        <v>368</v>
      </c>
      <c r="D2927" t="s">
        <v>3129</v>
      </c>
      <c r="E2927" t="s">
        <v>3791</v>
      </c>
      <c r="F2927" t="s">
        <v>3787</v>
      </c>
      <c r="G2927" t="s">
        <v>3162</v>
      </c>
      <c r="H2927" t="s">
        <v>458</v>
      </c>
      <c r="I2927" t="s">
        <v>374</v>
      </c>
      <c r="J2927" t="s">
        <v>3381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3158</v>
      </c>
      <c r="B2928" t="s">
        <v>3785</v>
      </c>
      <c r="C2928" t="s">
        <v>368</v>
      </c>
      <c r="D2928" t="s">
        <v>3129</v>
      </c>
      <c r="E2928" t="s">
        <v>3792</v>
      </c>
      <c r="F2928" t="s">
        <v>3787</v>
      </c>
      <c r="G2928" t="s">
        <v>3162</v>
      </c>
      <c r="H2928" t="s">
        <v>458</v>
      </c>
      <c r="I2928" t="s">
        <v>374</v>
      </c>
      <c r="J2928" t="s">
        <v>3381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3158</v>
      </c>
      <c r="B2929" t="s">
        <v>3785</v>
      </c>
      <c r="C2929" t="s">
        <v>368</v>
      </c>
      <c r="D2929" t="s">
        <v>3129</v>
      </c>
      <c r="E2929" t="s">
        <v>3793</v>
      </c>
      <c r="F2929" t="s">
        <v>3787</v>
      </c>
      <c r="G2929" t="s">
        <v>3162</v>
      </c>
      <c r="H2929" t="s">
        <v>458</v>
      </c>
      <c r="I2929" t="s">
        <v>374</v>
      </c>
      <c r="J2929" t="s">
        <v>3381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3158</v>
      </c>
      <c r="B2930" t="s">
        <v>3785</v>
      </c>
      <c r="C2930" t="s">
        <v>368</v>
      </c>
      <c r="D2930" t="s">
        <v>3129</v>
      </c>
      <c r="E2930" t="s">
        <v>3794</v>
      </c>
      <c r="F2930" t="s">
        <v>3787</v>
      </c>
      <c r="G2930" t="s">
        <v>3162</v>
      </c>
      <c r="H2930" t="s">
        <v>458</v>
      </c>
      <c r="I2930" t="s">
        <v>374</v>
      </c>
      <c r="J2930" t="s">
        <v>3381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3158</v>
      </c>
      <c r="B2931" t="s">
        <v>3785</v>
      </c>
      <c r="C2931" t="s">
        <v>368</v>
      </c>
      <c r="D2931" t="s">
        <v>3129</v>
      </c>
      <c r="E2931" t="s">
        <v>3795</v>
      </c>
      <c r="F2931" t="s">
        <v>3787</v>
      </c>
      <c r="G2931" t="s">
        <v>3162</v>
      </c>
      <c r="H2931" t="s">
        <v>458</v>
      </c>
      <c r="I2931" t="s">
        <v>374</v>
      </c>
      <c r="J2931" t="s">
        <v>3381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3158</v>
      </c>
      <c r="B2932" t="s">
        <v>3785</v>
      </c>
      <c r="C2932" t="s">
        <v>609</v>
      </c>
      <c r="D2932" t="s">
        <v>3129</v>
      </c>
      <c r="E2932" t="s">
        <v>3796</v>
      </c>
      <c r="F2932" t="s">
        <v>3787</v>
      </c>
      <c r="G2932" t="s">
        <v>3162</v>
      </c>
      <c r="H2932" t="s">
        <v>458</v>
      </c>
      <c r="I2932" t="s">
        <v>374</v>
      </c>
      <c r="J2932" t="s">
        <v>3381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3158</v>
      </c>
      <c r="B2933" t="s">
        <v>3785</v>
      </c>
      <c r="C2933" t="s">
        <v>609</v>
      </c>
      <c r="D2933" t="s">
        <v>3129</v>
      </c>
      <c r="E2933" t="s">
        <v>3797</v>
      </c>
      <c r="F2933" t="s">
        <v>3787</v>
      </c>
      <c r="G2933" t="s">
        <v>3162</v>
      </c>
      <c r="H2933" t="s">
        <v>458</v>
      </c>
      <c r="I2933" t="s">
        <v>374</v>
      </c>
      <c r="J2933" t="s">
        <v>3381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3158</v>
      </c>
      <c r="B2934" t="s">
        <v>3785</v>
      </c>
      <c r="C2934" t="s">
        <v>609</v>
      </c>
      <c r="D2934" t="s">
        <v>3129</v>
      </c>
      <c r="E2934" t="s">
        <v>3798</v>
      </c>
      <c r="F2934" t="s">
        <v>3787</v>
      </c>
      <c r="G2934" t="s">
        <v>3162</v>
      </c>
      <c r="H2934" t="s">
        <v>458</v>
      </c>
      <c r="I2934" t="s">
        <v>374</v>
      </c>
      <c r="J2934" t="s">
        <v>3381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3158</v>
      </c>
      <c r="B2935" t="s">
        <v>3785</v>
      </c>
      <c r="C2935" t="s">
        <v>609</v>
      </c>
      <c r="D2935" t="s">
        <v>3129</v>
      </c>
      <c r="E2935" t="s">
        <v>3799</v>
      </c>
      <c r="F2935" t="s">
        <v>3787</v>
      </c>
      <c r="G2935" t="s">
        <v>3162</v>
      </c>
      <c r="H2935" t="s">
        <v>458</v>
      </c>
      <c r="I2935" t="s">
        <v>374</v>
      </c>
      <c r="J2935" t="s">
        <v>3381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3158</v>
      </c>
      <c r="B2936" t="s">
        <v>3785</v>
      </c>
      <c r="C2936" t="s">
        <v>368</v>
      </c>
      <c r="D2936" t="s">
        <v>3129</v>
      </c>
      <c r="E2936" t="s">
        <v>3800</v>
      </c>
      <c r="F2936" t="s">
        <v>3787</v>
      </c>
      <c r="G2936" t="s">
        <v>3162</v>
      </c>
      <c r="H2936" t="s">
        <v>458</v>
      </c>
      <c r="I2936" t="s">
        <v>374</v>
      </c>
      <c r="J2936" t="s">
        <v>3381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3158</v>
      </c>
      <c r="B2937" t="s">
        <v>3785</v>
      </c>
      <c r="C2937" t="s">
        <v>368</v>
      </c>
      <c r="D2937" t="s">
        <v>3129</v>
      </c>
      <c r="E2937" t="s">
        <v>3801</v>
      </c>
      <c r="F2937" t="s">
        <v>3787</v>
      </c>
      <c r="G2937" t="s">
        <v>3162</v>
      </c>
      <c r="H2937" t="s">
        <v>458</v>
      </c>
      <c r="I2937" t="s">
        <v>374</v>
      </c>
      <c r="J2937" t="s">
        <v>3381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3158</v>
      </c>
      <c r="B2938" t="s">
        <v>3802</v>
      </c>
      <c r="C2938" t="s">
        <v>368</v>
      </c>
      <c r="D2938" t="s">
        <v>3129</v>
      </c>
      <c r="E2938" t="s">
        <v>3803</v>
      </c>
      <c r="F2938" t="s">
        <v>3804</v>
      </c>
      <c r="G2938" t="s">
        <v>3162</v>
      </c>
      <c r="H2938" t="s">
        <v>458</v>
      </c>
      <c r="I2938" t="s">
        <v>374</v>
      </c>
      <c r="J2938" t="s">
        <v>698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3158</v>
      </c>
      <c r="B2939" t="s">
        <v>3802</v>
      </c>
      <c r="C2939" t="s">
        <v>368</v>
      </c>
      <c r="D2939" t="s">
        <v>3129</v>
      </c>
      <c r="E2939" t="s">
        <v>3805</v>
      </c>
      <c r="F2939" t="s">
        <v>3804</v>
      </c>
      <c r="G2939" t="s">
        <v>3162</v>
      </c>
      <c r="H2939" t="s">
        <v>458</v>
      </c>
      <c r="I2939" t="s">
        <v>374</v>
      </c>
      <c r="J2939" t="s">
        <v>698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3158</v>
      </c>
      <c r="B2940" t="s">
        <v>3802</v>
      </c>
      <c r="C2940" t="s">
        <v>368</v>
      </c>
      <c r="D2940" t="s">
        <v>3129</v>
      </c>
      <c r="E2940" t="s">
        <v>3806</v>
      </c>
      <c r="F2940" t="s">
        <v>3804</v>
      </c>
      <c r="G2940" t="s">
        <v>3162</v>
      </c>
      <c r="H2940" t="s">
        <v>458</v>
      </c>
      <c r="I2940" t="s">
        <v>374</v>
      </c>
      <c r="J2940" t="s">
        <v>698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3158</v>
      </c>
      <c r="B2941" t="s">
        <v>3802</v>
      </c>
      <c r="C2941" t="s">
        <v>368</v>
      </c>
      <c r="D2941" t="s">
        <v>3129</v>
      </c>
      <c r="E2941" t="s">
        <v>3807</v>
      </c>
      <c r="F2941" t="s">
        <v>3804</v>
      </c>
      <c r="G2941" t="s">
        <v>3162</v>
      </c>
      <c r="H2941" t="s">
        <v>458</v>
      </c>
      <c r="I2941" t="s">
        <v>374</v>
      </c>
      <c r="J2941" t="s">
        <v>698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3158</v>
      </c>
      <c r="B2942" t="s">
        <v>3802</v>
      </c>
      <c r="C2942" t="s">
        <v>368</v>
      </c>
      <c r="D2942" t="s">
        <v>3129</v>
      </c>
      <c r="E2942" t="s">
        <v>3808</v>
      </c>
      <c r="F2942" t="s">
        <v>3804</v>
      </c>
      <c r="G2942" t="s">
        <v>3162</v>
      </c>
      <c r="H2942" t="s">
        <v>458</v>
      </c>
      <c r="I2942" t="s">
        <v>374</v>
      </c>
      <c r="J2942" t="s">
        <v>698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3158</v>
      </c>
      <c r="B2943" t="s">
        <v>3802</v>
      </c>
      <c r="C2943" t="s">
        <v>368</v>
      </c>
      <c r="D2943" t="s">
        <v>3129</v>
      </c>
      <c r="E2943" t="s">
        <v>3809</v>
      </c>
      <c r="F2943" t="s">
        <v>3804</v>
      </c>
      <c r="G2943" t="s">
        <v>3162</v>
      </c>
      <c r="H2943" t="s">
        <v>458</v>
      </c>
      <c r="I2943" t="s">
        <v>374</v>
      </c>
      <c r="J2943" t="s">
        <v>698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3158</v>
      </c>
      <c r="B2944" t="s">
        <v>3802</v>
      </c>
      <c r="C2944" t="s">
        <v>368</v>
      </c>
      <c r="D2944" t="s">
        <v>3129</v>
      </c>
      <c r="E2944" t="s">
        <v>3810</v>
      </c>
      <c r="F2944" t="s">
        <v>3804</v>
      </c>
      <c r="G2944" t="s">
        <v>3162</v>
      </c>
      <c r="H2944" t="s">
        <v>458</v>
      </c>
      <c r="I2944" t="s">
        <v>374</v>
      </c>
      <c r="J2944" t="s">
        <v>698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3158</v>
      </c>
      <c r="B2945" t="s">
        <v>3802</v>
      </c>
      <c r="C2945" t="s">
        <v>368</v>
      </c>
      <c r="D2945" t="s">
        <v>3129</v>
      </c>
      <c r="E2945" t="s">
        <v>3811</v>
      </c>
      <c r="F2945" t="s">
        <v>3804</v>
      </c>
      <c r="G2945" t="s">
        <v>3162</v>
      </c>
      <c r="H2945" t="s">
        <v>458</v>
      </c>
      <c r="I2945" t="s">
        <v>374</v>
      </c>
      <c r="J2945" t="s">
        <v>698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3158</v>
      </c>
      <c r="B2946" t="s">
        <v>3802</v>
      </c>
      <c r="C2946" t="s">
        <v>368</v>
      </c>
      <c r="D2946" t="s">
        <v>3129</v>
      </c>
      <c r="E2946" t="s">
        <v>3812</v>
      </c>
      <c r="F2946" t="s">
        <v>3804</v>
      </c>
      <c r="G2946" t="s">
        <v>3162</v>
      </c>
      <c r="H2946" t="s">
        <v>458</v>
      </c>
      <c r="I2946" t="s">
        <v>374</v>
      </c>
      <c r="J2946" t="s">
        <v>698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3158</v>
      </c>
      <c r="B2947" t="s">
        <v>3802</v>
      </c>
      <c r="C2947" t="s">
        <v>609</v>
      </c>
      <c r="D2947" t="s">
        <v>3129</v>
      </c>
      <c r="E2947" t="s">
        <v>3813</v>
      </c>
      <c r="F2947" t="s">
        <v>3804</v>
      </c>
      <c r="G2947" t="s">
        <v>3162</v>
      </c>
      <c r="H2947" t="s">
        <v>458</v>
      </c>
      <c r="I2947" t="s">
        <v>374</v>
      </c>
      <c r="J2947" t="s">
        <v>698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3158</v>
      </c>
      <c r="B2948" t="s">
        <v>3802</v>
      </c>
      <c r="C2948" t="s">
        <v>609</v>
      </c>
      <c r="D2948" t="s">
        <v>3129</v>
      </c>
      <c r="E2948" t="s">
        <v>3814</v>
      </c>
      <c r="F2948" t="s">
        <v>3804</v>
      </c>
      <c r="G2948" t="s">
        <v>3162</v>
      </c>
      <c r="H2948" t="s">
        <v>458</v>
      </c>
      <c r="I2948" t="s">
        <v>374</v>
      </c>
      <c r="J2948" t="s">
        <v>698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3158</v>
      </c>
      <c r="B2949" t="s">
        <v>3802</v>
      </c>
      <c r="C2949" t="s">
        <v>609</v>
      </c>
      <c r="D2949" t="s">
        <v>3129</v>
      </c>
      <c r="E2949" t="s">
        <v>3815</v>
      </c>
      <c r="F2949" t="s">
        <v>3804</v>
      </c>
      <c r="G2949" t="s">
        <v>3162</v>
      </c>
      <c r="H2949" t="s">
        <v>458</v>
      </c>
      <c r="I2949" t="s">
        <v>374</v>
      </c>
      <c r="J2949" t="s">
        <v>698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3158</v>
      </c>
      <c r="B2950" t="s">
        <v>3802</v>
      </c>
      <c r="C2950" t="s">
        <v>609</v>
      </c>
      <c r="D2950" t="s">
        <v>3129</v>
      </c>
      <c r="E2950" t="s">
        <v>3816</v>
      </c>
      <c r="F2950" t="s">
        <v>3804</v>
      </c>
      <c r="G2950" t="s">
        <v>3162</v>
      </c>
      <c r="H2950" t="s">
        <v>458</v>
      </c>
      <c r="I2950" t="s">
        <v>374</v>
      </c>
      <c r="J2950" t="s">
        <v>698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3158</v>
      </c>
      <c r="B2951" t="s">
        <v>3802</v>
      </c>
      <c r="C2951" t="s">
        <v>368</v>
      </c>
      <c r="D2951" t="s">
        <v>3129</v>
      </c>
      <c r="E2951" t="s">
        <v>3817</v>
      </c>
      <c r="F2951" t="s">
        <v>3804</v>
      </c>
      <c r="G2951" t="s">
        <v>3162</v>
      </c>
      <c r="H2951" t="s">
        <v>458</v>
      </c>
      <c r="I2951" t="s">
        <v>374</v>
      </c>
      <c r="J2951" t="s">
        <v>698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3158</v>
      </c>
      <c r="B2952" t="s">
        <v>3802</v>
      </c>
      <c r="C2952" t="s">
        <v>368</v>
      </c>
      <c r="D2952" t="s">
        <v>3129</v>
      </c>
      <c r="E2952" t="s">
        <v>3818</v>
      </c>
      <c r="F2952" t="s">
        <v>3804</v>
      </c>
      <c r="G2952" t="s">
        <v>3162</v>
      </c>
      <c r="H2952" t="s">
        <v>458</v>
      </c>
      <c r="I2952" t="s">
        <v>374</v>
      </c>
      <c r="J2952" t="s">
        <v>698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3158</v>
      </c>
      <c r="B2953" t="s">
        <v>3165</v>
      </c>
      <c r="C2953" t="s">
        <v>368</v>
      </c>
      <c r="D2953" t="s">
        <v>3129</v>
      </c>
      <c r="E2953" t="s">
        <v>212</v>
      </c>
      <c r="F2953" t="s">
        <v>3819</v>
      </c>
      <c r="G2953" t="s">
        <v>3162</v>
      </c>
      <c r="H2953" t="s">
        <v>458</v>
      </c>
      <c r="I2953" t="s">
        <v>374</v>
      </c>
      <c r="J2953" t="s">
        <v>429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3158</v>
      </c>
      <c r="B2954" t="s">
        <v>3165</v>
      </c>
      <c r="C2954" t="s">
        <v>368</v>
      </c>
      <c r="D2954" t="s">
        <v>3129</v>
      </c>
      <c r="E2954" t="s">
        <v>235</v>
      </c>
      <c r="F2954" t="s">
        <v>3819</v>
      </c>
      <c r="G2954" t="s">
        <v>3162</v>
      </c>
      <c r="H2954" t="s">
        <v>458</v>
      </c>
      <c r="I2954" t="s">
        <v>374</v>
      </c>
      <c r="J2954" t="s">
        <v>429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3158</v>
      </c>
      <c r="B2955" t="s">
        <v>3165</v>
      </c>
      <c r="C2955" t="s">
        <v>368</v>
      </c>
      <c r="D2955" t="s">
        <v>3129</v>
      </c>
      <c r="E2955" t="s">
        <v>236</v>
      </c>
      <c r="F2955" t="s">
        <v>3819</v>
      </c>
      <c r="G2955" t="s">
        <v>3162</v>
      </c>
      <c r="H2955" t="s">
        <v>458</v>
      </c>
      <c r="I2955" t="s">
        <v>374</v>
      </c>
      <c r="J2955" t="s">
        <v>429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3158</v>
      </c>
      <c r="B2956" t="s">
        <v>3165</v>
      </c>
      <c r="C2956" t="s">
        <v>368</v>
      </c>
      <c r="D2956" t="s">
        <v>3129</v>
      </c>
      <c r="E2956" t="s">
        <v>213</v>
      </c>
      <c r="F2956" t="s">
        <v>3819</v>
      </c>
      <c r="G2956" t="s">
        <v>3162</v>
      </c>
      <c r="H2956" t="s">
        <v>458</v>
      </c>
      <c r="I2956" t="s">
        <v>374</v>
      </c>
      <c r="J2956" t="s">
        <v>429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3158</v>
      </c>
      <c r="B2957" t="s">
        <v>3165</v>
      </c>
      <c r="C2957" t="s">
        <v>368</v>
      </c>
      <c r="D2957" t="s">
        <v>3129</v>
      </c>
      <c r="E2957" t="s">
        <v>214</v>
      </c>
      <c r="F2957" t="s">
        <v>3819</v>
      </c>
      <c r="G2957" t="s">
        <v>3162</v>
      </c>
      <c r="H2957" t="s">
        <v>458</v>
      </c>
      <c r="I2957" t="s">
        <v>374</v>
      </c>
      <c r="J2957" t="s">
        <v>429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3158</v>
      </c>
      <c r="B2958" t="s">
        <v>3165</v>
      </c>
      <c r="C2958" t="s">
        <v>368</v>
      </c>
      <c r="D2958" t="s">
        <v>3129</v>
      </c>
      <c r="E2958" t="s">
        <v>215</v>
      </c>
      <c r="F2958" t="s">
        <v>3819</v>
      </c>
      <c r="G2958" t="s">
        <v>3162</v>
      </c>
      <c r="H2958" t="s">
        <v>458</v>
      </c>
      <c r="I2958" t="s">
        <v>374</v>
      </c>
      <c r="J2958" t="s">
        <v>429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3158</v>
      </c>
      <c r="B2959" t="s">
        <v>3165</v>
      </c>
      <c r="C2959" t="s">
        <v>368</v>
      </c>
      <c r="D2959" t="s">
        <v>3129</v>
      </c>
      <c r="E2959" t="s">
        <v>216</v>
      </c>
      <c r="F2959" t="s">
        <v>3819</v>
      </c>
      <c r="G2959" t="s">
        <v>3162</v>
      </c>
      <c r="H2959" t="s">
        <v>458</v>
      </c>
      <c r="I2959" t="s">
        <v>374</v>
      </c>
      <c r="J2959" t="s">
        <v>429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3158</v>
      </c>
      <c r="B2960" t="s">
        <v>3165</v>
      </c>
      <c r="C2960" t="s">
        <v>368</v>
      </c>
      <c r="D2960" t="s">
        <v>3129</v>
      </c>
      <c r="E2960" t="s">
        <v>3820</v>
      </c>
      <c r="F2960" t="s">
        <v>3819</v>
      </c>
      <c r="G2960" t="s">
        <v>3162</v>
      </c>
      <c r="H2960" t="s">
        <v>458</v>
      </c>
      <c r="I2960" t="s">
        <v>374</v>
      </c>
      <c r="J2960" t="s">
        <v>429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3158</v>
      </c>
      <c r="B2961" t="s">
        <v>3165</v>
      </c>
      <c r="C2961" t="s">
        <v>368</v>
      </c>
      <c r="D2961" t="s">
        <v>3129</v>
      </c>
      <c r="E2961" t="s">
        <v>3821</v>
      </c>
      <c r="F2961" t="s">
        <v>3819</v>
      </c>
      <c r="G2961" t="s">
        <v>3162</v>
      </c>
      <c r="H2961" t="s">
        <v>458</v>
      </c>
      <c r="I2961" t="s">
        <v>374</v>
      </c>
      <c r="J2961" t="s">
        <v>429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3158</v>
      </c>
      <c r="B2962" t="s">
        <v>3165</v>
      </c>
      <c r="C2962" t="s">
        <v>609</v>
      </c>
      <c r="D2962" t="s">
        <v>3129</v>
      </c>
      <c r="E2962" t="s">
        <v>237</v>
      </c>
      <c r="F2962" t="s">
        <v>3819</v>
      </c>
      <c r="G2962" t="s">
        <v>3162</v>
      </c>
      <c r="H2962" t="s">
        <v>458</v>
      </c>
      <c r="I2962" t="s">
        <v>374</v>
      </c>
      <c r="J2962" t="s">
        <v>429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3158</v>
      </c>
      <c r="B2963" t="s">
        <v>3165</v>
      </c>
      <c r="C2963" t="s">
        <v>609</v>
      </c>
      <c r="D2963" t="s">
        <v>3129</v>
      </c>
      <c r="E2963" t="s">
        <v>264</v>
      </c>
      <c r="F2963" t="s">
        <v>3819</v>
      </c>
      <c r="G2963" t="s">
        <v>3162</v>
      </c>
      <c r="H2963" t="s">
        <v>458</v>
      </c>
      <c r="I2963" t="s">
        <v>374</v>
      </c>
      <c r="J2963" t="s">
        <v>429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3158</v>
      </c>
      <c r="B2964" t="s">
        <v>3165</v>
      </c>
      <c r="C2964" t="s">
        <v>609</v>
      </c>
      <c r="D2964" t="s">
        <v>3129</v>
      </c>
      <c r="E2964" t="s">
        <v>208</v>
      </c>
      <c r="F2964" t="s">
        <v>3819</v>
      </c>
      <c r="G2964" t="s">
        <v>3162</v>
      </c>
      <c r="H2964" t="s">
        <v>458</v>
      </c>
      <c r="I2964" t="s">
        <v>374</v>
      </c>
      <c r="J2964" t="s">
        <v>429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3158</v>
      </c>
      <c r="B2965" t="s">
        <v>3165</v>
      </c>
      <c r="C2965" t="s">
        <v>609</v>
      </c>
      <c r="D2965" t="s">
        <v>3129</v>
      </c>
      <c r="E2965" t="s">
        <v>209</v>
      </c>
      <c r="F2965" t="s">
        <v>3819</v>
      </c>
      <c r="G2965" t="s">
        <v>3162</v>
      </c>
      <c r="H2965" t="s">
        <v>458</v>
      </c>
      <c r="I2965" t="s">
        <v>374</v>
      </c>
      <c r="J2965" t="s">
        <v>429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3158</v>
      </c>
      <c r="B2966" t="s">
        <v>3165</v>
      </c>
      <c r="C2966" t="s">
        <v>368</v>
      </c>
      <c r="D2966" t="s">
        <v>3129</v>
      </c>
      <c r="E2966" t="s">
        <v>210</v>
      </c>
      <c r="F2966" t="s">
        <v>3819</v>
      </c>
      <c r="G2966" t="s">
        <v>3162</v>
      </c>
      <c r="H2966" t="s">
        <v>458</v>
      </c>
      <c r="I2966" t="s">
        <v>374</v>
      </c>
      <c r="J2966" t="s">
        <v>429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3158</v>
      </c>
      <c r="B2967" t="s">
        <v>3165</v>
      </c>
      <c r="C2967" t="s">
        <v>368</v>
      </c>
      <c r="D2967" t="s">
        <v>3129</v>
      </c>
      <c r="E2967" t="s">
        <v>211</v>
      </c>
      <c r="F2967" t="s">
        <v>3819</v>
      </c>
      <c r="G2967" t="s">
        <v>3162</v>
      </c>
      <c r="H2967" t="s">
        <v>458</v>
      </c>
      <c r="I2967" t="s">
        <v>374</v>
      </c>
      <c r="J2967" t="s">
        <v>429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3158</v>
      </c>
      <c r="B2968" t="s">
        <v>3822</v>
      </c>
      <c r="C2968" t="s">
        <v>368</v>
      </c>
      <c r="D2968" t="s">
        <v>3129</v>
      </c>
      <c r="E2968" t="s">
        <v>3823</v>
      </c>
      <c r="F2968" t="s">
        <v>3824</v>
      </c>
      <c r="G2968" t="s">
        <v>3162</v>
      </c>
      <c r="H2968" t="s">
        <v>458</v>
      </c>
      <c r="I2968" t="s">
        <v>374</v>
      </c>
      <c r="J2968" t="s">
        <v>757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3158</v>
      </c>
      <c r="B2969" t="s">
        <v>3822</v>
      </c>
      <c r="C2969" t="s">
        <v>368</v>
      </c>
      <c r="D2969" t="s">
        <v>3129</v>
      </c>
      <c r="E2969" t="s">
        <v>3825</v>
      </c>
      <c r="F2969" t="s">
        <v>3824</v>
      </c>
      <c r="G2969" t="s">
        <v>3162</v>
      </c>
      <c r="H2969" t="s">
        <v>458</v>
      </c>
      <c r="I2969" t="s">
        <v>374</v>
      </c>
      <c r="J2969" t="s">
        <v>757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3158</v>
      </c>
      <c r="B2970" t="s">
        <v>3822</v>
      </c>
      <c r="C2970" t="s">
        <v>368</v>
      </c>
      <c r="D2970" t="s">
        <v>3129</v>
      </c>
      <c r="E2970" t="s">
        <v>3826</v>
      </c>
      <c r="F2970" t="s">
        <v>3824</v>
      </c>
      <c r="G2970" t="s">
        <v>3162</v>
      </c>
      <c r="H2970" t="s">
        <v>458</v>
      </c>
      <c r="I2970" t="s">
        <v>374</v>
      </c>
      <c r="J2970" t="s">
        <v>757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3158</v>
      </c>
      <c r="B2971" t="s">
        <v>3822</v>
      </c>
      <c r="C2971" t="s">
        <v>368</v>
      </c>
      <c r="D2971" t="s">
        <v>3129</v>
      </c>
      <c r="E2971" t="s">
        <v>3827</v>
      </c>
      <c r="F2971" t="s">
        <v>3824</v>
      </c>
      <c r="G2971" t="s">
        <v>3162</v>
      </c>
      <c r="H2971" t="s">
        <v>458</v>
      </c>
      <c r="I2971" t="s">
        <v>374</v>
      </c>
      <c r="J2971" t="s">
        <v>757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3158</v>
      </c>
      <c r="B2972" t="s">
        <v>3822</v>
      </c>
      <c r="C2972" t="s">
        <v>368</v>
      </c>
      <c r="D2972" t="s">
        <v>3129</v>
      </c>
      <c r="E2972" t="s">
        <v>3828</v>
      </c>
      <c r="F2972" t="s">
        <v>3824</v>
      </c>
      <c r="G2972" t="s">
        <v>3162</v>
      </c>
      <c r="H2972" t="s">
        <v>458</v>
      </c>
      <c r="I2972" t="s">
        <v>374</v>
      </c>
      <c r="J2972" t="s">
        <v>757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3158</v>
      </c>
      <c r="B2973" t="s">
        <v>3822</v>
      </c>
      <c r="C2973" t="s">
        <v>368</v>
      </c>
      <c r="D2973" t="s">
        <v>3129</v>
      </c>
      <c r="E2973" t="s">
        <v>3829</v>
      </c>
      <c r="F2973" t="s">
        <v>3824</v>
      </c>
      <c r="G2973" t="s">
        <v>3162</v>
      </c>
      <c r="H2973" t="s">
        <v>458</v>
      </c>
      <c r="I2973" t="s">
        <v>374</v>
      </c>
      <c r="J2973" t="s">
        <v>757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3158</v>
      </c>
      <c r="B2974" t="s">
        <v>3822</v>
      </c>
      <c r="C2974" t="s">
        <v>368</v>
      </c>
      <c r="D2974" t="s">
        <v>3129</v>
      </c>
      <c r="E2974" t="s">
        <v>3830</v>
      </c>
      <c r="F2974" t="s">
        <v>3824</v>
      </c>
      <c r="G2974" t="s">
        <v>3162</v>
      </c>
      <c r="H2974" t="s">
        <v>458</v>
      </c>
      <c r="I2974" t="s">
        <v>374</v>
      </c>
      <c r="J2974" t="s">
        <v>757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3158</v>
      </c>
      <c r="B2975" t="s">
        <v>3822</v>
      </c>
      <c r="C2975" t="s">
        <v>368</v>
      </c>
      <c r="D2975" t="s">
        <v>3129</v>
      </c>
      <c r="E2975" t="s">
        <v>3831</v>
      </c>
      <c r="F2975" t="s">
        <v>3824</v>
      </c>
      <c r="G2975" t="s">
        <v>3162</v>
      </c>
      <c r="H2975" t="s">
        <v>458</v>
      </c>
      <c r="I2975" t="s">
        <v>374</v>
      </c>
      <c r="J2975" t="s">
        <v>757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3158</v>
      </c>
      <c r="B2976" t="s">
        <v>3822</v>
      </c>
      <c r="C2976" t="s">
        <v>368</v>
      </c>
      <c r="D2976" t="s">
        <v>3129</v>
      </c>
      <c r="E2976" t="s">
        <v>3832</v>
      </c>
      <c r="F2976" t="s">
        <v>3824</v>
      </c>
      <c r="G2976" t="s">
        <v>3162</v>
      </c>
      <c r="H2976" t="s">
        <v>458</v>
      </c>
      <c r="I2976" t="s">
        <v>374</v>
      </c>
      <c r="J2976" t="s">
        <v>757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3158</v>
      </c>
      <c r="B2977" t="s">
        <v>3822</v>
      </c>
      <c r="C2977" t="s">
        <v>609</v>
      </c>
      <c r="D2977" t="s">
        <v>3129</v>
      </c>
      <c r="E2977" t="s">
        <v>3833</v>
      </c>
      <c r="F2977" t="s">
        <v>3824</v>
      </c>
      <c r="G2977" t="s">
        <v>3162</v>
      </c>
      <c r="H2977" t="s">
        <v>458</v>
      </c>
      <c r="I2977" t="s">
        <v>374</v>
      </c>
      <c r="J2977" t="s">
        <v>757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3158</v>
      </c>
      <c r="B2978" t="s">
        <v>3822</v>
      </c>
      <c r="C2978" t="s">
        <v>609</v>
      </c>
      <c r="D2978" t="s">
        <v>3129</v>
      </c>
      <c r="E2978" t="s">
        <v>3834</v>
      </c>
      <c r="F2978" t="s">
        <v>3824</v>
      </c>
      <c r="G2978" t="s">
        <v>3162</v>
      </c>
      <c r="H2978" t="s">
        <v>458</v>
      </c>
      <c r="I2978" t="s">
        <v>374</v>
      </c>
      <c r="J2978" t="s">
        <v>757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3158</v>
      </c>
      <c r="B2979" t="s">
        <v>3822</v>
      </c>
      <c r="C2979" t="s">
        <v>609</v>
      </c>
      <c r="D2979" t="s">
        <v>3129</v>
      </c>
      <c r="E2979" t="s">
        <v>3835</v>
      </c>
      <c r="F2979" t="s">
        <v>3824</v>
      </c>
      <c r="G2979" t="s">
        <v>3162</v>
      </c>
      <c r="H2979" t="s">
        <v>458</v>
      </c>
      <c r="I2979" t="s">
        <v>374</v>
      </c>
      <c r="J2979" t="s">
        <v>757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3158</v>
      </c>
      <c r="B2980" t="s">
        <v>3822</v>
      </c>
      <c r="C2980" t="s">
        <v>609</v>
      </c>
      <c r="D2980" t="s">
        <v>3129</v>
      </c>
      <c r="E2980" t="s">
        <v>3836</v>
      </c>
      <c r="F2980" t="s">
        <v>3824</v>
      </c>
      <c r="G2980" t="s">
        <v>3162</v>
      </c>
      <c r="H2980" t="s">
        <v>458</v>
      </c>
      <c r="I2980" t="s">
        <v>374</v>
      </c>
      <c r="J2980" t="s">
        <v>757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3158</v>
      </c>
      <c r="B2981" t="s">
        <v>3822</v>
      </c>
      <c r="C2981" t="s">
        <v>368</v>
      </c>
      <c r="D2981" t="s">
        <v>3129</v>
      </c>
      <c r="E2981" t="s">
        <v>3837</v>
      </c>
      <c r="F2981" t="s">
        <v>3824</v>
      </c>
      <c r="G2981" t="s">
        <v>3162</v>
      </c>
      <c r="H2981" t="s">
        <v>458</v>
      </c>
      <c r="I2981" t="s">
        <v>374</v>
      </c>
      <c r="J2981" t="s">
        <v>757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3158</v>
      </c>
      <c r="B2982" t="s">
        <v>3822</v>
      </c>
      <c r="C2982" t="s">
        <v>368</v>
      </c>
      <c r="D2982" t="s">
        <v>3129</v>
      </c>
      <c r="E2982" t="s">
        <v>3838</v>
      </c>
      <c r="F2982" t="s">
        <v>3824</v>
      </c>
      <c r="G2982" t="s">
        <v>3162</v>
      </c>
      <c r="H2982" t="s">
        <v>458</v>
      </c>
      <c r="I2982" t="s">
        <v>374</v>
      </c>
      <c r="J2982" t="s">
        <v>757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3158</v>
      </c>
      <c r="B2983" t="s">
        <v>3839</v>
      </c>
      <c r="C2983" t="s">
        <v>368</v>
      </c>
      <c r="D2983" t="s">
        <v>3129</v>
      </c>
      <c r="E2983" t="s">
        <v>3840</v>
      </c>
      <c r="F2983" t="s">
        <v>3841</v>
      </c>
      <c r="G2983" t="s">
        <v>3162</v>
      </c>
      <c r="H2983" t="s">
        <v>458</v>
      </c>
      <c r="I2983" t="s">
        <v>374</v>
      </c>
      <c r="J2983" t="s">
        <v>849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3158</v>
      </c>
      <c r="B2984" t="s">
        <v>3839</v>
      </c>
      <c r="C2984" t="s">
        <v>368</v>
      </c>
      <c r="D2984" t="s">
        <v>3129</v>
      </c>
      <c r="E2984" t="s">
        <v>3842</v>
      </c>
      <c r="F2984" t="s">
        <v>3841</v>
      </c>
      <c r="G2984" t="s">
        <v>3162</v>
      </c>
      <c r="H2984" t="s">
        <v>458</v>
      </c>
      <c r="I2984" t="s">
        <v>374</v>
      </c>
      <c r="J2984" t="s">
        <v>849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3158</v>
      </c>
      <c r="B2985" t="s">
        <v>3839</v>
      </c>
      <c r="C2985" t="s">
        <v>368</v>
      </c>
      <c r="D2985" t="s">
        <v>3129</v>
      </c>
      <c r="E2985" t="s">
        <v>3843</v>
      </c>
      <c r="F2985" t="s">
        <v>3841</v>
      </c>
      <c r="G2985" t="s">
        <v>3162</v>
      </c>
      <c r="H2985" t="s">
        <v>458</v>
      </c>
      <c r="I2985" t="s">
        <v>374</v>
      </c>
      <c r="J2985" t="s">
        <v>849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3158</v>
      </c>
      <c r="B2986" t="s">
        <v>3839</v>
      </c>
      <c r="C2986" t="s">
        <v>368</v>
      </c>
      <c r="D2986" t="s">
        <v>3129</v>
      </c>
      <c r="E2986" t="s">
        <v>3844</v>
      </c>
      <c r="F2986" t="s">
        <v>3841</v>
      </c>
      <c r="G2986" t="s">
        <v>3162</v>
      </c>
      <c r="H2986" t="s">
        <v>458</v>
      </c>
      <c r="I2986" t="s">
        <v>374</v>
      </c>
      <c r="J2986" t="s">
        <v>849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3158</v>
      </c>
      <c r="B2987" t="s">
        <v>3839</v>
      </c>
      <c r="C2987" t="s">
        <v>368</v>
      </c>
      <c r="D2987" t="s">
        <v>3129</v>
      </c>
      <c r="E2987" t="s">
        <v>3845</v>
      </c>
      <c r="F2987" t="s">
        <v>3841</v>
      </c>
      <c r="G2987" t="s">
        <v>3162</v>
      </c>
      <c r="H2987" t="s">
        <v>458</v>
      </c>
      <c r="I2987" t="s">
        <v>374</v>
      </c>
      <c r="J2987" t="s">
        <v>849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3158</v>
      </c>
      <c r="B2988" t="s">
        <v>3839</v>
      </c>
      <c r="C2988" t="s">
        <v>368</v>
      </c>
      <c r="D2988" t="s">
        <v>3129</v>
      </c>
      <c r="E2988" t="s">
        <v>3846</v>
      </c>
      <c r="F2988" t="s">
        <v>3841</v>
      </c>
      <c r="G2988" t="s">
        <v>3162</v>
      </c>
      <c r="H2988" t="s">
        <v>458</v>
      </c>
      <c r="I2988" t="s">
        <v>374</v>
      </c>
      <c r="J2988" t="s">
        <v>849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3158</v>
      </c>
      <c r="B2989" t="s">
        <v>3839</v>
      </c>
      <c r="C2989" t="s">
        <v>368</v>
      </c>
      <c r="D2989" t="s">
        <v>3129</v>
      </c>
      <c r="E2989" t="s">
        <v>3847</v>
      </c>
      <c r="F2989" t="s">
        <v>3841</v>
      </c>
      <c r="G2989" t="s">
        <v>3162</v>
      </c>
      <c r="H2989" t="s">
        <v>458</v>
      </c>
      <c r="I2989" t="s">
        <v>374</v>
      </c>
      <c r="J2989" t="s">
        <v>849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3158</v>
      </c>
      <c r="B2990" t="s">
        <v>3839</v>
      </c>
      <c r="C2990" t="s">
        <v>368</v>
      </c>
      <c r="D2990" t="s">
        <v>3129</v>
      </c>
      <c r="E2990" t="s">
        <v>3848</v>
      </c>
      <c r="F2990" t="s">
        <v>3841</v>
      </c>
      <c r="G2990" t="s">
        <v>3162</v>
      </c>
      <c r="H2990" t="s">
        <v>458</v>
      </c>
      <c r="I2990" t="s">
        <v>374</v>
      </c>
      <c r="J2990" t="s">
        <v>849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3158</v>
      </c>
      <c r="B2991" t="s">
        <v>3839</v>
      </c>
      <c r="C2991" t="s">
        <v>368</v>
      </c>
      <c r="D2991" t="s">
        <v>3129</v>
      </c>
      <c r="E2991" t="s">
        <v>3849</v>
      </c>
      <c r="F2991" t="s">
        <v>3841</v>
      </c>
      <c r="G2991" t="s">
        <v>3162</v>
      </c>
      <c r="H2991" t="s">
        <v>458</v>
      </c>
      <c r="I2991" t="s">
        <v>374</v>
      </c>
      <c r="J2991" t="s">
        <v>849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3158</v>
      </c>
      <c r="B2992" t="s">
        <v>3839</v>
      </c>
      <c r="C2992" t="s">
        <v>609</v>
      </c>
      <c r="D2992" t="s">
        <v>3129</v>
      </c>
      <c r="E2992" t="s">
        <v>3850</v>
      </c>
      <c r="F2992" t="s">
        <v>3841</v>
      </c>
      <c r="G2992" t="s">
        <v>3162</v>
      </c>
      <c r="H2992" t="s">
        <v>458</v>
      </c>
      <c r="I2992" t="s">
        <v>374</v>
      </c>
      <c r="J2992" t="s">
        <v>849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3158</v>
      </c>
      <c r="B2993" t="s">
        <v>3839</v>
      </c>
      <c r="C2993" t="s">
        <v>609</v>
      </c>
      <c r="D2993" t="s">
        <v>3129</v>
      </c>
      <c r="E2993" t="s">
        <v>3851</v>
      </c>
      <c r="F2993" t="s">
        <v>3841</v>
      </c>
      <c r="G2993" t="s">
        <v>3162</v>
      </c>
      <c r="H2993" t="s">
        <v>458</v>
      </c>
      <c r="I2993" t="s">
        <v>374</v>
      </c>
      <c r="J2993" t="s">
        <v>849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3499</v>
      </c>
      <c r="B2994" t="s">
        <v>3619</v>
      </c>
      <c r="C2994" t="s">
        <v>609</v>
      </c>
      <c r="D2994" t="s">
        <v>3129</v>
      </c>
      <c r="E2994" t="s">
        <v>3852</v>
      </c>
      <c r="F2994" t="s">
        <v>3621</v>
      </c>
      <c r="G2994" t="s">
        <v>3503</v>
      </c>
      <c r="H2994" t="s">
        <v>458</v>
      </c>
      <c r="I2994" t="s">
        <v>374</v>
      </c>
      <c r="J2994" t="s">
        <v>849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3158</v>
      </c>
      <c r="B2995" t="s">
        <v>3839</v>
      </c>
      <c r="C2995" t="s">
        <v>609</v>
      </c>
      <c r="D2995" t="s">
        <v>3129</v>
      </c>
      <c r="E2995" t="s">
        <v>3853</v>
      </c>
      <c r="F2995" t="s">
        <v>3841</v>
      </c>
      <c r="G2995" t="s">
        <v>3162</v>
      </c>
      <c r="H2995" t="s">
        <v>458</v>
      </c>
      <c r="I2995" t="s">
        <v>374</v>
      </c>
      <c r="J2995" t="s">
        <v>849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3158</v>
      </c>
      <c r="B2996" t="s">
        <v>3839</v>
      </c>
      <c r="C2996" t="s">
        <v>609</v>
      </c>
      <c r="D2996" t="s">
        <v>3129</v>
      </c>
      <c r="E2996" t="s">
        <v>3854</v>
      </c>
      <c r="F2996" t="s">
        <v>3841</v>
      </c>
      <c r="G2996" t="s">
        <v>3162</v>
      </c>
      <c r="H2996" t="s">
        <v>458</v>
      </c>
      <c r="I2996" t="s">
        <v>374</v>
      </c>
      <c r="J2996" t="s">
        <v>849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3158</v>
      </c>
      <c r="B2997" t="s">
        <v>3839</v>
      </c>
      <c r="C2997" t="s">
        <v>368</v>
      </c>
      <c r="D2997" t="s">
        <v>3129</v>
      </c>
      <c r="E2997" t="s">
        <v>3855</v>
      </c>
      <c r="F2997" t="s">
        <v>3841</v>
      </c>
      <c r="G2997" t="s">
        <v>3162</v>
      </c>
      <c r="H2997" t="s">
        <v>458</v>
      </c>
      <c r="I2997" t="s">
        <v>374</v>
      </c>
      <c r="J2997" t="s">
        <v>849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3158</v>
      </c>
      <c r="B2998" t="s">
        <v>3839</v>
      </c>
      <c r="C2998" t="s">
        <v>368</v>
      </c>
      <c r="D2998" t="s">
        <v>3129</v>
      </c>
      <c r="E2998" t="s">
        <v>3856</v>
      </c>
      <c r="F2998" t="s">
        <v>3841</v>
      </c>
      <c r="G2998" t="s">
        <v>3162</v>
      </c>
      <c r="H2998" t="s">
        <v>458</v>
      </c>
      <c r="I2998" t="s">
        <v>374</v>
      </c>
      <c r="J2998" t="s">
        <v>849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3158</v>
      </c>
      <c r="B2999" t="s">
        <v>3857</v>
      </c>
      <c r="C2999" t="s">
        <v>368</v>
      </c>
      <c r="D2999" t="s">
        <v>3129</v>
      </c>
      <c r="E2999" t="s">
        <v>3858</v>
      </c>
      <c r="F2999" t="s">
        <v>3859</v>
      </c>
      <c r="G2999" t="s">
        <v>3162</v>
      </c>
      <c r="H2999" t="s">
        <v>458</v>
      </c>
      <c r="I2999" t="s">
        <v>374</v>
      </c>
      <c r="J2999" t="s">
        <v>874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3158</v>
      </c>
      <c r="B3000" t="s">
        <v>3857</v>
      </c>
      <c r="C3000" t="s">
        <v>368</v>
      </c>
      <c r="D3000" t="s">
        <v>3129</v>
      </c>
      <c r="E3000" t="s">
        <v>3860</v>
      </c>
      <c r="F3000" t="s">
        <v>3859</v>
      </c>
      <c r="G3000" t="s">
        <v>3162</v>
      </c>
      <c r="H3000" t="s">
        <v>458</v>
      </c>
      <c r="I3000" t="s">
        <v>374</v>
      </c>
      <c r="J3000" t="s">
        <v>874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3158</v>
      </c>
      <c r="B3001" t="s">
        <v>3857</v>
      </c>
      <c r="C3001" t="s">
        <v>368</v>
      </c>
      <c r="D3001" t="s">
        <v>3129</v>
      </c>
      <c r="E3001" t="s">
        <v>3861</v>
      </c>
      <c r="F3001" t="s">
        <v>3859</v>
      </c>
      <c r="G3001" t="s">
        <v>3162</v>
      </c>
      <c r="H3001" t="s">
        <v>458</v>
      </c>
      <c r="I3001" t="s">
        <v>374</v>
      </c>
      <c r="J3001" t="s">
        <v>874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3158</v>
      </c>
      <c r="B3002" t="s">
        <v>3857</v>
      </c>
      <c r="C3002" t="s">
        <v>368</v>
      </c>
      <c r="D3002" t="s">
        <v>3129</v>
      </c>
      <c r="E3002" t="s">
        <v>3862</v>
      </c>
      <c r="F3002" t="s">
        <v>3859</v>
      </c>
      <c r="G3002" t="s">
        <v>3162</v>
      </c>
      <c r="H3002" t="s">
        <v>458</v>
      </c>
      <c r="I3002" t="s">
        <v>374</v>
      </c>
      <c r="J3002" t="s">
        <v>874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3158</v>
      </c>
      <c r="B3003" t="s">
        <v>3857</v>
      </c>
      <c r="C3003" t="s">
        <v>368</v>
      </c>
      <c r="D3003" t="s">
        <v>3129</v>
      </c>
      <c r="E3003" t="s">
        <v>3863</v>
      </c>
      <c r="F3003" t="s">
        <v>3859</v>
      </c>
      <c r="G3003" t="s">
        <v>3162</v>
      </c>
      <c r="H3003" t="s">
        <v>458</v>
      </c>
      <c r="I3003" t="s">
        <v>374</v>
      </c>
      <c r="J3003" t="s">
        <v>874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3158</v>
      </c>
      <c r="B3004" t="s">
        <v>3857</v>
      </c>
      <c r="C3004" t="s">
        <v>368</v>
      </c>
      <c r="D3004" t="s">
        <v>3129</v>
      </c>
      <c r="E3004" t="s">
        <v>3864</v>
      </c>
      <c r="F3004" t="s">
        <v>3859</v>
      </c>
      <c r="G3004" t="s">
        <v>3162</v>
      </c>
      <c r="H3004" t="s">
        <v>458</v>
      </c>
      <c r="I3004" t="s">
        <v>374</v>
      </c>
      <c r="J3004" t="s">
        <v>874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3158</v>
      </c>
      <c r="B3005" t="s">
        <v>3857</v>
      </c>
      <c r="C3005" t="s">
        <v>368</v>
      </c>
      <c r="D3005" t="s">
        <v>3129</v>
      </c>
      <c r="E3005" t="s">
        <v>3865</v>
      </c>
      <c r="F3005" t="s">
        <v>3859</v>
      </c>
      <c r="G3005" t="s">
        <v>3162</v>
      </c>
      <c r="H3005" t="s">
        <v>458</v>
      </c>
      <c r="I3005" t="s">
        <v>374</v>
      </c>
      <c r="J3005" t="s">
        <v>874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3158</v>
      </c>
      <c r="B3006" t="s">
        <v>3857</v>
      </c>
      <c r="C3006" t="s">
        <v>368</v>
      </c>
      <c r="D3006" t="s">
        <v>3129</v>
      </c>
      <c r="E3006" t="s">
        <v>3866</v>
      </c>
      <c r="F3006" t="s">
        <v>3859</v>
      </c>
      <c r="G3006" t="s">
        <v>3162</v>
      </c>
      <c r="H3006" t="s">
        <v>458</v>
      </c>
      <c r="I3006" t="s">
        <v>374</v>
      </c>
      <c r="J3006" t="s">
        <v>874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3158</v>
      </c>
      <c r="B3007" t="s">
        <v>3857</v>
      </c>
      <c r="C3007" t="s">
        <v>368</v>
      </c>
      <c r="D3007" t="s">
        <v>3129</v>
      </c>
      <c r="E3007" t="s">
        <v>3867</v>
      </c>
      <c r="F3007" t="s">
        <v>3859</v>
      </c>
      <c r="G3007" t="s">
        <v>3162</v>
      </c>
      <c r="H3007" t="s">
        <v>458</v>
      </c>
      <c r="I3007" t="s">
        <v>374</v>
      </c>
      <c r="J3007" t="s">
        <v>874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3158</v>
      </c>
      <c r="B3008" t="s">
        <v>3857</v>
      </c>
      <c r="C3008" t="s">
        <v>609</v>
      </c>
      <c r="D3008" t="s">
        <v>3129</v>
      </c>
      <c r="E3008" t="s">
        <v>3868</v>
      </c>
      <c r="F3008" t="s">
        <v>3859</v>
      </c>
      <c r="G3008" t="s">
        <v>3162</v>
      </c>
      <c r="H3008" t="s">
        <v>458</v>
      </c>
      <c r="I3008" t="s">
        <v>374</v>
      </c>
      <c r="J3008" t="s">
        <v>874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3158</v>
      </c>
      <c r="B3009" t="s">
        <v>3857</v>
      </c>
      <c r="C3009" t="s">
        <v>609</v>
      </c>
      <c r="D3009" t="s">
        <v>3129</v>
      </c>
      <c r="E3009" t="s">
        <v>3869</v>
      </c>
      <c r="F3009" t="s">
        <v>3859</v>
      </c>
      <c r="G3009" t="s">
        <v>3162</v>
      </c>
      <c r="H3009" t="s">
        <v>458</v>
      </c>
      <c r="I3009" t="s">
        <v>374</v>
      </c>
      <c r="J3009" t="s">
        <v>874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3158</v>
      </c>
      <c r="B3010" t="s">
        <v>3857</v>
      </c>
      <c r="C3010" t="s">
        <v>609</v>
      </c>
      <c r="D3010" t="s">
        <v>3129</v>
      </c>
      <c r="E3010" t="s">
        <v>3870</v>
      </c>
      <c r="F3010" t="s">
        <v>3859</v>
      </c>
      <c r="G3010" t="s">
        <v>3162</v>
      </c>
      <c r="H3010" t="s">
        <v>458</v>
      </c>
      <c r="I3010" t="s">
        <v>374</v>
      </c>
      <c r="J3010" t="s">
        <v>874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3158</v>
      </c>
      <c r="B3011" t="s">
        <v>3857</v>
      </c>
      <c r="C3011" t="s">
        <v>609</v>
      </c>
      <c r="D3011" t="s">
        <v>3129</v>
      </c>
      <c r="E3011" t="s">
        <v>3871</v>
      </c>
      <c r="F3011" t="s">
        <v>3859</v>
      </c>
      <c r="G3011" t="s">
        <v>3162</v>
      </c>
      <c r="H3011" t="s">
        <v>458</v>
      </c>
      <c r="I3011" t="s">
        <v>374</v>
      </c>
      <c r="J3011" t="s">
        <v>874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3158</v>
      </c>
      <c r="B3012" t="s">
        <v>3857</v>
      </c>
      <c r="C3012" t="s">
        <v>368</v>
      </c>
      <c r="D3012" t="s">
        <v>3129</v>
      </c>
      <c r="E3012" t="s">
        <v>3872</v>
      </c>
      <c r="F3012" t="s">
        <v>3859</v>
      </c>
      <c r="G3012" t="s">
        <v>3162</v>
      </c>
      <c r="H3012" t="s">
        <v>458</v>
      </c>
      <c r="I3012" t="s">
        <v>374</v>
      </c>
      <c r="J3012" t="s">
        <v>874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3158</v>
      </c>
      <c r="B3013" t="s">
        <v>3857</v>
      </c>
      <c r="C3013" t="s">
        <v>368</v>
      </c>
      <c r="D3013" t="s">
        <v>3129</v>
      </c>
      <c r="E3013" t="s">
        <v>3873</v>
      </c>
      <c r="F3013" t="s">
        <v>3859</v>
      </c>
      <c r="G3013" t="s">
        <v>3162</v>
      </c>
      <c r="H3013" t="s">
        <v>458</v>
      </c>
      <c r="I3013" t="s">
        <v>374</v>
      </c>
      <c r="J3013" t="s">
        <v>874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3158</v>
      </c>
      <c r="B3014" t="s">
        <v>3874</v>
      </c>
      <c r="C3014" t="s">
        <v>368</v>
      </c>
      <c r="D3014" t="s">
        <v>3129</v>
      </c>
      <c r="E3014" t="s">
        <v>3875</v>
      </c>
      <c r="F3014" t="s">
        <v>3876</v>
      </c>
      <c r="G3014" t="s">
        <v>3162</v>
      </c>
      <c r="H3014" t="s">
        <v>458</v>
      </c>
      <c r="I3014" t="s">
        <v>374</v>
      </c>
      <c r="J3014" t="s">
        <v>881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3158</v>
      </c>
      <c r="B3015" t="s">
        <v>3874</v>
      </c>
      <c r="C3015" t="s">
        <v>368</v>
      </c>
      <c r="D3015" t="s">
        <v>3129</v>
      </c>
      <c r="E3015" t="s">
        <v>3877</v>
      </c>
      <c r="F3015" t="s">
        <v>3876</v>
      </c>
      <c r="G3015" t="s">
        <v>3162</v>
      </c>
      <c r="H3015" t="s">
        <v>458</v>
      </c>
      <c r="I3015" t="s">
        <v>374</v>
      </c>
      <c r="J3015" t="s">
        <v>881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3158</v>
      </c>
      <c r="B3016" t="s">
        <v>3874</v>
      </c>
      <c r="C3016" t="s">
        <v>368</v>
      </c>
      <c r="D3016" t="s">
        <v>3129</v>
      </c>
      <c r="E3016" t="s">
        <v>3878</v>
      </c>
      <c r="F3016" t="s">
        <v>3876</v>
      </c>
      <c r="G3016" t="s">
        <v>3162</v>
      </c>
      <c r="H3016" t="s">
        <v>458</v>
      </c>
      <c r="I3016" t="s">
        <v>374</v>
      </c>
      <c r="J3016" t="s">
        <v>881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3158</v>
      </c>
      <c r="B3017" t="s">
        <v>3874</v>
      </c>
      <c r="C3017" t="s">
        <v>368</v>
      </c>
      <c r="D3017" t="s">
        <v>3129</v>
      </c>
      <c r="E3017" t="s">
        <v>3879</v>
      </c>
      <c r="F3017" t="s">
        <v>3876</v>
      </c>
      <c r="G3017" t="s">
        <v>3162</v>
      </c>
      <c r="H3017" t="s">
        <v>458</v>
      </c>
      <c r="I3017" t="s">
        <v>374</v>
      </c>
      <c r="J3017" t="s">
        <v>881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3158</v>
      </c>
      <c r="B3018" t="s">
        <v>3874</v>
      </c>
      <c r="C3018" t="s">
        <v>368</v>
      </c>
      <c r="D3018" t="s">
        <v>3129</v>
      </c>
      <c r="E3018" t="s">
        <v>3880</v>
      </c>
      <c r="F3018" t="s">
        <v>3876</v>
      </c>
      <c r="G3018" t="s">
        <v>3162</v>
      </c>
      <c r="H3018" t="s">
        <v>458</v>
      </c>
      <c r="I3018" t="s">
        <v>374</v>
      </c>
      <c r="J3018" t="s">
        <v>881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3158</v>
      </c>
      <c r="B3019" t="s">
        <v>3874</v>
      </c>
      <c r="C3019" t="s">
        <v>368</v>
      </c>
      <c r="D3019" t="s">
        <v>3129</v>
      </c>
      <c r="E3019" t="s">
        <v>3881</v>
      </c>
      <c r="F3019" t="s">
        <v>3876</v>
      </c>
      <c r="G3019" t="s">
        <v>3162</v>
      </c>
      <c r="H3019" t="s">
        <v>458</v>
      </c>
      <c r="I3019" t="s">
        <v>374</v>
      </c>
      <c r="J3019" t="s">
        <v>881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3158</v>
      </c>
      <c r="B3020" t="s">
        <v>3874</v>
      </c>
      <c r="C3020" t="s">
        <v>368</v>
      </c>
      <c r="D3020" t="s">
        <v>3129</v>
      </c>
      <c r="E3020" t="s">
        <v>3882</v>
      </c>
      <c r="F3020" t="s">
        <v>3876</v>
      </c>
      <c r="G3020" t="s">
        <v>3162</v>
      </c>
      <c r="H3020" t="s">
        <v>458</v>
      </c>
      <c r="I3020" t="s">
        <v>374</v>
      </c>
      <c r="J3020" t="s">
        <v>881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3158</v>
      </c>
      <c r="B3021" t="s">
        <v>3874</v>
      </c>
      <c r="C3021" t="s">
        <v>368</v>
      </c>
      <c r="D3021" t="s">
        <v>3129</v>
      </c>
      <c r="E3021" t="s">
        <v>3883</v>
      </c>
      <c r="F3021" t="s">
        <v>3876</v>
      </c>
      <c r="G3021" t="s">
        <v>3162</v>
      </c>
      <c r="H3021" t="s">
        <v>458</v>
      </c>
      <c r="I3021" t="s">
        <v>374</v>
      </c>
      <c r="J3021" t="s">
        <v>881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3158</v>
      </c>
      <c r="B3022" t="s">
        <v>3874</v>
      </c>
      <c r="C3022" t="s">
        <v>368</v>
      </c>
      <c r="D3022" t="s">
        <v>3129</v>
      </c>
      <c r="E3022" t="s">
        <v>3884</v>
      </c>
      <c r="F3022" t="s">
        <v>3876</v>
      </c>
      <c r="G3022" t="s">
        <v>3162</v>
      </c>
      <c r="H3022" t="s">
        <v>458</v>
      </c>
      <c r="I3022" t="s">
        <v>374</v>
      </c>
      <c r="J3022" t="s">
        <v>881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3158</v>
      </c>
      <c r="B3023" t="s">
        <v>3874</v>
      </c>
      <c r="C3023" t="s">
        <v>609</v>
      </c>
      <c r="D3023" t="s">
        <v>3129</v>
      </c>
      <c r="E3023" t="s">
        <v>3885</v>
      </c>
      <c r="F3023" t="s">
        <v>3876</v>
      </c>
      <c r="G3023" t="s">
        <v>3162</v>
      </c>
      <c r="H3023" t="s">
        <v>458</v>
      </c>
      <c r="I3023" t="s">
        <v>374</v>
      </c>
      <c r="J3023" t="s">
        <v>881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3158</v>
      </c>
      <c r="B3024" t="s">
        <v>3874</v>
      </c>
      <c r="C3024" t="s">
        <v>609</v>
      </c>
      <c r="D3024" t="s">
        <v>3129</v>
      </c>
      <c r="E3024" t="s">
        <v>3886</v>
      </c>
      <c r="F3024" t="s">
        <v>3876</v>
      </c>
      <c r="G3024" t="s">
        <v>3162</v>
      </c>
      <c r="H3024" t="s">
        <v>458</v>
      </c>
      <c r="I3024" t="s">
        <v>374</v>
      </c>
      <c r="J3024" t="s">
        <v>881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3158</v>
      </c>
      <c r="B3025" t="s">
        <v>3874</v>
      </c>
      <c r="C3025" t="s">
        <v>609</v>
      </c>
      <c r="D3025" t="s">
        <v>3129</v>
      </c>
      <c r="E3025" t="s">
        <v>3887</v>
      </c>
      <c r="F3025" t="s">
        <v>3876</v>
      </c>
      <c r="G3025" t="s">
        <v>3162</v>
      </c>
      <c r="H3025" t="s">
        <v>458</v>
      </c>
      <c r="I3025" t="s">
        <v>374</v>
      </c>
      <c r="J3025" t="s">
        <v>881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3158</v>
      </c>
      <c r="B3026" t="s">
        <v>3874</v>
      </c>
      <c r="C3026" t="s">
        <v>609</v>
      </c>
      <c r="D3026" t="s">
        <v>3129</v>
      </c>
      <c r="E3026" t="s">
        <v>3888</v>
      </c>
      <c r="F3026" t="s">
        <v>3876</v>
      </c>
      <c r="G3026" t="s">
        <v>3162</v>
      </c>
      <c r="H3026" t="s">
        <v>458</v>
      </c>
      <c r="I3026" t="s">
        <v>374</v>
      </c>
      <c r="J3026" t="s">
        <v>881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3158</v>
      </c>
      <c r="B3027" t="s">
        <v>3874</v>
      </c>
      <c r="C3027" t="s">
        <v>368</v>
      </c>
      <c r="D3027" t="s">
        <v>3129</v>
      </c>
      <c r="E3027" t="s">
        <v>3889</v>
      </c>
      <c r="F3027" t="s">
        <v>3876</v>
      </c>
      <c r="G3027" t="s">
        <v>3162</v>
      </c>
      <c r="H3027" t="s">
        <v>458</v>
      </c>
      <c r="I3027" t="s">
        <v>374</v>
      </c>
      <c r="J3027" t="s">
        <v>881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3158</v>
      </c>
      <c r="B3028" t="s">
        <v>3874</v>
      </c>
      <c r="C3028" t="s">
        <v>368</v>
      </c>
      <c r="D3028" t="s">
        <v>3129</v>
      </c>
      <c r="E3028" t="s">
        <v>3890</v>
      </c>
      <c r="F3028" t="s">
        <v>3876</v>
      </c>
      <c r="G3028" t="s">
        <v>3162</v>
      </c>
      <c r="H3028" t="s">
        <v>458</v>
      </c>
      <c r="I3028" t="s">
        <v>374</v>
      </c>
      <c r="J3028" t="s">
        <v>881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3158</v>
      </c>
      <c r="B3029" t="s">
        <v>3159</v>
      </c>
      <c r="C3029" t="s">
        <v>368</v>
      </c>
      <c r="D3029" t="s">
        <v>3129</v>
      </c>
      <c r="E3029" t="s">
        <v>130</v>
      </c>
      <c r="F3029" t="s">
        <v>3891</v>
      </c>
      <c r="G3029" t="s">
        <v>3162</v>
      </c>
      <c r="H3029" t="s">
        <v>458</v>
      </c>
      <c r="I3029" t="s">
        <v>374</v>
      </c>
      <c r="J3029" t="s">
        <v>906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3158</v>
      </c>
      <c r="B3030" t="s">
        <v>3159</v>
      </c>
      <c r="C3030" t="s">
        <v>368</v>
      </c>
      <c r="D3030" t="s">
        <v>3129</v>
      </c>
      <c r="E3030" t="s">
        <v>3892</v>
      </c>
      <c r="F3030" t="s">
        <v>3891</v>
      </c>
      <c r="G3030" t="s">
        <v>3162</v>
      </c>
      <c r="H3030" t="s">
        <v>458</v>
      </c>
      <c r="I3030" t="s">
        <v>374</v>
      </c>
      <c r="J3030" t="s">
        <v>906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3158</v>
      </c>
      <c r="B3031" t="s">
        <v>3159</v>
      </c>
      <c r="C3031" t="s">
        <v>368</v>
      </c>
      <c r="D3031" t="s">
        <v>3129</v>
      </c>
      <c r="E3031" t="s">
        <v>3893</v>
      </c>
      <c r="F3031" t="s">
        <v>3891</v>
      </c>
      <c r="G3031" t="s">
        <v>3162</v>
      </c>
      <c r="H3031" t="s">
        <v>458</v>
      </c>
      <c r="I3031" t="s">
        <v>374</v>
      </c>
      <c r="J3031" t="s">
        <v>906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3158</v>
      </c>
      <c r="B3032" t="s">
        <v>3159</v>
      </c>
      <c r="C3032" t="s">
        <v>368</v>
      </c>
      <c r="D3032" t="s">
        <v>3129</v>
      </c>
      <c r="E3032" t="s">
        <v>3894</v>
      </c>
      <c r="F3032" t="s">
        <v>3891</v>
      </c>
      <c r="G3032" t="s">
        <v>3162</v>
      </c>
      <c r="H3032" t="s">
        <v>458</v>
      </c>
      <c r="I3032" t="s">
        <v>374</v>
      </c>
      <c r="J3032" t="s">
        <v>906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3158</v>
      </c>
      <c r="B3033" t="s">
        <v>3159</v>
      </c>
      <c r="C3033" t="s">
        <v>368</v>
      </c>
      <c r="D3033" t="s">
        <v>3129</v>
      </c>
      <c r="E3033" t="s">
        <v>3895</v>
      </c>
      <c r="F3033" t="s">
        <v>3891</v>
      </c>
      <c r="G3033" t="s">
        <v>3162</v>
      </c>
      <c r="H3033" t="s">
        <v>458</v>
      </c>
      <c r="I3033" t="s">
        <v>374</v>
      </c>
      <c r="J3033" t="s">
        <v>906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3158</v>
      </c>
      <c r="B3034" t="s">
        <v>3159</v>
      </c>
      <c r="C3034" t="s">
        <v>368</v>
      </c>
      <c r="D3034" t="s">
        <v>3129</v>
      </c>
      <c r="E3034" t="s">
        <v>3896</v>
      </c>
      <c r="F3034" t="s">
        <v>3891</v>
      </c>
      <c r="G3034" t="s">
        <v>3162</v>
      </c>
      <c r="H3034" t="s">
        <v>458</v>
      </c>
      <c r="I3034" t="s">
        <v>374</v>
      </c>
      <c r="J3034" t="s">
        <v>906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3158</v>
      </c>
      <c r="B3035" t="s">
        <v>3159</v>
      </c>
      <c r="C3035" t="s">
        <v>368</v>
      </c>
      <c r="D3035" t="s">
        <v>3129</v>
      </c>
      <c r="E3035" t="s">
        <v>3897</v>
      </c>
      <c r="F3035" t="s">
        <v>3891</v>
      </c>
      <c r="G3035" t="s">
        <v>3162</v>
      </c>
      <c r="H3035" t="s">
        <v>458</v>
      </c>
      <c r="I3035" t="s">
        <v>374</v>
      </c>
      <c r="J3035" t="s">
        <v>906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3158</v>
      </c>
      <c r="B3036" t="s">
        <v>3159</v>
      </c>
      <c r="C3036" t="s">
        <v>368</v>
      </c>
      <c r="D3036" t="s">
        <v>3129</v>
      </c>
      <c r="E3036" t="s">
        <v>3898</v>
      </c>
      <c r="F3036" t="s">
        <v>3891</v>
      </c>
      <c r="G3036" t="s">
        <v>3162</v>
      </c>
      <c r="H3036" t="s">
        <v>458</v>
      </c>
      <c r="I3036" t="s">
        <v>374</v>
      </c>
      <c r="J3036" t="s">
        <v>906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3158</v>
      </c>
      <c r="B3037" t="s">
        <v>3159</v>
      </c>
      <c r="C3037" t="s">
        <v>368</v>
      </c>
      <c r="D3037" t="s">
        <v>3129</v>
      </c>
      <c r="E3037" t="s">
        <v>3899</v>
      </c>
      <c r="F3037" t="s">
        <v>3891</v>
      </c>
      <c r="G3037" t="s">
        <v>3162</v>
      </c>
      <c r="H3037" t="s">
        <v>458</v>
      </c>
      <c r="I3037" t="s">
        <v>374</v>
      </c>
      <c r="J3037" t="s">
        <v>906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3158</v>
      </c>
      <c r="B3038" t="s">
        <v>3159</v>
      </c>
      <c r="C3038" t="s">
        <v>609</v>
      </c>
      <c r="D3038" t="s">
        <v>3129</v>
      </c>
      <c r="E3038" t="s">
        <v>3900</v>
      </c>
      <c r="F3038" t="s">
        <v>3891</v>
      </c>
      <c r="G3038" t="s">
        <v>3162</v>
      </c>
      <c r="H3038" t="s">
        <v>458</v>
      </c>
      <c r="I3038" t="s">
        <v>374</v>
      </c>
      <c r="J3038" t="s">
        <v>906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3158</v>
      </c>
      <c r="B3039" t="s">
        <v>3159</v>
      </c>
      <c r="C3039" t="s">
        <v>609</v>
      </c>
      <c r="D3039" t="s">
        <v>3129</v>
      </c>
      <c r="E3039" t="s">
        <v>3901</v>
      </c>
      <c r="F3039" t="s">
        <v>3891</v>
      </c>
      <c r="G3039" t="s">
        <v>3162</v>
      </c>
      <c r="H3039" t="s">
        <v>458</v>
      </c>
      <c r="I3039" t="s">
        <v>374</v>
      </c>
      <c r="J3039" t="s">
        <v>906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3158</v>
      </c>
      <c r="B3040" t="s">
        <v>3159</v>
      </c>
      <c r="C3040" t="s">
        <v>609</v>
      </c>
      <c r="D3040" t="s">
        <v>3129</v>
      </c>
      <c r="E3040" t="s">
        <v>3902</v>
      </c>
      <c r="F3040" t="s">
        <v>3891</v>
      </c>
      <c r="G3040" t="s">
        <v>3162</v>
      </c>
      <c r="H3040" t="s">
        <v>458</v>
      </c>
      <c r="I3040" t="s">
        <v>374</v>
      </c>
      <c r="J3040" t="s">
        <v>906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3158</v>
      </c>
      <c r="B3041" t="s">
        <v>3159</v>
      </c>
      <c r="C3041" t="s">
        <v>609</v>
      </c>
      <c r="D3041" t="s">
        <v>3129</v>
      </c>
      <c r="E3041" t="s">
        <v>3903</v>
      </c>
      <c r="F3041" t="s">
        <v>3891</v>
      </c>
      <c r="G3041" t="s">
        <v>3162</v>
      </c>
      <c r="H3041" t="s">
        <v>458</v>
      </c>
      <c r="I3041" t="s">
        <v>374</v>
      </c>
      <c r="J3041" t="s">
        <v>906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3158</v>
      </c>
      <c r="B3042" t="s">
        <v>3159</v>
      </c>
      <c r="C3042" t="s">
        <v>368</v>
      </c>
      <c r="D3042" t="s">
        <v>3129</v>
      </c>
      <c r="E3042" t="s">
        <v>3904</v>
      </c>
      <c r="F3042" t="s">
        <v>3891</v>
      </c>
      <c r="G3042" t="s">
        <v>3162</v>
      </c>
      <c r="H3042" t="s">
        <v>458</v>
      </c>
      <c r="I3042" t="s">
        <v>374</v>
      </c>
      <c r="J3042" t="s">
        <v>906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3158</v>
      </c>
      <c r="B3043" t="s">
        <v>3159</v>
      </c>
      <c r="C3043" t="s">
        <v>368</v>
      </c>
      <c r="D3043" t="s">
        <v>3129</v>
      </c>
      <c r="E3043" t="s">
        <v>129</v>
      </c>
      <c r="F3043" t="s">
        <v>3891</v>
      </c>
      <c r="G3043" t="s">
        <v>3162</v>
      </c>
      <c r="H3043" t="s">
        <v>458</v>
      </c>
      <c r="I3043" t="s">
        <v>374</v>
      </c>
      <c r="J3043" t="s">
        <v>906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3158</v>
      </c>
      <c r="B3044" t="s">
        <v>3905</v>
      </c>
      <c r="C3044" t="s">
        <v>368</v>
      </c>
      <c r="D3044" t="s">
        <v>3129</v>
      </c>
      <c r="E3044" t="s">
        <v>3906</v>
      </c>
      <c r="F3044" t="s">
        <v>3907</v>
      </c>
      <c r="G3044" t="s">
        <v>3162</v>
      </c>
      <c r="H3044" t="s">
        <v>458</v>
      </c>
      <c r="I3044" t="s">
        <v>374</v>
      </c>
      <c r="J3044" t="s">
        <v>2053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3158</v>
      </c>
      <c r="B3045" t="s">
        <v>3905</v>
      </c>
      <c r="C3045" t="s">
        <v>368</v>
      </c>
      <c r="D3045" t="s">
        <v>3129</v>
      </c>
      <c r="E3045" t="s">
        <v>269</v>
      </c>
      <c r="F3045" t="s">
        <v>3907</v>
      </c>
      <c r="G3045" t="s">
        <v>3162</v>
      </c>
      <c r="H3045" t="s">
        <v>458</v>
      </c>
      <c r="I3045" t="s">
        <v>374</v>
      </c>
      <c r="J3045" t="s">
        <v>2053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3158</v>
      </c>
      <c r="B3046" t="s">
        <v>3905</v>
      </c>
      <c r="C3046" t="s">
        <v>368</v>
      </c>
      <c r="D3046" t="s">
        <v>3129</v>
      </c>
      <c r="E3046" t="s">
        <v>3908</v>
      </c>
      <c r="F3046" t="s">
        <v>3907</v>
      </c>
      <c r="G3046" t="s">
        <v>3162</v>
      </c>
      <c r="H3046" t="s">
        <v>458</v>
      </c>
      <c r="I3046" t="s">
        <v>374</v>
      </c>
      <c r="J3046" t="s">
        <v>2053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3158</v>
      </c>
      <c r="B3047" t="s">
        <v>3905</v>
      </c>
      <c r="C3047" t="s">
        <v>368</v>
      </c>
      <c r="D3047" t="s">
        <v>3129</v>
      </c>
      <c r="E3047" t="s">
        <v>3909</v>
      </c>
      <c r="F3047" t="s">
        <v>3907</v>
      </c>
      <c r="G3047" t="s">
        <v>3162</v>
      </c>
      <c r="H3047" t="s">
        <v>458</v>
      </c>
      <c r="I3047" t="s">
        <v>374</v>
      </c>
      <c r="J3047" t="s">
        <v>2053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3158</v>
      </c>
      <c r="B3048" t="s">
        <v>3905</v>
      </c>
      <c r="C3048" t="s">
        <v>368</v>
      </c>
      <c r="D3048" t="s">
        <v>3129</v>
      </c>
      <c r="E3048" t="s">
        <v>3910</v>
      </c>
      <c r="F3048" t="s">
        <v>3907</v>
      </c>
      <c r="G3048" t="s">
        <v>3162</v>
      </c>
      <c r="H3048" t="s">
        <v>458</v>
      </c>
      <c r="I3048" t="s">
        <v>374</v>
      </c>
      <c r="J3048" t="s">
        <v>2053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3158</v>
      </c>
      <c r="B3049" t="s">
        <v>3905</v>
      </c>
      <c r="C3049" t="s">
        <v>368</v>
      </c>
      <c r="D3049" t="s">
        <v>3129</v>
      </c>
      <c r="E3049" t="s">
        <v>3911</v>
      </c>
      <c r="F3049" t="s">
        <v>3907</v>
      </c>
      <c r="G3049" t="s">
        <v>3162</v>
      </c>
      <c r="H3049" t="s">
        <v>458</v>
      </c>
      <c r="I3049" t="s">
        <v>374</v>
      </c>
      <c r="J3049" t="s">
        <v>2053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3158</v>
      </c>
      <c r="B3050" t="s">
        <v>3905</v>
      </c>
      <c r="C3050" t="s">
        <v>368</v>
      </c>
      <c r="D3050" t="s">
        <v>3129</v>
      </c>
      <c r="E3050" t="s">
        <v>3912</v>
      </c>
      <c r="F3050" t="s">
        <v>3907</v>
      </c>
      <c r="G3050" t="s">
        <v>3162</v>
      </c>
      <c r="H3050" t="s">
        <v>458</v>
      </c>
      <c r="I3050" t="s">
        <v>374</v>
      </c>
      <c r="J3050" t="s">
        <v>2053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3158</v>
      </c>
      <c r="B3051" t="s">
        <v>3905</v>
      </c>
      <c r="C3051" t="s">
        <v>368</v>
      </c>
      <c r="D3051" t="s">
        <v>3129</v>
      </c>
      <c r="E3051" t="s">
        <v>3913</v>
      </c>
      <c r="F3051" t="s">
        <v>3907</v>
      </c>
      <c r="G3051" t="s">
        <v>3162</v>
      </c>
      <c r="H3051" t="s">
        <v>458</v>
      </c>
      <c r="I3051" t="s">
        <v>374</v>
      </c>
      <c r="J3051" t="s">
        <v>2053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3158</v>
      </c>
      <c r="B3052" t="s">
        <v>3905</v>
      </c>
      <c r="C3052" t="s">
        <v>368</v>
      </c>
      <c r="D3052" t="s">
        <v>3129</v>
      </c>
      <c r="E3052" t="s">
        <v>3914</v>
      </c>
      <c r="F3052" t="s">
        <v>3907</v>
      </c>
      <c r="G3052" t="s">
        <v>3162</v>
      </c>
      <c r="H3052" t="s">
        <v>458</v>
      </c>
      <c r="I3052" t="s">
        <v>374</v>
      </c>
      <c r="J3052" t="s">
        <v>2053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3158</v>
      </c>
      <c r="B3053" t="s">
        <v>3905</v>
      </c>
      <c r="C3053" t="s">
        <v>609</v>
      </c>
      <c r="D3053" t="s">
        <v>3129</v>
      </c>
      <c r="E3053" t="s">
        <v>3915</v>
      </c>
      <c r="F3053" t="s">
        <v>3907</v>
      </c>
      <c r="G3053" t="s">
        <v>3162</v>
      </c>
      <c r="H3053" t="s">
        <v>458</v>
      </c>
      <c r="I3053" t="s">
        <v>374</v>
      </c>
      <c r="J3053" t="s">
        <v>2053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3158</v>
      </c>
      <c r="B3054" t="s">
        <v>3905</v>
      </c>
      <c r="C3054" t="s">
        <v>609</v>
      </c>
      <c r="D3054" t="s">
        <v>3129</v>
      </c>
      <c r="E3054" t="s">
        <v>3916</v>
      </c>
      <c r="F3054" t="s">
        <v>3907</v>
      </c>
      <c r="G3054" t="s">
        <v>3162</v>
      </c>
      <c r="H3054" t="s">
        <v>458</v>
      </c>
      <c r="I3054" t="s">
        <v>374</v>
      </c>
      <c r="J3054" t="s">
        <v>2053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3158</v>
      </c>
      <c r="B3055" t="s">
        <v>3905</v>
      </c>
      <c r="C3055" t="s">
        <v>609</v>
      </c>
      <c r="D3055" t="s">
        <v>3129</v>
      </c>
      <c r="E3055" t="s">
        <v>3917</v>
      </c>
      <c r="F3055" t="s">
        <v>3907</v>
      </c>
      <c r="G3055" t="s">
        <v>3162</v>
      </c>
      <c r="H3055" t="s">
        <v>458</v>
      </c>
      <c r="I3055" t="s">
        <v>374</v>
      </c>
      <c r="J3055" t="s">
        <v>2053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3158</v>
      </c>
      <c r="B3056" t="s">
        <v>3905</v>
      </c>
      <c r="C3056" t="s">
        <v>609</v>
      </c>
      <c r="D3056" t="s">
        <v>3129</v>
      </c>
      <c r="E3056" t="s">
        <v>267</v>
      </c>
      <c r="F3056" t="s">
        <v>3907</v>
      </c>
      <c r="G3056" t="s">
        <v>3162</v>
      </c>
      <c r="H3056" t="s">
        <v>458</v>
      </c>
      <c r="I3056" t="s">
        <v>374</v>
      </c>
      <c r="J3056" t="s">
        <v>2053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3158</v>
      </c>
      <c r="B3057" t="s">
        <v>3905</v>
      </c>
      <c r="C3057" t="s">
        <v>368</v>
      </c>
      <c r="D3057" t="s">
        <v>3129</v>
      </c>
      <c r="E3057" t="s">
        <v>3918</v>
      </c>
      <c r="F3057" t="s">
        <v>3907</v>
      </c>
      <c r="G3057" t="s">
        <v>3162</v>
      </c>
      <c r="H3057" t="s">
        <v>458</v>
      </c>
      <c r="I3057" t="s">
        <v>374</v>
      </c>
      <c r="J3057" t="s">
        <v>2053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3158</v>
      </c>
      <c r="B3058" t="s">
        <v>3905</v>
      </c>
      <c r="C3058" t="s">
        <v>368</v>
      </c>
      <c r="D3058" t="s">
        <v>3129</v>
      </c>
      <c r="E3058" t="s">
        <v>268</v>
      </c>
      <c r="F3058" t="s">
        <v>3907</v>
      </c>
      <c r="G3058" t="s">
        <v>3162</v>
      </c>
      <c r="H3058" t="s">
        <v>458</v>
      </c>
      <c r="I3058" t="s">
        <v>374</v>
      </c>
      <c r="J3058" t="s">
        <v>2053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3158</v>
      </c>
      <c r="B3059" t="s">
        <v>3751</v>
      </c>
      <c r="C3059" t="s">
        <v>368</v>
      </c>
      <c r="D3059" t="s">
        <v>3129</v>
      </c>
      <c r="E3059" t="s">
        <v>3919</v>
      </c>
      <c r="F3059" t="s">
        <v>3920</v>
      </c>
      <c r="G3059" t="s">
        <v>3162</v>
      </c>
      <c r="H3059" t="s">
        <v>458</v>
      </c>
      <c r="I3059" t="s">
        <v>374</v>
      </c>
      <c r="J3059" t="s">
        <v>386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3158</v>
      </c>
      <c r="B3060" t="s">
        <v>3751</v>
      </c>
      <c r="C3060" t="s">
        <v>368</v>
      </c>
      <c r="D3060" t="s">
        <v>3129</v>
      </c>
      <c r="E3060" t="s">
        <v>3921</v>
      </c>
      <c r="F3060" t="s">
        <v>3920</v>
      </c>
      <c r="G3060" t="s">
        <v>3162</v>
      </c>
      <c r="H3060" t="s">
        <v>458</v>
      </c>
      <c r="I3060" t="s">
        <v>374</v>
      </c>
      <c r="J3060" t="s">
        <v>386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3158</v>
      </c>
      <c r="B3061" t="s">
        <v>3751</v>
      </c>
      <c r="C3061" t="s">
        <v>368</v>
      </c>
      <c r="D3061" t="s">
        <v>3129</v>
      </c>
      <c r="E3061" t="s">
        <v>3922</v>
      </c>
      <c r="F3061" t="s">
        <v>3920</v>
      </c>
      <c r="G3061" t="s">
        <v>3162</v>
      </c>
      <c r="H3061" t="s">
        <v>458</v>
      </c>
      <c r="I3061" t="s">
        <v>374</v>
      </c>
      <c r="J3061" t="s">
        <v>386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3158</v>
      </c>
      <c r="B3062" t="s">
        <v>3751</v>
      </c>
      <c r="C3062" t="s">
        <v>368</v>
      </c>
      <c r="D3062" t="s">
        <v>3129</v>
      </c>
      <c r="E3062" t="s">
        <v>3923</v>
      </c>
      <c r="F3062" t="s">
        <v>3920</v>
      </c>
      <c r="G3062" t="s">
        <v>3162</v>
      </c>
      <c r="H3062" t="s">
        <v>458</v>
      </c>
      <c r="I3062" t="s">
        <v>374</v>
      </c>
      <c r="J3062" t="s">
        <v>386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3158</v>
      </c>
      <c r="B3063" t="s">
        <v>3751</v>
      </c>
      <c r="C3063" t="s">
        <v>368</v>
      </c>
      <c r="D3063" t="s">
        <v>3129</v>
      </c>
      <c r="E3063" t="s">
        <v>3924</v>
      </c>
      <c r="F3063" t="s">
        <v>3920</v>
      </c>
      <c r="G3063" t="s">
        <v>3162</v>
      </c>
      <c r="H3063" t="s">
        <v>458</v>
      </c>
      <c r="I3063" t="s">
        <v>374</v>
      </c>
      <c r="J3063" t="s">
        <v>386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3158</v>
      </c>
      <c r="B3064" t="s">
        <v>3751</v>
      </c>
      <c r="C3064" t="s">
        <v>368</v>
      </c>
      <c r="D3064" t="s">
        <v>3129</v>
      </c>
      <c r="E3064" t="s">
        <v>3925</v>
      </c>
      <c r="F3064" t="s">
        <v>3920</v>
      </c>
      <c r="G3064" t="s">
        <v>3162</v>
      </c>
      <c r="H3064" t="s">
        <v>458</v>
      </c>
      <c r="I3064" t="s">
        <v>374</v>
      </c>
      <c r="J3064" t="s">
        <v>386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3158</v>
      </c>
      <c r="B3065" t="s">
        <v>3751</v>
      </c>
      <c r="C3065" t="s">
        <v>368</v>
      </c>
      <c r="D3065" t="s">
        <v>3129</v>
      </c>
      <c r="E3065" t="s">
        <v>3926</v>
      </c>
      <c r="F3065" t="s">
        <v>3920</v>
      </c>
      <c r="G3065" t="s">
        <v>3162</v>
      </c>
      <c r="H3065" t="s">
        <v>458</v>
      </c>
      <c r="I3065" t="s">
        <v>374</v>
      </c>
      <c r="J3065" t="s">
        <v>386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3158</v>
      </c>
      <c r="B3066" t="s">
        <v>3751</v>
      </c>
      <c r="C3066" t="s">
        <v>368</v>
      </c>
      <c r="D3066" t="s">
        <v>3129</v>
      </c>
      <c r="E3066" t="s">
        <v>3927</v>
      </c>
      <c r="F3066" t="s">
        <v>3920</v>
      </c>
      <c r="G3066" t="s">
        <v>3162</v>
      </c>
      <c r="H3066" t="s">
        <v>458</v>
      </c>
      <c r="I3066" t="s">
        <v>374</v>
      </c>
      <c r="J3066" t="s">
        <v>386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3158</v>
      </c>
      <c r="B3067" t="s">
        <v>3751</v>
      </c>
      <c r="C3067" t="s">
        <v>368</v>
      </c>
      <c r="D3067" t="s">
        <v>3129</v>
      </c>
      <c r="E3067" t="s">
        <v>3928</v>
      </c>
      <c r="F3067" t="s">
        <v>3920</v>
      </c>
      <c r="G3067" t="s">
        <v>3162</v>
      </c>
      <c r="H3067" t="s">
        <v>458</v>
      </c>
      <c r="I3067" t="s">
        <v>374</v>
      </c>
      <c r="J3067" t="s">
        <v>386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3158</v>
      </c>
      <c r="B3068" t="s">
        <v>3751</v>
      </c>
      <c r="C3068" t="s">
        <v>609</v>
      </c>
      <c r="D3068" t="s">
        <v>3129</v>
      </c>
      <c r="E3068" t="s">
        <v>3929</v>
      </c>
      <c r="F3068" t="s">
        <v>3920</v>
      </c>
      <c r="G3068" t="s">
        <v>3162</v>
      </c>
      <c r="H3068" t="s">
        <v>458</v>
      </c>
      <c r="I3068" t="s">
        <v>374</v>
      </c>
      <c r="J3068" t="s">
        <v>386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3158</v>
      </c>
      <c r="B3069" t="s">
        <v>3751</v>
      </c>
      <c r="C3069" t="s">
        <v>609</v>
      </c>
      <c r="D3069" t="s">
        <v>3129</v>
      </c>
      <c r="E3069" t="s">
        <v>3930</v>
      </c>
      <c r="F3069" t="s">
        <v>3920</v>
      </c>
      <c r="G3069" t="s">
        <v>3162</v>
      </c>
      <c r="H3069" t="s">
        <v>458</v>
      </c>
      <c r="I3069" t="s">
        <v>374</v>
      </c>
      <c r="J3069" t="s">
        <v>386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3158</v>
      </c>
      <c r="B3070" t="s">
        <v>3751</v>
      </c>
      <c r="C3070" t="s">
        <v>609</v>
      </c>
      <c r="D3070" t="s">
        <v>3129</v>
      </c>
      <c r="E3070" t="s">
        <v>3931</v>
      </c>
      <c r="F3070" t="s">
        <v>3920</v>
      </c>
      <c r="G3070" t="s">
        <v>3162</v>
      </c>
      <c r="H3070" t="s">
        <v>458</v>
      </c>
      <c r="I3070" t="s">
        <v>374</v>
      </c>
      <c r="J3070" t="s">
        <v>386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3158</v>
      </c>
      <c r="B3071" t="s">
        <v>3751</v>
      </c>
      <c r="C3071" t="s">
        <v>609</v>
      </c>
      <c r="D3071" t="s">
        <v>3129</v>
      </c>
      <c r="E3071" t="s">
        <v>3932</v>
      </c>
      <c r="F3071" t="s">
        <v>3920</v>
      </c>
      <c r="G3071" t="s">
        <v>3162</v>
      </c>
      <c r="H3071" t="s">
        <v>458</v>
      </c>
      <c r="I3071" t="s">
        <v>374</v>
      </c>
      <c r="J3071" t="s">
        <v>386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3158</v>
      </c>
      <c r="B3072" t="s">
        <v>3751</v>
      </c>
      <c r="C3072" t="s">
        <v>368</v>
      </c>
      <c r="D3072" t="s">
        <v>3129</v>
      </c>
      <c r="E3072" t="s">
        <v>3933</v>
      </c>
      <c r="F3072" t="s">
        <v>3920</v>
      </c>
      <c r="G3072" t="s">
        <v>3162</v>
      </c>
      <c r="H3072" t="s">
        <v>458</v>
      </c>
      <c r="I3072" t="s">
        <v>374</v>
      </c>
      <c r="J3072" t="s">
        <v>386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3158</v>
      </c>
      <c r="B3073" t="s">
        <v>3751</v>
      </c>
      <c r="C3073" t="s">
        <v>368</v>
      </c>
      <c r="D3073" t="s">
        <v>3129</v>
      </c>
      <c r="E3073" t="s">
        <v>3934</v>
      </c>
      <c r="F3073" t="s">
        <v>3920</v>
      </c>
      <c r="G3073" t="s">
        <v>3162</v>
      </c>
      <c r="H3073" t="s">
        <v>458</v>
      </c>
      <c r="I3073" t="s">
        <v>374</v>
      </c>
      <c r="J3073" t="s">
        <v>386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3158</v>
      </c>
      <c r="B3074" t="s">
        <v>3165</v>
      </c>
      <c r="C3074" t="s">
        <v>368</v>
      </c>
      <c r="D3074" t="s">
        <v>3129</v>
      </c>
      <c r="E3074" t="s">
        <v>3935</v>
      </c>
      <c r="F3074" t="s">
        <v>3936</v>
      </c>
      <c r="G3074" t="s">
        <v>3162</v>
      </c>
      <c r="H3074" t="s">
        <v>3723</v>
      </c>
      <c r="I3074" t="s">
        <v>3937</v>
      </c>
      <c r="J3074" t="s">
        <v>429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3158</v>
      </c>
      <c r="B3075" t="s">
        <v>3165</v>
      </c>
      <c r="C3075" t="s">
        <v>368</v>
      </c>
      <c r="D3075" t="s">
        <v>3129</v>
      </c>
      <c r="E3075" t="s">
        <v>3938</v>
      </c>
      <c r="F3075" t="s">
        <v>3936</v>
      </c>
      <c r="G3075" t="s">
        <v>3162</v>
      </c>
      <c r="H3075" t="s">
        <v>3723</v>
      </c>
      <c r="I3075" t="s">
        <v>3937</v>
      </c>
      <c r="J3075" t="s">
        <v>429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3158</v>
      </c>
      <c r="B3076" t="s">
        <v>3165</v>
      </c>
      <c r="C3076" t="s">
        <v>368</v>
      </c>
      <c r="D3076" t="s">
        <v>3129</v>
      </c>
      <c r="E3076" t="s">
        <v>3939</v>
      </c>
      <c r="F3076" t="s">
        <v>3936</v>
      </c>
      <c r="G3076" t="s">
        <v>3162</v>
      </c>
      <c r="H3076" t="s">
        <v>3723</v>
      </c>
      <c r="I3076" t="s">
        <v>3937</v>
      </c>
      <c r="J3076" t="s">
        <v>429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3158</v>
      </c>
      <c r="B3077" t="s">
        <v>3165</v>
      </c>
      <c r="C3077" t="s">
        <v>368</v>
      </c>
      <c r="D3077" t="s">
        <v>3129</v>
      </c>
      <c r="E3077" t="s">
        <v>3940</v>
      </c>
      <c r="F3077" t="s">
        <v>3936</v>
      </c>
      <c r="G3077" t="s">
        <v>3162</v>
      </c>
      <c r="H3077" t="s">
        <v>3723</v>
      </c>
      <c r="I3077" t="s">
        <v>3937</v>
      </c>
      <c r="J3077" t="s">
        <v>429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3158</v>
      </c>
      <c r="B3078" t="s">
        <v>3165</v>
      </c>
      <c r="C3078" t="s">
        <v>368</v>
      </c>
      <c r="D3078" t="s">
        <v>3129</v>
      </c>
      <c r="E3078" t="s">
        <v>3941</v>
      </c>
      <c r="F3078" t="s">
        <v>3936</v>
      </c>
      <c r="G3078" t="s">
        <v>3162</v>
      </c>
      <c r="H3078" t="s">
        <v>3723</v>
      </c>
      <c r="I3078" t="s">
        <v>3937</v>
      </c>
      <c r="J3078" t="s">
        <v>429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3158</v>
      </c>
      <c r="B3079" t="s">
        <v>3165</v>
      </c>
      <c r="C3079" t="s">
        <v>368</v>
      </c>
      <c r="D3079" t="s">
        <v>3129</v>
      </c>
      <c r="E3079" t="s">
        <v>3942</v>
      </c>
      <c r="F3079" t="s">
        <v>3936</v>
      </c>
      <c r="G3079" t="s">
        <v>3162</v>
      </c>
      <c r="H3079" t="s">
        <v>3723</v>
      </c>
      <c r="I3079" t="s">
        <v>3937</v>
      </c>
      <c r="J3079" t="s">
        <v>429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3158</v>
      </c>
      <c r="B3080" t="s">
        <v>3165</v>
      </c>
      <c r="C3080" t="s">
        <v>368</v>
      </c>
      <c r="D3080" t="s">
        <v>3129</v>
      </c>
      <c r="E3080" t="s">
        <v>3943</v>
      </c>
      <c r="F3080" t="s">
        <v>3936</v>
      </c>
      <c r="G3080" t="s">
        <v>3162</v>
      </c>
      <c r="H3080" t="s">
        <v>3723</v>
      </c>
      <c r="I3080" t="s">
        <v>3937</v>
      </c>
      <c r="J3080" t="s">
        <v>429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3158</v>
      </c>
      <c r="B3081" t="s">
        <v>3165</v>
      </c>
      <c r="C3081" t="s">
        <v>368</v>
      </c>
      <c r="D3081" t="s">
        <v>3129</v>
      </c>
      <c r="E3081" t="s">
        <v>3944</v>
      </c>
      <c r="F3081" t="s">
        <v>3936</v>
      </c>
      <c r="G3081" t="s">
        <v>3162</v>
      </c>
      <c r="H3081" t="s">
        <v>3723</v>
      </c>
      <c r="I3081" t="s">
        <v>3937</v>
      </c>
      <c r="J3081" t="s">
        <v>429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3158</v>
      </c>
      <c r="B3082" t="s">
        <v>3165</v>
      </c>
      <c r="C3082" t="s">
        <v>368</v>
      </c>
      <c r="D3082" t="s">
        <v>3129</v>
      </c>
      <c r="E3082" t="s">
        <v>3945</v>
      </c>
      <c r="F3082" t="s">
        <v>3936</v>
      </c>
      <c r="G3082" t="s">
        <v>3162</v>
      </c>
      <c r="H3082" t="s">
        <v>3723</v>
      </c>
      <c r="I3082" t="s">
        <v>3937</v>
      </c>
      <c r="J3082" t="s">
        <v>429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3158</v>
      </c>
      <c r="B3083" t="s">
        <v>3165</v>
      </c>
      <c r="C3083" t="s">
        <v>609</v>
      </c>
      <c r="D3083" t="s">
        <v>3129</v>
      </c>
      <c r="E3083" t="s">
        <v>3946</v>
      </c>
      <c r="F3083" t="s">
        <v>3936</v>
      </c>
      <c r="G3083" t="s">
        <v>3162</v>
      </c>
      <c r="H3083" t="s">
        <v>3723</v>
      </c>
      <c r="I3083" t="s">
        <v>3937</v>
      </c>
      <c r="J3083" t="s">
        <v>429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3158</v>
      </c>
      <c r="B3084" t="s">
        <v>3165</v>
      </c>
      <c r="C3084" t="s">
        <v>609</v>
      </c>
      <c r="D3084" t="s">
        <v>3129</v>
      </c>
      <c r="E3084" t="s">
        <v>3947</v>
      </c>
      <c r="F3084" t="s">
        <v>3936</v>
      </c>
      <c r="G3084" t="s">
        <v>3162</v>
      </c>
      <c r="H3084" t="s">
        <v>3723</v>
      </c>
      <c r="I3084" t="s">
        <v>3937</v>
      </c>
      <c r="J3084" t="s">
        <v>429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3158</v>
      </c>
      <c r="B3085" t="s">
        <v>3165</v>
      </c>
      <c r="C3085" t="s">
        <v>609</v>
      </c>
      <c r="D3085" t="s">
        <v>3129</v>
      </c>
      <c r="E3085" t="s">
        <v>3948</v>
      </c>
      <c r="F3085" t="s">
        <v>3936</v>
      </c>
      <c r="G3085" t="s">
        <v>3162</v>
      </c>
      <c r="H3085" t="s">
        <v>3723</v>
      </c>
      <c r="I3085" t="s">
        <v>3937</v>
      </c>
      <c r="J3085" t="s">
        <v>429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3158</v>
      </c>
      <c r="B3086" t="s">
        <v>3165</v>
      </c>
      <c r="C3086" t="s">
        <v>609</v>
      </c>
      <c r="D3086" t="s">
        <v>3129</v>
      </c>
      <c r="E3086" t="s">
        <v>3949</v>
      </c>
      <c r="F3086" t="s">
        <v>3936</v>
      </c>
      <c r="G3086" t="s">
        <v>3162</v>
      </c>
      <c r="H3086" t="s">
        <v>3723</v>
      </c>
      <c r="I3086" t="s">
        <v>3937</v>
      </c>
      <c r="J3086" t="s">
        <v>429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3158</v>
      </c>
      <c r="B3087" t="s">
        <v>3165</v>
      </c>
      <c r="C3087" t="s">
        <v>368</v>
      </c>
      <c r="D3087" t="s">
        <v>3129</v>
      </c>
      <c r="E3087" t="s">
        <v>3950</v>
      </c>
      <c r="F3087" t="s">
        <v>3936</v>
      </c>
      <c r="G3087" t="s">
        <v>3162</v>
      </c>
      <c r="H3087" t="s">
        <v>3723</v>
      </c>
      <c r="I3087" t="s">
        <v>3937</v>
      </c>
      <c r="J3087" t="s">
        <v>429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3158</v>
      </c>
      <c r="B3088" t="s">
        <v>3165</v>
      </c>
      <c r="C3088" t="s">
        <v>368</v>
      </c>
      <c r="D3088" t="s">
        <v>3129</v>
      </c>
      <c r="E3088" t="s">
        <v>3951</v>
      </c>
      <c r="F3088" t="s">
        <v>3936</v>
      </c>
      <c r="G3088" t="s">
        <v>3162</v>
      </c>
      <c r="H3088" t="s">
        <v>3723</v>
      </c>
      <c r="I3088" t="s">
        <v>3937</v>
      </c>
      <c r="J3088" t="s">
        <v>429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3158</v>
      </c>
      <c r="B3089" t="s">
        <v>3165</v>
      </c>
      <c r="C3089" t="s">
        <v>368</v>
      </c>
      <c r="D3089" t="s">
        <v>3129</v>
      </c>
      <c r="E3089" t="s">
        <v>3952</v>
      </c>
      <c r="F3089" t="s">
        <v>3953</v>
      </c>
      <c r="G3089" t="s">
        <v>3162</v>
      </c>
      <c r="H3089" t="s">
        <v>3723</v>
      </c>
      <c r="I3089" t="s">
        <v>3954</v>
      </c>
      <c r="J3089" t="s">
        <v>429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3158</v>
      </c>
      <c r="B3090" t="s">
        <v>3165</v>
      </c>
      <c r="C3090" t="s">
        <v>368</v>
      </c>
      <c r="D3090" t="s">
        <v>3129</v>
      </c>
      <c r="E3090" t="s">
        <v>3955</v>
      </c>
      <c r="F3090" t="s">
        <v>3953</v>
      </c>
      <c r="G3090" t="s">
        <v>3162</v>
      </c>
      <c r="H3090" t="s">
        <v>3723</v>
      </c>
      <c r="I3090" t="s">
        <v>3954</v>
      </c>
      <c r="J3090" t="s">
        <v>429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3158</v>
      </c>
      <c r="B3091" t="s">
        <v>3165</v>
      </c>
      <c r="C3091" t="s">
        <v>368</v>
      </c>
      <c r="D3091" t="s">
        <v>3129</v>
      </c>
      <c r="E3091" t="s">
        <v>3956</v>
      </c>
      <c r="F3091" t="s">
        <v>3953</v>
      </c>
      <c r="G3091" t="s">
        <v>3162</v>
      </c>
      <c r="H3091" t="s">
        <v>3723</v>
      </c>
      <c r="I3091" t="s">
        <v>3954</v>
      </c>
      <c r="J3091" t="s">
        <v>429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3158</v>
      </c>
      <c r="B3092" t="s">
        <v>3165</v>
      </c>
      <c r="C3092" t="s">
        <v>368</v>
      </c>
      <c r="D3092" t="s">
        <v>3129</v>
      </c>
      <c r="E3092" t="s">
        <v>3957</v>
      </c>
      <c r="F3092" t="s">
        <v>3953</v>
      </c>
      <c r="G3092" t="s">
        <v>3162</v>
      </c>
      <c r="H3092" t="s">
        <v>3723</v>
      </c>
      <c r="I3092" t="s">
        <v>3954</v>
      </c>
      <c r="J3092" t="s">
        <v>429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3158</v>
      </c>
      <c r="B3093" t="s">
        <v>3165</v>
      </c>
      <c r="C3093" t="s">
        <v>368</v>
      </c>
      <c r="D3093" t="s">
        <v>3129</v>
      </c>
      <c r="E3093" t="s">
        <v>3958</v>
      </c>
      <c r="F3093" t="s">
        <v>3953</v>
      </c>
      <c r="G3093" t="s">
        <v>3162</v>
      </c>
      <c r="H3093" t="s">
        <v>3723</v>
      </c>
      <c r="I3093" t="s">
        <v>3954</v>
      </c>
      <c r="J3093" t="s">
        <v>429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3158</v>
      </c>
      <c r="B3094" t="s">
        <v>3165</v>
      </c>
      <c r="C3094" t="s">
        <v>368</v>
      </c>
      <c r="D3094" t="s">
        <v>3129</v>
      </c>
      <c r="E3094" t="s">
        <v>3959</v>
      </c>
      <c r="F3094" t="s">
        <v>3953</v>
      </c>
      <c r="G3094" t="s">
        <v>3162</v>
      </c>
      <c r="H3094" t="s">
        <v>3723</v>
      </c>
      <c r="I3094" t="s">
        <v>3954</v>
      </c>
      <c r="J3094" t="s">
        <v>429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3158</v>
      </c>
      <c r="B3095" t="s">
        <v>3165</v>
      </c>
      <c r="C3095" t="s">
        <v>368</v>
      </c>
      <c r="D3095" t="s">
        <v>3129</v>
      </c>
      <c r="E3095" t="s">
        <v>3960</v>
      </c>
      <c r="F3095" t="s">
        <v>3953</v>
      </c>
      <c r="G3095" t="s">
        <v>3162</v>
      </c>
      <c r="H3095" t="s">
        <v>3723</v>
      </c>
      <c r="I3095" t="s">
        <v>3954</v>
      </c>
      <c r="J3095" t="s">
        <v>429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3158</v>
      </c>
      <c r="B3096" t="s">
        <v>3165</v>
      </c>
      <c r="C3096" t="s">
        <v>368</v>
      </c>
      <c r="D3096" t="s">
        <v>3129</v>
      </c>
      <c r="E3096" t="s">
        <v>3961</v>
      </c>
      <c r="F3096" t="s">
        <v>3953</v>
      </c>
      <c r="G3096" t="s">
        <v>3162</v>
      </c>
      <c r="H3096" t="s">
        <v>3723</v>
      </c>
      <c r="I3096" t="s">
        <v>3954</v>
      </c>
      <c r="J3096" t="s">
        <v>429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3158</v>
      </c>
      <c r="B3097" t="s">
        <v>3165</v>
      </c>
      <c r="C3097" t="s">
        <v>368</v>
      </c>
      <c r="D3097" t="s">
        <v>3129</v>
      </c>
      <c r="E3097" t="s">
        <v>3962</v>
      </c>
      <c r="F3097" t="s">
        <v>3953</v>
      </c>
      <c r="G3097" t="s">
        <v>3162</v>
      </c>
      <c r="H3097" t="s">
        <v>3723</v>
      </c>
      <c r="I3097" t="s">
        <v>3954</v>
      </c>
      <c r="J3097" t="s">
        <v>429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3158</v>
      </c>
      <c r="B3098" t="s">
        <v>3165</v>
      </c>
      <c r="C3098" t="s">
        <v>609</v>
      </c>
      <c r="D3098" t="s">
        <v>3129</v>
      </c>
      <c r="E3098" t="s">
        <v>3963</v>
      </c>
      <c r="F3098" t="s">
        <v>3953</v>
      </c>
      <c r="G3098" t="s">
        <v>3162</v>
      </c>
      <c r="H3098" t="s">
        <v>3723</v>
      </c>
      <c r="I3098" t="s">
        <v>3954</v>
      </c>
      <c r="J3098" t="s">
        <v>429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3158</v>
      </c>
      <c r="B3099" t="s">
        <v>3165</v>
      </c>
      <c r="C3099" t="s">
        <v>609</v>
      </c>
      <c r="D3099" t="s">
        <v>3129</v>
      </c>
      <c r="E3099" t="s">
        <v>3964</v>
      </c>
      <c r="F3099" t="s">
        <v>3953</v>
      </c>
      <c r="G3099" t="s">
        <v>3162</v>
      </c>
      <c r="H3099" t="s">
        <v>3723</v>
      </c>
      <c r="I3099" t="s">
        <v>3954</v>
      </c>
      <c r="J3099" t="s">
        <v>429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3158</v>
      </c>
      <c r="B3100" t="s">
        <v>3165</v>
      </c>
      <c r="C3100" t="s">
        <v>609</v>
      </c>
      <c r="D3100" t="s">
        <v>3129</v>
      </c>
      <c r="E3100" t="s">
        <v>3965</v>
      </c>
      <c r="F3100" t="s">
        <v>3953</v>
      </c>
      <c r="G3100" t="s">
        <v>3162</v>
      </c>
      <c r="H3100" t="s">
        <v>3723</v>
      </c>
      <c r="I3100" t="s">
        <v>3954</v>
      </c>
      <c r="J3100" t="s">
        <v>429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3158</v>
      </c>
      <c r="B3101" t="s">
        <v>3165</v>
      </c>
      <c r="C3101" t="s">
        <v>609</v>
      </c>
      <c r="D3101" t="s">
        <v>3129</v>
      </c>
      <c r="E3101" t="s">
        <v>3966</v>
      </c>
      <c r="F3101" t="s">
        <v>3953</v>
      </c>
      <c r="G3101" t="s">
        <v>3162</v>
      </c>
      <c r="H3101" t="s">
        <v>3723</v>
      </c>
      <c r="I3101" t="s">
        <v>3954</v>
      </c>
      <c r="J3101" t="s">
        <v>429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3158</v>
      </c>
      <c r="B3102" t="s">
        <v>3165</v>
      </c>
      <c r="C3102" t="s">
        <v>368</v>
      </c>
      <c r="D3102" t="s">
        <v>3129</v>
      </c>
      <c r="E3102" t="s">
        <v>3967</v>
      </c>
      <c r="F3102" t="s">
        <v>3953</v>
      </c>
      <c r="G3102" t="s">
        <v>3162</v>
      </c>
      <c r="H3102" t="s">
        <v>3723</v>
      </c>
      <c r="I3102" t="s">
        <v>3954</v>
      </c>
      <c r="J3102" t="s">
        <v>429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3158</v>
      </c>
      <c r="B3103" t="s">
        <v>3165</v>
      </c>
      <c r="C3103" t="s">
        <v>368</v>
      </c>
      <c r="D3103" t="s">
        <v>3129</v>
      </c>
      <c r="E3103" t="s">
        <v>3968</v>
      </c>
      <c r="F3103" t="s">
        <v>3953</v>
      </c>
      <c r="G3103" t="s">
        <v>3162</v>
      </c>
      <c r="H3103" t="s">
        <v>3723</v>
      </c>
      <c r="I3103" t="s">
        <v>3954</v>
      </c>
      <c r="J3103" t="s">
        <v>429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3158</v>
      </c>
      <c r="B3104" t="s">
        <v>3165</v>
      </c>
      <c r="C3104" t="s">
        <v>368</v>
      </c>
      <c r="D3104" t="s">
        <v>3129</v>
      </c>
      <c r="E3104" t="s">
        <v>3969</v>
      </c>
      <c r="F3104" t="s">
        <v>3970</v>
      </c>
      <c r="G3104" t="s">
        <v>3162</v>
      </c>
      <c r="H3104" t="s">
        <v>3723</v>
      </c>
      <c r="I3104" t="s">
        <v>3971</v>
      </c>
      <c r="J3104" t="s">
        <v>429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3158</v>
      </c>
      <c r="B3105" t="s">
        <v>3165</v>
      </c>
      <c r="C3105" t="s">
        <v>368</v>
      </c>
      <c r="D3105" t="s">
        <v>3129</v>
      </c>
      <c r="E3105" t="s">
        <v>3972</v>
      </c>
      <c r="F3105" t="s">
        <v>3970</v>
      </c>
      <c r="G3105" t="s">
        <v>3162</v>
      </c>
      <c r="H3105" t="s">
        <v>3723</v>
      </c>
      <c r="I3105" t="s">
        <v>3971</v>
      </c>
      <c r="J3105" t="s">
        <v>429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3158</v>
      </c>
      <c r="B3106" t="s">
        <v>3165</v>
      </c>
      <c r="C3106" t="s">
        <v>368</v>
      </c>
      <c r="D3106" t="s">
        <v>3129</v>
      </c>
      <c r="E3106" t="s">
        <v>3973</v>
      </c>
      <c r="F3106" t="s">
        <v>3970</v>
      </c>
      <c r="G3106" t="s">
        <v>3162</v>
      </c>
      <c r="H3106" t="s">
        <v>3723</v>
      </c>
      <c r="I3106" t="s">
        <v>3971</v>
      </c>
      <c r="J3106" t="s">
        <v>429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3158</v>
      </c>
      <c r="B3107" t="s">
        <v>3165</v>
      </c>
      <c r="C3107" t="s">
        <v>368</v>
      </c>
      <c r="D3107" t="s">
        <v>3129</v>
      </c>
      <c r="E3107" t="s">
        <v>3974</v>
      </c>
      <c r="F3107" t="s">
        <v>3970</v>
      </c>
      <c r="G3107" t="s">
        <v>3162</v>
      </c>
      <c r="H3107" t="s">
        <v>3723</v>
      </c>
      <c r="I3107" t="s">
        <v>3971</v>
      </c>
      <c r="J3107" t="s">
        <v>429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3158</v>
      </c>
      <c r="B3108" t="s">
        <v>3165</v>
      </c>
      <c r="C3108" t="s">
        <v>368</v>
      </c>
      <c r="D3108" t="s">
        <v>3129</v>
      </c>
      <c r="E3108" t="s">
        <v>241</v>
      </c>
      <c r="F3108" t="s">
        <v>3970</v>
      </c>
      <c r="G3108" t="s">
        <v>3162</v>
      </c>
      <c r="H3108" t="s">
        <v>3723</v>
      </c>
      <c r="I3108" t="s">
        <v>3971</v>
      </c>
      <c r="J3108" t="s">
        <v>429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3158</v>
      </c>
      <c r="B3109" t="s">
        <v>3165</v>
      </c>
      <c r="C3109" t="s">
        <v>368</v>
      </c>
      <c r="D3109" t="s">
        <v>3129</v>
      </c>
      <c r="E3109" t="s">
        <v>3975</v>
      </c>
      <c r="F3109" t="s">
        <v>3970</v>
      </c>
      <c r="G3109" t="s">
        <v>3162</v>
      </c>
      <c r="H3109" t="s">
        <v>3723</v>
      </c>
      <c r="I3109" t="s">
        <v>3971</v>
      </c>
      <c r="J3109" t="s">
        <v>429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3158</v>
      </c>
      <c r="B3110" t="s">
        <v>3165</v>
      </c>
      <c r="C3110" t="s">
        <v>368</v>
      </c>
      <c r="D3110" t="s">
        <v>3129</v>
      </c>
      <c r="E3110" t="s">
        <v>3976</v>
      </c>
      <c r="F3110" t="s">
        <v>3970</v>
      </c>
      <c r="G3110" t="s">
        <v>3162</v>
      </c>
      <c r="H3110" t="s">
        <v>3723</v>
      </c>
      <c r="I3110" t="s">
        <v>3971</v>
      </c>
      <c r="J3110" t="s">
        <v>429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3158</v>
      </c>
      <c r="B3111" t="s">
        <v>3165</v>
      </c>
      <c r="C3111" t="s">
        <v>368</v>
      </c>
      <c r="D3111" t="s">
        <v>3129</v>
      </c>
      <c r="E3111" t="s">
        <v>3977</v>
      </c>
      <c r="F3111" t="s">
        <v>3970</v>
      </c>
      <c r="G3111" t="s">
        <v>3162</v>
      </c>
      <c r="H3111" t="s">
        <v>3723</v>
      </c>
      <c r="I3111" t="s">
        <v>3971</v>
      </c>
      <c r="J3111" t="s">
        <v>429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3158</v>
      </c>
      <c r="B3112" t="s">
        <v>3165</v>
      </c>
      <c r="C3112" t="s">
        <v>368</v>
      </c>
      <c r="D3112" t="s">
        <v>3129</v>
      </c>
      <c r="E3112" t="s">
        <v>3978</v>
      </c>
      <c r="F3112" t="s">
        <v>3970</v>
      </c>
      <c r="G3112" t="s">
        <v>3162</v>
      </c>
      <c r="H3112" t="s">
        <v>3723</v>
      </c>
      <c r="I3112" t="s">
        <v>3971</v>
      </c>
      <c r="J3112" t="s">
        <v>429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3158</v>
      </c>
      <c r="B3113" t="s">
        <v>3165</v>
      </c>
      <c r="C3113" t="s">
        <v>609</v>
      </c>
      <c r="D3113" t="s">
        <v>3129</v>
      </c>
      <c r="E3113" t="s">
        <v>3979</v>
      </c>
      <c r="F3113" t="s">
        <v>3970</v>
      </c>
      <c r="G3113" t="s">
        <v>3162</v>
      </c>
      <c r="H3113" t="s">
        <v>3723</v>
      </c>
      <c r="I3113" t="s">
        <v>3971</v>
      </c>
      <c r="J3113" t="s">
        <v>429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3158</v>
      </c>
      <c r="B3114" t="s">
        <v>3165</v>
      </c>
      <c r="C3114" t="s">
        <v>609</v>
      </c>
      <c r="D3114" t="s">
        <v>3129</v>
      </c>
      <c r="E3114" t="s">
        <v>3980</v>
      </c>
      <c r="F3114" t="s">
        <v>3970</v>
      </c>
      <c r="G3114" t="s">
        <v>3162</v>
      </c>
      <c r="H3114" t="s">
        <v>3723</v>
      </c>
      <c r="I3114" t="s">
        <v>3971</v>
      </c>
      <c r="J3114" t="s">
        <v>429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3158</v>
      </c>
      <c r="B3115" t="s">
        <v>3165</v>
      </c>
      <c r="C3115" t="s">
        <v>609</v>
      </c>
      <c r="D3115" t="s">
        <v>3129</v>
      </c>
      <c r="E3115" t="s">
        <v>3981</v>
      </c>
      <c r="F3115" t="s">
        <v>3970</v>
      </c>
      <c r="G3115" t="s">
        <v>3162</v>
      </c>
      <c r="H3115" t="s">
        <v>3723</v>
      </c>
      <c r="I3115" t="s">
        <v>3971</v>
      </c>
      <c r="J3115" t="s">
        <v>429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3158</v>
      </c>
      <c r="B3116" t="s">
        <v>3165</v>
      </c>
      <c r="C3116" t="s">
        <v>609</v>
      </c>
      <c r="D3116" t="s">
        <v>3129</v>
      </c>
      <c r="E3116" t="s">
        <v>3982</v>
      </c>
      <c r="F3116" t="s">
        <v>3970</v>
      </c>
      <c r="G3116" t="s">
        <v>3162</v>
      </c>
      <c r="H3116" t="s">
        <v>3723</v>
      </c>
      <c r="I3116" t="s">
        <v>3971</v>
      </c>
      <c r="J3116" t="s">
        <v>429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3158</v>
      </c>
      <c r="B3117" t="s">
        <v>3165</v>
      </c>
      <c r="C3117" t="s">
        <v>368</v>
      </c>
      <c r="D3117" t="s">
        <v>3129</v>
      </c>
      <c r="E3117" t="s">
        <v>242</v>
      </c>
      <c r="F3117" t="s">
        <v>3970</v>
      </c>
      <c r="G3117" t="s">
        <v>3162</v>
      </c>
      <c r="H3117" t="s">
        <v>3723</v>
      </c>
      <c r="I3117" t="s">
        <v>3971</v>
      </c>
      <c r="J3117" t="s">
        <v>429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3158</v>
      </c>
      <c r="B3118" t="s">
        <v>3165</v>
      </c>
      <c r="C3118" t="s">
        <v>368</v>
      </c>
      <c r="D3118" t="s">
        <v>3129</v>
      </c>
      <c r="E3118" t="s">
        <v>3983</v>
      </c>
      <c r="F3118" t="s">
        <v>3970</v>
      </c>
      <c r="G3118" t="s">
        <v>3162</v>
      </c>
      <c r="H3118" t="s">
        <v>3723</v>
      </c>
      <c r="I3118" t="s">
        <v>3971</v>
      </c>
      <c r="J3118" t="s">
        <v>429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3158</v>
      </c>
      <c r="B3119" t="s">
        <v>3165</v>
      </c>
      <c r="C3119" t="s">
        <v>368</v>
      </c>
      <c r="D3119" t="s">
        <v>3129</v>
      </c>
      <c r="E3119" t="s">
        <v>67</v>
      </c>
      <c r="F3119" t="s">
        <v>3984</v>
      </c>
      <c r="G3119" t="s">
        <v>3162</v>
      </c>
      <c r="H3119" t="s">
        <v>3723</v>
      </c>
      <c r="I3119" t="s">
        <v>374</v>
      </c>
      <c r="J3119" t="s">
        <v>429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3158</v>
      </c>
      <c r="B3120" t="s">
        <v>3165</v>
      </c>
      <c r="C3120" t="s">
        <v>368</v>
      </c>
      <c r="D3120" t="s">
        <v>3129</v>
      </c>
      <c r="E3120" t="s">
        <v>68</v>
      </c>
      <c r="F3120" t="s">
        <v>3984</v>
      </c>
      <c r="G3120" t="s">
        <v>3162</v>
      </c>
      <c r="H3120" t="s">
        <v>3723</v>
      </c>
      <c r="I3120" t="s">
        <v>374</v>
      </c>
      <c r="J3120" t="s">
        <v>429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3158</v>
      </c>
      <c r="B3121" t="s">
        <v>3165</v>
      </c>
      <c r="C3121" t="s">
        <v>368</v>
      </c>
      <c r="D3121" t="s">
        <v>3129</v>
      </c>
      <c r="E3121" t="s">
        <v>150</v>
      </c>
      <c r="F3121" t="s">
        <v>3984</v>
      </c>
      <c r="G3121" t="s">
        <v>3162</v>
      </c>
      <c r="H3121" t="s">
        <v>3723</v>
      </c>
      <c r="I3121" t="s">
        <v>374</v>
      </c>
      <c r="J3121" t="s">
        <v>429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3158</v>
      </c>
      <c r="B3122" t="s">
        <v>3165</v>
      </c>
      <c r="C3122" t="s">
        <v>368</v>
      </c>
      <c r="D3122" t="s">
        <v>3129</v>
      </c>
      <c r="E3122" t="s">
        <v>163</v>
      </c>
      <c r="F3122" t="s">
        <v>3984</v>
      </c>
      <c r="G3122" t="s">
        <v>3162</v>
      </c>
      <c r="H3122" t="s">
        <v>3723</v>
      </c>
      <c r="I3122" t="s">
        <v>374</v>
      </c>
      <c r="J3122" t="s">
        <v>429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3158</v>
      </c>
      <c r="B3123" t="s">
        <v>3165</v>
      </c>
      <c r="C3123" t="s">
        <v>368</v>
      </c>
      <c r="D3123" t="s">
        <v>3129</v>
      </c>
      <c r="E3123" t="s">
        <v>9</v>
      </c>
      <c r="F3123" t="s">
        <v>3984</v>
      </c>
      <c r="G3123" t="s">
        <v>3162</v>
      </c>
      <c r="H3123" t="s">
        <v>3723</v>
      </c>
      <c r="I3123" t="s">
        <v>374</v>
      </c>
      <c r="J3123" t="s">
        <v>429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3158</v>
      </c>
      <c r="B3124" t="s">
        <v>3165</v>
      </c>
      <c r="C3124" t="s">
        <v>368</v>
      </c>
      <c r="D3124" t="s">
        <v>3129</v>
      </c>
      <c r="E3124" t="s">
        <v>226</v>
      </c>
      <c r="F3124" t="s">
        <v>3984</v>
      </c>
      <c r="G3124" t="s">
        <v>3162</v>
      </c>
      <c r="H3124" t="s">
        <v>3723</v>
      </c>
      <c r="I3124" t="s">
        <v>374</v>
      </c>
      <c r="J3124" t="s">
        <v>429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3158</v>
      </c>
      <c r="B3125" t="s">
        <v>3165</v>
      </c>
      <c r="C3125" t="s">
        <v>368</v>
      </c>
      <c r="D3125" t="s">
        <v>3129</v>
      </c>
      <c r="E3125" t="s">
        <v>24</v>
      </c>
      <c r="F3125" t="s">
        <v>3984</v>
      </c>
      <c r="G3125" t="s">
        <v>3162</v>
      </c>
      <c r="H3125" t="s">
        <v>3723</v>
      </c>
      <c r="I3125" t="s">
        <v>374</v>
      </c>
      <c r="J3125" t="s">
        <v>429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3158</v>
      </c>
      <c r="B3126" t="s">
        <v>3165</v>
      </c>
      <c r="C3126" t="s">
        <v>368</v>
      </c>
      <c r="D3126" t="s">
        <v>3129</v>
      </c>
      <c r="E3126" t="s">
        <v>3985</v>
      </c>
      <c r="F3126" t="s">
        <v>3984</v>
      </c>
      <c r="G3126" t="s">
        <v>3162</v>
      </c>
      <c r="H3126" t="s">
        <v>3723</v>
      </c>
      <c r="I3126" t="s">
        <v>374</v>
      </c>
      <c r="J3126" t="s">
        <v>429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3158</v>
      </c>
      <c r="B3127" t="s">
        <v>3165</v>
      </c>
      <c r="C3127" t="s">
        <v>368</v>
      </c>
      <c r="D3127" t="s">
        <v>3129</v>
      </c>
      <c r="E3127" t="s">
        <v>3986</v>
      </c>
      <c r="F3127" t="s">
        <v>3984</v>
      </c>
      <c r="G3127" t="s">
        <v>3162</v>
      </c>
      <c r="H3127" t="s">
        <v>3723</v>
      </c>
      <c r="I3127" t="s">
        <v>374</v>
      </c>
      <c r="J3127" t="s">
        <v>429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3158</v>
      </c>
      <c r="B3128" t="s">
        <v>3165</v>
      </c>
      <c r="C3128" t="s">
        <v>609</v>
      </c>
      <c r="D3128" t="s">
        <v>3129</v>
      </c>
      <c r="E3128" t="s">
        <v>120</v>
      </c>
      <c r="F3128" t="s">
        <v>3984</v>
      </c>
      <c r="G3128" t="s">
        <v>3162</v>
      </c>
      <c r="H3128" t="s">
        <v>3723</v>
      </c>
      <c r="I3128" t="s">
        <v>374</v>
      </c>
      <c r="J3128" t="s">
        <v>429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3158</v>
      </c>
      <c r="B3129" t="s">
        <v>3165</v>
      </c>
      <c r="C3129" t="s">
        <v>609</v>
      </c>
      <c r="D3129" t="s">
        <v>3129</v>
      </c>
      <c r="E3129" t="s">
        <v>204</v>
      </c>
      <c r="F3129" t="s">
        <v>3984</v>
      </c>
      <c r="G3129" t="s">
        <v>3162</v>
      </c>
      <c r="H3129" t="s">
        <v>3723</v>
      </c>
      <c r="I3129" t="s">
        <v>374</v>
      </c>
      <c r="J3129" t="s">
        <v>429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3158</v>
      </c>
      <c r="B3130" t="s">
        <v>3165</v>
      </c>
      <c r="C3130" t="s">
        <v>609</v>
      </c>
      <c r="D3130" t="s">
        <v>3129</v>
      </c>
      <c r="E3130" t="s">
        <v>121</v>
      </c>
      <c r="F3130" t="s">
        <v>3984</v>
      </c>
      <c r="G3130" t="s">
        <v>3162</v>
      </c>
      <c r="H3130" t="s">
        <v>3723</v>
      </c>
      <c r="I3130" t="s">
        <v>374</v>
      </c>
      <c r="J3130" t="s">
        <v>429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3158</v>
      </c>
      <c r="B3131" t="s">
        <v>3165</v>
      </c>
      <c r="C3131" t="s">
        <v>609</v>
      </c>
      <c r="D3131" t="s">
        <v>3129</v>
      </c>
      <c r="E3131" t="s">
        <v>122</v>
      </c>
      <c r="F3131" t="s">
        <v>3984</v>
      </c>
      <c r="G3131" t="s">
        <v>3162</v>
      </c>
      <c r="H3131" t="s">
        <v>3723</v>
      </c>
      <c r="I3131" t="s">
        <v>374</v>
      </c>
      <c r="J3131" t="s">
        <v>429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3158</v>
      </c>
      <c r="B3132" t="s">
        <v>3165</v>
      </c>
      <c r="C3132" t="s">
        <v>368</v>
      </c>
      <c r="D3132" t="s">
        <v>3129</v>
      </c>
      <c r="E3132" t="s">
        <v>23</v>
      </c>
      <c r="F3132" t="s">
        <v>3984</v>
      </c>
      <c r="G3132" t="s">
        <v>3162</v>
      </c>
      <c r="H3132" t="s">
        <v>3723</v>
      </c>
      <c r="I3132" t="s">
        <v>374</v>
      </c>
      <c r="J3132" t="s">
        <v>429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3158</v>
      </c>
      <c r="B3133" t="s">
        <v>3165</v>
      </c>
      <c r="C3133" t="s">
        <v>368</v>
      </c>
      <c r="D3133" t="s">
        <v>3129</v>
      </c>
      <c r="E3133" t="s">
        <v>186</v>
      </c>
      <c r="F3133" t="s">
        <v>3984</v>
      </c>
      <c r="G3133" t="s">
        <v>3162</v>
      </c>
      <c r="H3133" t="s">
        <v>3723</v>
      </c>
      <c r="I3133" t="s">
        <v>374</v>
      </c>
      <c r="J3133" t="s">
        <v>429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3158</v>
      </c>
      <c r="B3134" t="s">
        <v>3802</v>
      </c>
      <c r="C3134" t="s">
        <v>368</v>
      </c>
      <c r="D3134" t="s">
        <v>3129</v>
      </c>
      <c r="E3134" t="s">
        <v>91</v>
      </c>
      <c r="F3134" t="s">
        <v>3987</v>
      </c>
      <c r="G3134" t="s">
        <v>3162</v>
      </c>
      <c r="H3134" t="s">
        <v>3482</v>
      </c>
      <c r="I3134" t="s">
        <v>374</v>
      </c>
      <c r="J3134" t="s">
        <v>698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3158</v>
      </c>
      <c r="B3135" t="s">
        <v>3802</v>
      </c>
      <c r="C3135" t="s">
        <v>368</v>
      </c>
      <c r="D3135" t="s">
        <v>3129</v>
      </c>
      <c r="E3135" t="s">
        <v>3988</v>
      </c>
      <c r="F3135" t="s">
        <v>3989</v>
      </c>
      <c r="G3135" t="s">
        <v>3162</v>
      </c>
      <c r="H3135" t="s">
        <v>3723</v>
      </c>
      <c r="I3135" t="s">
        <v>374</v>
      </c>
      <c r="J3135" t="s">
        <v>698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3158</v>
      </c>
      <c r="B3136" t="s">
        <v>3802</v>
      </c>
      <c r="C3136" t="s">
        <v>368</v>
      </c>
      <c r="D3136" t="s">
        <v>3129</v>
      </c>
      <c r="E3136" t="s">
        <v>3990</v>
      </c>
      <c r="F3136" t="s">
        <v>3987</v>
      </c>
      <c r="G3136" t="s">
        <v>3162</v>
      </c>
      <c r="H3136" t="s">
        <v>3482</v>
      </c>
      <c r="I3136" t="s">
        <v>374</v>
      </c>
      <c r="J3136" t="s">
        <v>698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3158</v>
      </c>
      <c r="B3137" t="s">
        <v>3802</v>
      </c>
      <c r="C3137" t="s">
        <v>368</v>
      </c>
      <c r="D3137" t="s">
        <v>3129</v>
      </c>
      <c r="E3137" t="s">
        <v>3991</v>
      </c>
      <c r="F3137" t="s">
        <v>3989</v>
      </c>
      <c r="G3137" t="s">
        <v>3162</v>
      </c>
      <c r="H3137" t="s">
        <v>3723</v>
      </c>
      <c r="I3137" t="s">
        <v>374</v>
      </c>
      <c r="J3137" t="s">
        <v>698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3158</v>
      </c>
      <c r="B3138" t="s">
        <v>3802</v>
      </c>
      <c r="C3138" t="s">
        <v>368</v>
      </c>
      <c r="D3138" t="s">
        <v>3129</v>
      </c>
      <c r="E3138" t="s">
        <v>3992</v>
      </c>
      <c r="F3138" t="s">
        <v>3987</v>
      </c>
      <c r="G3138" t="s">
        <v>3162</v>
      </c>
      <c r="H3138" t="s">
        <v>3482</v>
      </c>
      <c r="I3138" t="s">
        <v>374</v>
      </c>
      <c r="J3138" t="s">
        <v>698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3158</v>
      </c>
      <c r="B3139" t="s">
        <v>3802</v>
      </c>
      <c r="C3139" t="s">
        <v>368</v>
      </c>
      <c r="D3139" t="s">
        <v>3129</v>
      </c>
      <c r="E3139" t="s">
        <v>3993</v>
      </c>
      <c r="F3139" t="s">
        <v>3989</v>
      </c>
      <c r="G3139" t="s">
        <v>3162</v>
      </c>
      <c r="H3139" t="s">
        <v>3723</v>
      </c>
      <c r="I3139" t="s">
        <v>374</v>
      </c>
      <c r="J3139" t="s">
        <v>698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3158</v>
      </c>
      <c r="B3140" t="s">
        <v>3802</v>
      </c>
      <c r="C3140" t="s">
        <v>368</v>
      </c>
      <c r="D3140" t="s">
        <v>3129</v>
      </c>
      <c r="E3140" t="s">
        <v>3994</v>
      </c>
      <c r="F3140" t="s">
        <v>3987</v>
      </c>
      <c r="G3140" t="s">
        <v>3162</v>
      </c>
      <c r="H3140" t="s">
        <v>3482</v>
      </c>
      <c r="I3140" t="s">
        <v>374</v>
      </c>
      <c r="J3140" t="s">
        <v>698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3158</v>
      </c>
      <c r="B3141" t="s">
        <v>3802</v>
      </c>
      <c r="C3141" t="s">
        <v>368</v>
      </c>
      <c r="D3141" t="s">
        <v>3129</v>
      </c>
      <c r="E3141" t="s">
        <v>3995</v>
      </c>
      <c r="F3141" t="s">
        <v>3989</v>
      </c>
      <c r="G3141" t="s">
        <v>3162</v>
      </c>
      <c r="H3141" t="s">
        <v>3723</v>
      </c>
      <c r="I3141" t="s">
        <v>374</v>
      </c>
      <c r="J3141" t="s">
        <v>698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3158</v>
      </c>
      <c r="B3142" t="s">
        <v>3802</v>
      </c>
      <c r="C3142" t="s">
        <v>368</v>
      </c>
      <c r="D3142" t="s">
        <v>3129</v>
      </c>
      <c r="E3142" t="s">
        <v>141</v>
      </c>
      <c r="F3142" t="s">
        <v>3987</v>
      </c>
      <c r="G3142" t="s">
        <v>3162</v>
      </c>
      <c r="H3142" t="s">
        <v>3482</v>
      </c>
      <c r="I3142" t="s">
        <v>374</v>
      </c>
      <c r="J3142" t="s">
        <v>698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3158</v>
      </c>
      <c r="B3143" t="s">
        <v>3802</v>
      </c>
      <c r="C3143" t="s">
        <v>368</v>
      </c>
      <c r="D3143" t="s">
        <v>3129</v>
      </c>
      <c r="E3143" t="s">
        <v>3996</v>
      </c>
      <c r="F3143" t="s">
        <v>3989</v>
      </c>
      <c r="G3143" t="s">
        <v>3162</v>
      </c>
      <c r="H3143" t="s">
        <v>3723</v>
      </c>
      <c r="I3143" t="s">
        <v>374</v>
      </c>
      <c r="J3143" t="s">
        <v>698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3158</v>
      </c>
      <c r="B3144" t="s">
        <v>3802</v>
      </c>
      <c r="C3144" t="s">
        <v>368</v>
      </c>
      <c r="D3144" t="s">
        <v>3129</v>
      </c>
      <c r="E3144" t="s">
        <v>108</v>
      </c>
      <c r="F3144" t="s">
        <v>3987</v>
      </c>
      <c r="G3144" t="s">
        <v>3162</v>
      </c>
      <c r="H3144" t="s">
        <v>3482</v>
      </c>
      <c r="I3144" t="s">
        <v>374</v>
      </c>
      <c r="J3144" t="s">
        <v>698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3158</v>
      </c>
      <c r="B3145" t="s">
        <v>3802</v>
      </c>
      <c r="C3145" t="s">
        <v>368</v>
      </c>
      <c r="D3145" t="s">
        <v>3129</v>
      </c>
      <c r="E3145" t="s">
        <v>3997</v>
      </c>
      <c r="F3145" t="s">
        <v>3989</v>
      </c>
      <c r="G3145" t="s">
        <v>3162</v>
      </c>
      <c r="H3145" t="s">
        <v>3723</v>
      </c>
      <c r="I3145" t="s">
        <v>374</v>
      </c>
      <c r="J3145" t="s">
        <v>698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3158</v>
      </c>
      <c r="B3146" t="s">
        <v>3802</v>
      </c>
      <c r="C3146" t="s">
        <v>368</v>
      </c>
      <c r="D3146" t="s">
        <v>3129</v>
      </c>
      <c r="E3146" t="s">
        <v>109</v>
      </c>
      <c r="F3146" t="s">
        <v>3987</v>
      </c>
      <c r="G3146" t="s">
        <v>3162</v>
      </c>
      <c r="H3146" t="s">
        <v>3482</v>
      </c>
      <c r="I3146" t="s">
        <v>374</v>
      </c>
      <c r="J3146" t="s">
        <v>698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3158</v>
      </c>
      <c r="B3147" t="s">
        <v>3802</v>
      </c>
      <c r="C3147" t="s">
        <v>368</v>
      </c>
      <c r="D3147" t="s">
        <v>3129</v>
      </c>
      <c r="E3147" t="s">
        <v>3998</v>
      </c>
      <c r="F3147" t="s">
        <v>3989</v>
      </c>
      <c r="G3147" t="s">
        <v>3162</v>
      </c>
      <c r="H3147" t="s">
        <v>3723</v>
      </c>
      <c r="I3147" t="s">
        <v>374</v>
      </c>
      <c r="J3147" t="s">
        <v>698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3158</v>
      </c>
      <c r="B3148" t="s">
        <v>3802</v>
      </c>
      <c r="C3148" t="s">
        <v>368</v>
      </c>
      <c r="D3148" t="s">
        <v>3129</v>
      </c>
      <c r="E3148" t="s">
        <v>3999</v>
      </c>
      <c r="F3148" t="s">
        <v>3987</v>
      </c>
      <c r="G3148" t="s">
        <v>3162</v>
      </c>
      <c r="H3148" t="s">
        <v>3482</v>
      </c>
      <c r="I3148" t="s">
        <v>374</v>
      </c>
      <c r="J3148" t="s">
        <v>698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3158</v>
      </c>
      <c r="B3149" t="s">
        <v>3802</v>
      </c>
      <c r="C3149" t="s">
        <v>368</v>
      </c>
      <c r="D3149" t="s">
        <v>3129</v>
      </c>
      <c r="E3149" t="s">
        <v>4000</v>
      </c>
      <c r="F3149" t="s">
        <v>3989</v>
      </c>
      <c r="G3149" t="s">
        <v>3162</v>
      </c>
      <c r="H3149" t="s">
        <v>3723</v>
      </c>
      <c r="I3149" t="s">
        <v>374</v>
      </c>
      <c r="J3149" t="s">
        <v>698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3158</v>
      </c>
      <c r="B3150" t="s">
        <v>3802</v>
      </c>
      <c r="C3150" t="s">
        <v>368</v>
      </c>
      <c r="D3150" t="s">
        <v>3129</v>
      </c>
      <c r="E3150" t="s">
        <v>4001</v>
      </c>
      <c r="F3150" t="s">
        <v>3987</v>
      </c>
      <c r="G3150" t="s">
        <v>3162</v>
      </c>
      <c r="H3150" t="s">
        <v>3482</v>
      </c>
      <c r="I3150" t="s">
        <v>374</v>
      </c>
      <c r="J3150" t="s">
        <v>698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3158</v>
      </c>
      <c r="B3151" t="s">
        <v>3802</v>
      </c>
      <c r="C3151" t="s">
        <v>368</v>
      </c>
      <c r="D3151" t="s">
        <v>3129</v>
      </c>
      <c r="E3151" t="s">
        <v>4002</v>
      </c>
      <c r="F3151" t="s">
        <v>3989</v>
      </c>
      <c r="G3151" t="s">
        <v>3162</v>
      </c>
      <c r="H3151" t="s">
        <v>3723</v>
      </c>
      <c r="I3151" t="s">
        <v>374</v>
      </c>
      <c r="J3151" t="s">
        <v>698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3158</v>
      </c>
      <c r="B3152" t="s">
        <v>3802</v>
      </c>
      <c r="C3152" t="s">
        <v>609</v>
      </c>
      <c r="D3152" t="s">
        <v>3129</v>
      </c>
      <c r="E3152" t="s">
        <v>4003</v>
      </c>
      <c r="F3152" t="s">
        <v>3987</v>
      </c>
      <c r="G3152" t="s">
        <v>3162</v>
      </c>
      <c r="H3152" t="s">
        <v>3482</v>
      </c>
      <c r="I3152" t="s">
        <v>374</v>
      </c>
      <c r="J3152" t="s">
        <v>698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3158</v>
      </c>
      <c r="B3153" t="s">
        <v>3802</v>
      </c>
      <c r="C3153" t="s">
        <v>609</v>
      </c>
      <c r="D3153" t="s">
        <v>3129</v>
      </c>
      <c r="E3153" t="s">
        <v>4004</v>
      </c>
      <c r="F3153" t="s">
        <v>3989</v>
      </c>
      <c r="G3153" t="s">
        <v>3162</v>
      </c>
      <c r="H3153" t="s">
        <v>3723</v>
      </c>
      <c r="I3153" t="s">
        <v>374</v>
      </c>
      <c r="J3153" t="s">
        <v>698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3158</v>
      </c>
      <c r="B3154" t="s">
        <v>3802</v>
      </c>
      <c r="C3154" t="s">
        <v>609</v>
      </c>
      <c r="D3154" t="s">
        <v>3129</v>
      </c>
      <c r="E3154" t="s">
        <v>4005</v>
      </c>
      <c r="F3154" t="s">
        <v>3987</v>
      </c>
      <c r="G3154" t="s">
        <v>3162</v>
      </c>
      <c r="H3154" t="s">
        <v>3482</v>
      </c>
      <c r="I3154" t="s">
        <v>374</v>
      </c>
      <c r="J3154" t="s">
        <v>698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3158</v>
      </c>
      <c r="B3155" t="s">
        <v>3802</v>
      </c>
      <c r="C3155" t="s">
        <v>609</v>
      </c>
      <c r="D3155" t="s">
        <v>3129</v>
      </c>
      <c r="E3155" t="s">
        <v>4006</v>
      </c>
      <c r="F3155" t="s">
        <v>3989</v>
      </c>
      <c r="G3155" t="s">
        <v>3162</v>
      </c>
      <c r="H3155" t="s">
        <v>3723</v>
      </c>
      <c r="I3155" t="s">
        <v>374</v>
      </c>
      <c r="J3155" t="s">
        <v>698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3158</v>
      </c>
      <c r="B3156" t="s">
        <v>3802</v>
      </c>
      <c r="C3156" t="s">
        <v>609</v>
      </c>
      <c r="D3156" t="s">
        <v>3129</v>
      </c>
      <c r="E3156" t="s">
        <v>21</v>
      </c>
      <c r="F3156" t="s">
        <v>3987</v>
      </c>
      <c r="G3156" t="s">
        <v>3162</v>
      </c>
      <c r="H3156" t="s">
        <v>3482</v>
      </c>
      <c r="I3156" t="s">
        <v>374</v>
      </c>
      <c r="J3156" t="s">
        <v>698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3158</v>
      </c>
      <c r="B3157" t="s">
        <v>3802</v>
      </c>
      <c r="C3157" t="s">
        <v>609</v>
      </c>
      <c r="D3157" t="s">
        <v>3129</v>
      </c>
      <c r="E3157" t="s">
        <v>4007</v>
      </c>
      <c r="F3157" t="s">
        <v>3989</v>
      </c>
      <c r="G3157" t="s">
        <v>3162</v>
      </c>
      <c r="H3157" t="s">
        <v>3723</v>
      </c>
      <c r="I3157" t="s">
        <v>374</v>
      </c>
      <c r="J3157" t="s">
        <v>698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3158</v>
      </c>
      <c r="B3158" t="s">
        <v>3802</v>
      </c>
      <c r="C3158" t="s">
        <v>609</v>
      </c>
      <c r="D3158" t="s">
        <v>3129</v>
      </c>
      <c r="E3158" t="s">
        <v>179</v>
      </c>
      <c r="F3158" t="s">
        <v>3987</v>
      </c>
      <c r="G3158" t="s">
        <v>3162</v>
      </c>
      <c r="H3158" t="s">
        <v>3482</v>
      </c>
      <c r="I3158" t="s">
        <v>374</v>
      </c>
      <c r="J3158" t="s">
        <v>698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3158</v>
      </c>
      <c r="B3159" t="s">
        <v>3802</v>
      </c>
      <c r="C3159" t="s">
        <v>609</v>
      </c>
      <c r="D3159" t="s">
        <v>3129</v>
      </c>
      <c r="E3159" t="s">
        <v>4008</v>
      </c>
      <c r="F3159" t="s">
        <v>3989</v>
      </c>
      <c r="G3159" t="s">
        <v>3162</v>
      </c>
      <c r="H3159" t="s">
        <v>3723</v>
      </c>
      <c r="I3159" t="s">
        <v>374</v>
      </c>
      <c r="J3159" t="s">
        <v>698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3158</v>
      </c>
      <c r="B3160" t="s">
        <v>3802</v>
      </c>
      <c r="C3160" t="s">
        <v>368</v>
      </c>
      <c r="D3160" t="s">
        <v>3129</v>
      </c>
      <c r="E3160" t="s">
        <v>4009</v>
      </c>
      <c r="F3160" t="s">
        <v>3987</v>
      </c>
      <c r="G3160" t="s">
        <v>3162</v>
      </c>
      <c r="H3160" t="s">
        <v>3482</v>
      </c>
      <c r="I3160" t="s">
        <v>374</v>
      </c>
      <c r="J3160" t="s">
        <v>698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3158</v>
      </c>
      <c r="B3161" t="s">
        <v>3802</v>
      </c>
      <c r="C3161" t="s">
        <v>368</v>
      </c>
      <c r="D3161" t="s">
        <v>3129</v>
      </c>
      <c r="E3161" t="s">
        <v>4010</v>
      </c>
      <c r="F3161" t="s">
        <v>3989</v>
      </c>
      <c r="G3161" t="s">
        <v>3162</v>
      </c>
      <c r="H3161" t="s">
        <v>3723</v>
      </c>
      <c r="I3161" t="s">
        <v>374</v>
      </c>
      <c r="J3161" t="s">
        <v>698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3158</v>
      </c>
      <c r="B3162" t="s">
        <v>3802</v>
      </c>
      <c r="C3162" t="s">
        <v>368</v>
      </c>
      <c r="D3162" t="s">
        <v>3129</v>
      </c>
      <c r="E3162" t="s">
        <v>92</v>
      </c>
      <c r="F3162" t="s">
        <v>3987</v>
      </c>
      <c r="G3162" t="s">
        <v>3162</v>
      </c>
      <c r="H3162" t="s">
        <v>3482</v>
      </c>
      <c r="I3162" t="s">
        <v>374</v>
      </c>
      <c r="J3162" t="s">
        <v>698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3158</v>
      </c>
      <c r="B3163" t="s">
        <v>3802</v>
      </c>
      <c r="C3163" t="s">
        <v>368</v>
      </c>
      <c r="D3163" t="s">
        <v>3129</v>
      </c>
      <c r="E3163" t="s">
        <v>4011</v>
      </c>
      <c r="F3163" t="s">
        <v>3989</v>
      </c>
      <c r="G3163" t="s">
        <v>3162</v>
      </c>
      <c r="H3163" t="s">
        <v>3723</v>
      </c>
      <c r="I3163" t="s">
        <v>374</v>
      </c>
      <c r="J3163" t="s">
        <v>698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3158</v>
      </c>
      <c r="B3164" t="s">
        <v>3165</v>
      </c>
      <c r="C3164" t="s">
        <v>368</v>
      </c>
      <c r="D3164" t="s">
        <v>3129</v>
      </c>
      <c r="E3164" t="s">
        <v>46</v>
      </c>
      <c r="F3164" t="s">
        <v>4012</v>
      </c>
      <c r="G3164" t="s">
        <v>3162</v>
      </c>
      <c r="H3164" t="s">
        <v>3482</v>
      </c>
      <c r="I3164" t="s">
        <v>374</v>
      </c>
      <c r="J3164" t="s">
        <v>429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3158</v>
      </c>
      <c r="B3165" t="s">
        <v>3165</v>
      </c>
      <c r="C3165" t="s">
        <v>368</v>
      </c>
      <c r="D3165" t="s">
        <v>3129</v>
      </c>
      <c r="E3165" t="s">
        <v>124</v>
      </c>
      <c r="F3165" t="s">
        <v>4012</v>
      </c>
      <c r="G3165" t="s">
        <v>3162</v>
      </c>
      <c r="H3165" t="s">
        <v>3482</v>
      </c>
      <c r="I3165" t="s">
        <v>374</v>
      </c>
      <c r="J3165" t="s">
        <v>429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3158</v>
      </c>
      <c r="B3166" t="s">
        <v>3165</v>
      </c>
      <c r="C3166" t="s">
        <v>368</v>
      </c>
      <c r="D3166" t="s">
        <v>3129</v>
      </c>
      <c r="E3166" t="s">
        <v>4013</v>
      </c>
      <c r="F3166" t="s">
        <v>4012</v>
      </c>
      <c r="G3166" t="s">
        <v>3162</v>
      </c>
      <c r="H3166" t="s">
        <v>3482</v>
      </c>
      <c r="I3166" t="s">
        <v>374</v>
      </c>
      <c r="J3166" t="s">
        <v>429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3158</v>
      </c>
      <c r="B3167" t="s">
        <v>3165</v>
      </c>
      <c r="C3167" t="s">
        <v>368</v>
      </c>
      <c r="D3167" t="s">
        <v>3129</v>
      </c>
      <c r="E3167" t="s">
        <v>259</v>
      </c>
      <c r="F3167" t="s">
        <v>4012</v>
      </c>
      <c r="G3167" t="s">
        <v>3162</v>
      </c>
      <c r="H3167" t="s">
        <v>3482</v>
      </c>
      <c r="I3167" t="s">
        <v>374</v>
      </c>
      <c r="J3167" t="s">
        <v>429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3158</v>
      </c>
      <c r="B3168" t="s">
        <v>3165</v>
      </c>
      <c r="C3168" t="s">
        <v>368</v>
      </c>
      <c r="D3168" t="s">
        <v>3129</v>
      </c>
      <c r="E3168" t="s">
        <v>47</v>
      </c>
      <c r="F3168" t="s">
        <v>4012</v>
      </c>
      <c r="G3168" t="s">
        <v>3162</v>
      </c>
      <c r="H3168" t="s">
        <v>3482</v>
      </c>
      <c r="I3168" t="s">
        <v>374</v>
      </c>
      <c r="J3168" t="s">
        <v>429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3158</v>
      </c>
      <c r="B3169" t="s">
        <v>3165</v>
      </c>
      <c r="C3169" t="s">
        <v>368</v>
      </c>
      <c r="D3169" t="s">
        <v>3129</v>
      </c>
      <c r="E3169" t="s">
        <v>125</v>
      </c>
      <c r="F3169" t="s">
        <v>4012</v>
      </c>
      <c r="G3169" t="s">
        <v>3162</v>
      </c>
      <c r="H3169" t="s">
        <v>3482</v>
      </c>
      <c r="I3169" t="s">
        <v>374</v>
      </c>
      <c r="J3169" t="s">
        <v>429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3158</v>
      </c>
      <c r="B3170" t="s">
        <v>3165</v>
      </c>
      <c r="C3170" t="s">
        <v>368</v>
      </c>
      <c r="D3170" t="s">
        <v>3129</v>
      </c>
      <c r="E3170" t="s">
        <v>57</v>
      </c>
      <c r="F3170" t="s">
        <v>4012</v>
      </c>
      <c r="G3170" t="s">
        <v>3162</v>
      </c>
      <c r="H3170" t="s">
        <v>3482</v>
      </c>
      <c r="I3170" t="s">
        <v>374</v>
      </c>
      <c r="J3170" t="s">
        <v>429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3158</v>
      </c>
      <c r="B3171" t="s">
        <v>3165</v>
      </c>
      <c r="C3171" t="s">
        <v>368</v>
      </c>
      <c r="D3171" t="s">
        <v>3129</v>
      </c>
      <c r="E3171" t="s">
        <v>126</v>
      </c>
      <c r="F3171" t="s">
        <v>4012</v>
      </c>
      <c r="G3171" t="s">
        <v>3162</v>
      </c>
      <c r="H3171" t="s">
        <v>3482</v>
      </c>
      <c r="I3171" t="s">
        <v>374</v>
      </c>
      <c r="J3171" t="s">
        <v>429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3158</v>
      </c>
      <c r="B3172" t="s">
        <v>3165</v>
      </c>
      <c r="C3172" t="s">
        <v>368</v>
      </c>
      <c r="D3172" t="s">
        <v>3129</v>
      </c>
      <c r="E3172" t="s">
        <v>260</v>
      </c>
      <c r="F3172" t="s">
        <v>4012</v>
      </c>
      <c r="G3172" t="s">
        <v>3162</v>
      </c>
      <c r="H3172" t="s">
        <v>3482</v>
      </c>
      <c r="I3172" t="s">
        <v>374</v>
      </c>
      <c r="J3172" t="s">
        <v>429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3158</v>
      </c>
      <c r="B3173" t="s">
        <v>3165</v>
      </c>
      <c r="C3173" t="s">
        <v>609</v>
      </c>
      <c r="D3173" t="s">
        <v>3129</v>
      </c>
      <c r="E3173" t="s">
        <v>55</v>
      </c>
      <c r="F3173" t="s">
        <v>4012</v>
      </c>
      <c r="G3173" t="s">
        <v>3162</v>
      </c>
      <c r="H3173" t="s">
        <v>3482</v>
      </c>
      <c r="I3173" t="s">
        <v>374</v>
      </c>
      <c r="J3173" t="s">
        <v>429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3158</v>
      </c>
      <c r="B3174" t="s">
        <v>3165</v>
      </c>
      <c r="C3174" t="s">
        <v>609</v>
      </c>
      <c r="D3174" t="s">
        <v>3129</v>
      </c>
      <c r="E3174" t="s">
        <v>4014</v>
      </c>
      <c r="F3174" t="s">
        <v>4012</v>
      </c>
      <c r="G3174" t="s">
        <v>3162</v>
      </c>
      <c r="H3174" t="s">
        <v>3482</v>
      </c>
      <c r="I3174" t="s">
        <v>374</v>
      </c>
      <c r="J3174" t="s">
        <v>429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3158</v>
      </c>
      <c r="B3175" t="s">
        <v>3165</v>
      </c>
      <c r="C3175" t="s">
        <v>609</v>
      </c>
      <c r="D3175" t="s">
        <v>3129</v>
      </c>
      <c r="E3175" t="s">
        <v>56</v>
      </c>
      <c r="F3175" t="s">
        <v>4012</v>
      </c>
      <c r="G3175" t="s">
        <v>3162</v>
      </c>
      <c r="H3175" t="s">
        <v>3482</v>
      </c>
      <c r="I3175" t="s">
        <v>374</v>
      </c>
      <c r="J3175" t="s">
        <v>429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3158</v>
      </c>
      <c r="B3176" t="s">
        <v>3165</v>
      </c>
      <c r="C3176" t="s">
        <v>609</v>
      </c>
      <c r="D3176" t="s">
        <v>3129</v>
      </c>
      <c r="E3176" t="s">
        <v>123</v>
      </c>
      <c r="F3176" t="s">
        <v>4012</v>
      </c>
      <c r="G3176" t="s">
        <v>3162</v>
      </c>
      <c r="H3176" t="s">
        <v>3482</v>
      </c>
      <c r="I3176" t="s">
        <v>374</v>
      </c>
      <c r="J3176" t="s">
        <v>429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3158</v>
      </c>
      <c r="B3177" t="s">
        <v>3165</v>
      </c>
      <c r="C3177" t="s">
        <v>368</v>
      </c>
      <c r="D3177" t="s">
        <v>3129</v>
      </c>
      <c r="E3177" t="s">
        <v>44</v>
      </c>
      <c r="F3177" t="s">
        <v>4012</v>
      </c>
      <c r="G3177" t="s">
        <v>3162</v>
      </c>
      <c r="H3177" t="s">
        <v>3482</v>
      </c>
      <c r="I3177" t="s">
        <v>374</v>
      </c>
      <c r="J3177" t="s">
        <v>429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3158</v>
      </c>
      <c r="B3178" t="s">
        <v>3165</v>
      </c>
      <c r="C3178" t="s">
        <v>368</v>
      </c>
      <c r="D3178" t="s">
        <v>3129</v>
      </c>
      <c r="E3178" t="s">
        <v>45</v>
      </c>
      <c r="F3178" t="s">
        <v>4012</v>
      </c>
      <c r="G3178" t="s">
        <v>3162</v>
      </c>
      <c r="H3178" t="s">
        <v>3482</v>
      </c>
      <c r="I3178" t="s">
        <v>374</v>
      </c>
      <c r="J3178" t="s">
        <v>429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3158</v>
      </c>
      <c r="B3179" t="s">
        <v>3822</v>
      </c>
      <c r="C3179" t="s">
        <v>368</v>
      </c>
      <c r="D3179" t="s">
        <v>3129</v>
      </c>
      <c r="E3179" t="s">
        <v>4015</v>
      </c>
      <c r="F3179" t="s">
        <v>4016</v>
      </c>
      <c r="G3179" t="s">
        <v>3162</v>
      </c>
      <c r="H3179" t="s">
        <v>3482</v>
      </c>
      <c r="I3179" t="s">
        <v>374</v>
      </c>
      <c r="J3179" t="s">
        <v>757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3158</v>
      </c>
      <c r="B3180" t="s">
        <v>3822</v>
      </c>
      <c r="C3180" t="s">
        <v>368</v>
      </c>
      <c r="D3180" t="s">
        <v>3129</v>
      </c>
      <c r="E3180" t="s">
        <v>4017</v>
      </c>
      <c r="F3180" t="s">
        <v>4016</v>
      </c>
      <c r="G3180" t="s">
        <v>3162</v>
      </c>
      <c r="H3180" t="s">
        <v>3482</v>
      </c>
      <c r="I3180" t="s">
        <v>374</v>
      </c>
      <c r="J3180" t="s">
        <v>757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3158</v>
      </c>
      <c r="B3181" t="s">
        <v>3165</v>
      </c>
      <c r="C3181" t="s">
        <v>368</v>
      </c>
      <c r="D3181" t="s">
        <v>3129</v>
      </c>
      <c r="E3181" t="s">
        <v>4018</v>
      </c>
      <c r="F3181" t="s">
        <v>4019</v>
      </c>
      <c r="G3181" t="s">
        <v>3162</v>
      </c>
      <c r="H3181" t="s">
        <v>4020</v>
      </c>
      <c r="I3181" t="s">
        <v>374</v>
      </c>
      <c r="J3181" t="s">
        <v>429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3158</v>
      </c>
      <c r="B3182" t="s">
        <v>3165</v>
      </c>
      <c r="C3182" t="s">
        <v>368</v>
      </c>
      <c r="D3182" t="s">
        <v>3129</v>
      </c>
      <c r="E3182" t="s">
        <v>4021</v>
      </c>
      <c r="F3182" t="s">
        <v>4019</v>
      </c>
      <c r="G3182" t="s">
        <v>3162</v>
      </c>
      <c r="H3182" t="s">
        <v>4020</v>
      </c>
      <c r="I3182" t="s">
        <v>374</v>
      </c>
      <c r="J3182" t="s">
        <v>429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3158</v>
      </c>
      <c r="B3183" t="s">
        <v>3165</v>
      </c>
      <c r="C3183" t="s">
        <v>368</v>
      </c>
      <c r="D3183" t="s">
        <v>3129</v>
      </c>
      <c r="E3183" t="s">
        <v>4022</v>
      </c>
      <c r="F3183" t="s">
        <v>4019</v>
      </c>
      <c r="G3183" t="s">
        <v>3162</v>
      </c>
      <c r="H3183" t="s">
        <v>4020</v>
      </c>
      <c r="I3183" t="s">
        <v>374</v>
      </c>
      <c r="J3183" t="s">
        <v>429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3158</v>
      </c>
      <c r="B3184" t="s">
        <v>3165</v>
      </c>
      <c r="C3184" t="s">
        <v>368</v>
      </c>
      <c r="D3184" t="s">
        <v>3129</v>
      </c>
      <c r="E3184" t="s">
        <v>4023</v>
      </c>
      <c r="F3184" t="s">
        <v>4019</v>
      </c>
      <c r="G3184" t="s">
        <v>3162</v>
      </c>
      <c r="H3184" t="s">
        <v>4020</v>
      </c>
      <c r="I3184" t="s">
        <v>374</v>
      </c>
      <c r="J3184" t="s">
        <v>429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3158</v>
      </c>
      <c r="B3185" t="s">
        <v>3165</v>
      </c>
      <c r="C3185" t="s">
        <v>368</v>
      </c>
      <c r="D3185" t="s">
        <v>3129</v>
      </c>
      <c r="E3185" t="s">
        <v>4024</v>
      </c>
      <c r="F3185" t="s">
        <v>4019</v>
      </c>
      <c r="G3185" t="s">
        <v>3162</v>
      </c>
      <c r="H3185" t="s">
        <v>4020</v>
      </c>
      <c r="I3185" t="s">
        <v>374</v>
      </c>
      <c r="J3185" t="s">
        <v>429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3158</v>
      </c>
      <c r="B3186" t="s">
        <v>3165</v>
      </c>
      <c r="C3186" t="s">
        <v>368</v>
      </c>
      <c r="D3186" t="s">
        <v>3129</v>
      </c>
      <c r="E3186" t="s">
        <v>4025</v>
      </c>
      <c r="F3186" t="s">
        <v>4019</v>
      </c>
      <c r="G3186" t="s">
        <v>3162</v>
      </c>
      <c r="H3186" t="s">
        <v>4020</v>
      </c>
      <c r="I3186" t="s">
        <v>374</v>
      </c>
      <c r="J3186" t="s">
        <v>429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3158</v>
      </c>
      <c r="B3187" t="s">
        <v>3165</v>
      </c>
      <c r="C3187" t="s">
        <v>368</v>
      </c>
      <c r="D3187" t="s">
        <v>3129</v>
      </c>
      <c r="E3187" t="s">
        <v>4026</v>
      </c>
      <c r="F3187" t="s">
        <v>4019</v>
      </c>
      <c r="G3187" t="s">
        <v>3162</v>
      </c>
      <c r="H3187" t="s">
        <v>4020</v>
      </c>
      <c r="I3187" t="s">
        <v>374</v>
      </c>
      <c r="J3187" t="s">
        <v>429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3158</v>
      </c>
      <c r="B3188" t="s">
        <v>3165</v>
      </c>
      <c r="C3188" t="s">
        <v>368</v>
      </c>
      <c r="D3188" t="s">
        <v>3129</v>
      </c>
      <c r="E3188" t="s">
        <v>4027</v>
      </c>
      <c r="F3188" t="s">
        <v>4019</v>
      </c>
      <c r="G3188" t="s">
        <v>3162</v>
      </c>
      <c r="H3188" t="s">
        <v>4020</v>
      </c>
      <c r="I3188" t="s">
        <v>374</v>
      </c>
      <c r="J3188" t="s">
        <v>429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3158</v>
      </c>
      <c r="B3189" t="s">
        <v>3165</v>
      </c>
      <c r="C3189" t="s">
        <v>368</v>
      </c>
      <c r="D3189" t="s">
        <v>3129</v>
      </c>
      <c r="E3189" t="s">
        <v>4028</v>
      </c>
      <c r="F3189" t="s">
        <v>4019</v>
      </c>
      <c r="G3189" t="s">
        <v>3162</v>
      </c>
      <c r="H3189" t="s">
        <v>4020</v>
      </c>
      <c r="I3189" t="s">
        <v>374</v>
      </c>
      <c r="J3189" t="s">
        <v>429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3158</v>
      </c>
      <c r="B3190" t="s">
        <v>3165</v>
      </c>
      <c r="C3190" t="s">
        <v>609</v>
      </c>
      <c r="D3190" t="s">
        <v>3129</v>
      </c>
      <c r="E3190" t="s">
        <v>4029</v>
      </c>
      <c r="F3190" t="s">
        <v>4019</v>
      </c>
      <c r="G3190" t="s">
        <v>3162</v>
      </c>
      <c r="H3190" t="s">
        <v>4020</v>
      </c>
      <c r="I3190" t="s">
        <v>374</v>
      </c>
      <c r="J3190" t="s">
        <v>429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3158</v>
      </c>
      <c r="B3191" t="s">
        <v>3165</v>
      </c>
      <c r="C3191" t="s">
        <v>609</v>
      </c>
      <c r="D3191" t="s">
        <v>3129</v>
      </c>
      <c r="E3191" t="s">
        <v>4030</v>
      </c>
      <c r="F3191" t="s">
        <v>4019</v>
      </c>
      <c r="G3191" t="s">
        <v>3162</v>
      </c>
      <c r="H3191" t="s">
        <v>4020</v>
      </c>
      <c r="I3191" t="s">
        <v>374</v>
      </c>
      <c r="J3191" t="s">
        <v>429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3158</v>
      </c>
      <c r="B3192" t="s">
        <v>3165</v>
      </c>
      <c r="C3192" t="s">
        <v>609</v>
      </c>
      <c r="D3192" t="s">
        <v>3129</v>
      </c>
      <c r="E3192" t="s">
        <v>4031</v>
      </c>
      <c r="F3192" t="s">
        <v>4019</v>
      </c>
      <c r="G3192" t="s">
        <v>3162</v>
      </c>
      <c r="H3192" t="s">
        <v>4020</v>
      </c>
      <c r="I3192" t="s">
        <v>374</v>
      </c>
      <c r="J3192" t="s">
        <v>429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3158</v>
      </c>
      <c r="B3193" t="s">
        <v>3165</v>
      </c>
      <c r="C3193" t="s">
        <v>609</v>
      </c>
      <c r="D3193" t="s">
        <v>3129</v>
      </c>
      <c r="E3193" t="s">
        <v>4032</v>
      </c>
      <c r="F3193" t="s">
        <v>4019</v>
      </c>
      <c r="G3193" t="s">
        <v>3162</v>
      </c>
      <c r="H3193" t="s">
        <v>4020</v>
      </c>
      <c r="I3193" t="s">
        <v>374</v>
      </c>
      <c r="J3193" t="s">
        <v>429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3158</v>
      </c>
      <c r="B3194" t="s">
        <v>3165</v>
      </c>
      <c r="C3194" t="s">
        <v>368</v>
      </c>
      <c r="D3194" t="s">
        <v>3129</v>
      </c>
      <c r="E3194" t="s">
        <v>4033</v>
      </c>
      <c r="F3194" t="s">
        <v>4019</v>
      </c>
      <c r="G3194" t="s">
        <v>3162</v>
      </c>
      <c r="H3194" t="s">
        <v>4020</v>
      </c>
      <c r="I3194" t="s">
        <v>374</v>
      </c>
      <c r="J3194" t="s">
        <v>429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3158</v>
      </c>
      <c r="B3195" t="s">
        <v>3165</v>
      </c>
      <c r="C3195" t="s">
        <v>368</v>
      </c>
      <c r="D3195" t="s">
        <v>3129</v>
      </c>
      <c r="E3195" t="s">
        <v>4034</v>
      </c>
      <c r="F3195" t="s">
        <v>4019</v>
      </c>
      <c r="G3195" t="s">
        <v>3162</v>
      </c>
      <c r="H3195" t="s">
        <v>4020</v>
      </c>
      <c r="I3195" t="s">
        <v>374</v>
      </c>
      <c r="J3195" t="s">
        <v>429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4035</v>
      </c>
      <c r="B3196" t="s">
        <v>4036</v>
      </c>
      <c r="C3196" t="s">
        <v>368</v>
      </c>
      <c r="D3196" t="s">
        <v>3129</v>
      </c>
      <c r="E3196" t="s">
        <v>4037</v>
      </c>
      <c r="F3196" t="s">
        <v>4038</v>
      </c>
      <c r="G3196" t="s">
        <v>4039</v>
      </c>
      <c r="H3196" t="s">
        <v>4040</v>
      </c>
      <c r="I3196" t="s">
        <v>4041</v>
      </c>
      <c r="J3196" t="s">
        <v>4042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4035</v>
      </c>
      <c r="B3197" t="s">
        <v>4036</v>
      </c>
      <c r="C3197" t="s">
        <v>368</v>
      </c>
      <c r="D3197" t="s">
        <v>3129</v>
      </c>
      <c r="E3197" t="s">
        <v>4043</v>
      </c>
      <c r="F3197" t="s">
        <v>4038</v>
      </c>
      <c r="G3197" t="s">
        <v>4039</v>
      </c>
      <c r="H3197" t="s">
        <v>4040</v>
      </c>
      <c r="I3197" t="s">
        <v>4041</v>
      </c>
      <c r="J3197" t="s">
        <v>4042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4035</v>
      </c>
      <c r="B3198" t="s">
        <v>4036</v>
      </c>
      <c r="C3198" t="s">
        <v>368</v>
      </c>
      <c r="D3198" t="s">
        <v>3129</v>
      </c>
      <c r="E3198" t="s">
        <v>4044</v>
      </c>
      <c r="F3198" t="s">
        <v>4038</v>
      </c>
      <c r="G3198" t="s">
        <v>4039</v>
      </c>
      <c r="H3198" t="s">
        <v>4040</v>
      </c>
      <c r="I3198" t="s">
        <v>4041</v>
      </c>
      <c r="J3198" t="s">
        <v>4042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4035</v>
      </c>
      <c r="B3199" t="s">
        <v>4036</v>
      </c>
      <c r="C3199" t="s">
        <v>368</v>
      </c>
      <c r="D3199" t="s">
        <v>3129</v>
      </c>
      <c r="E3199" t="s">
        <v>4045</v>
      </c>
      <c r="F3199" t="s">
        <v>4038</v>
      </c>
      <c r="G3199" t="s">
        <v>4039</v>
      </c>
      <c r="H3199" t="s">
        <v>4040</v>
      </c>
      <c r="I3199" t="s">
        <v>4041</v>
      </c>
      <c r="J3199" t="s">
        <v>4042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4035</v>
      </c>
      <c r="B3200" t="s">
        <v>4036</v>
      </c>
      <c r="C3200" t="s">
        <v>368</v>
      </c>
      <c r="D3200" t="s">
        <v>3129</v>
      </c>
      <c r="E3200" t="s">
        <v>4046</v>
      </c>
      <c r="F3200" t="s">
        <v>4038</v>
      </c>
      <c r="G3200" t="s">
        <v>4039</v>
      </c>
      <c r="H3200" t="s">
        <v>4040</v>
      </c>
      <c r="I3200" t="s">
        <v>4041</v>
      </c>
      <c r="J3200" t="s">
        <v>4042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4035</v>
      </c>
      <c r="B3201" t="s">
        <v>4036</v>
      </c>
      <c r="C3201" t="s">
        <v>368</v>
      </c>
      <c r="D3201" t="s">
        <v>3129</v>
      </c>
      <c r="E3201" t="s">
        <v>4047</v>
      </c>
      <c r="F3201" t="s">
        <v>4038</v>
      </c>
      <c r="G3201" t="s">
        <v>4039</v>
      </c>
      <c r="H3201" t="s">
        <v>4040</v>
      </c>
      <c r="I3201" t="s">
        <v>4041</v>
      </c>
      <c r="J3201" t="s">
        <v>4042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4035</v>
      </c>
      <c r="B3202" t="s">
        <v>4036</v>
      </c>
      <c r="C3202" t="s">
        <v>368</v>
      </c>
      <c r="D3202" t="s">
        <v>3129</v>
      </c>
      <c r="E3202" t="s">
        <v>4048</v>
      </c>
      <c r="F3202" t="s">
        <v>4038</v>
      </c>
      <c r="G3202" t="s">
        <v>4039</v>
      </c>
      <c r="H3202" t="s">
        <v>4040</v>
      </c>
      <c r="I3202" t="s">
        <v>4041</v>
      </c>
      <c r="J3202" t="s">
        <v>4042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4035</v>
      </c>
      <c r="B3203" t="s">
        <v>4036</v>
      </c>
      <c r="C3203" t="s">
        <v>368</v>
      </c>
      <c r="D3203" t="s">
        <v>3129</v>
      </c>
      <c r="E3203" t="s">
        <v>4049</v>
      </c>
      <c r="F3203" t="s">
        <v>4038</v>
      </c>
      <c r="G3203" t="s">
        <v>4039</v>
      </c>
      <c r="H3203" t="s">
        <v>4040</v>
      </c>
      <c r="I3203" t="s">
        <v>4041</v>
      </c>
      <c r="J3203" t="s">
        <v>4042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4035</v>
      </c>
      <c r="B3204" t="s">
        <v>4036</v>
      </c>
      <c r="C3204" t="s">
        <v>368</v>
      </c>
      <c r="D3204" t="s">
        <v>3129</v>
      </c>
      <c r="E3204" t="s">
        <v>4050</v>
      </c>
      <c r="F3204" t="s">
        <v>4038</v>
      </c>
      <c r="G3204" t="s">
        <v>4039</v>
      </c>
      <c r="H3204" t="s">
        <v>4040</v>
      </c>
      <c r="I3204" t="s">
        <v>4041</v>
      </c>
      <c r="J3204" t="s">
        <v>4042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4035</v>
      </c>
      <c r="B3205" t="s">
        <v>4036</v>
      </c>
      <c r="C3205" t="s">
        <v>609</v>
      </c>
      <c r="D3205" t="s">
        <v>3129</v>
      </c>
      <c r="E3205" t="s">
        <v>4051</v>
      </c>
      <c r="F3205" t="s">
        <v>4038</v>
      </c>
      <c r="G3205" t="s">
        <v>4039</v>
      </c>
      <c r="H3205" t="s">
        <v>4040</v>
      </c>
      <c r="I3205" t="s">
        <v>4041</v>
      </c>
      <c r="J3205" t="s">
        <v>4042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4035</v>
      </c>
      <c r="B3206" t="s">
        <v>4036</v>
      </c>
      <c r="C3206" t="s">
        <v>609</v>
      </c>
      <c r="D3206" t="s">
        <v>3129</v>
      </c>
      <c r="E3206" t="s">
        <v>4052</v>
      </c>
      <c r="F3206" t="s">
        <v>4038</v>
      </c>
      <c r="G3206" t="s">
        <v>4039</v>
      </c>
      <c r="H3206" t="s">
        <v>4040</v>
      </c>
      <c r="I3206" t="s">
        <v>4041</v>
      </c>
      <c r="J3206" t="s">
        <v>4042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4035</v>
      </c>
      <c r="B3207" t="s">
        <v>4036</v>
      </c>
      <c r="C3207" t="s">
        <v>609</v>
      </c>
      <c r="D3207" t="s">
        <v>3129</v>
      </c>
      <c r="E3207" t="s">
        <v>4053</v>
      </c>
      <c r="F3207" t="s">
        <v>4038</v>
      </c>
      <c r="G3207" t="s">
        <v>4039</v>
      </c>
      <c r="H3207" t="s">
        <v>4040</v>
      </c>
      <c r="I3207" t="s">
        <v>4041</v>
      </c>
      <c r="J3207" t="s">
        <v>4042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4035</v>
      </c>
      <c r="B3208" t="s">
        <v>4036</v>
      </c>
      <c r="C3208" t="s">
        <v>609</v>
      </c>
      <c r="D3208" t="s">
        <v>3129</v>
      </c>
      <c r="E3208" t="s">
        <v>4054</v>
      </c>
      <c r="F3208" t="s">
        <v>4038</v>
      </c>
      <c r="G3208" t="s">
        <v>4039</v>
      </c>
      <c r="H3208" t="s">
        <v>4040</v>
      </c>
      <c r="I3208" t="s">
        <v>4041</v>
      </c>
      <c r="J3208" t="s">
        <v>4042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4035</v>
      </c>
      <c r="B3209" t="s">
        <v>4036</v>
      </c>
      <c r="C3209" t="s">
        <v>368</v>
      </c>
      <c r="D3209" t="s">
        <v>3129</v>
      </c>
      <c r="E3209" t="s">
        <v>4055</v>
      </c>
      <c r="F3209" t="s">
        <v>4038</v>
      </c>
      <c r="G3209" t="s">
        <v>4039</v>
      </c>
      <c r="H3209" t="s">
        <v>4040</v>
      </c>
      <c r="I3209" t="s">
        <v>4041</v>
      </c>
      <c r="J3209" t="s">
        <v>4042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4035</v>
      </c>
      <c r="B3210" t="s">
        <v>4036</v>
      </c>
      <c r="C3210" t="s">
        <v>368</v>
      </c>
      <c r="D3210" t="s">
        <v>3129</v>
      </c>
      <c r="E3210" t="s">
        <v>4056</v>
      </c>
      <c r="F3210" t="s">
        <v>4038</v>
      </c>
      <c r="G3210" t="s">
        <v>4039</v>
      </c>
      <c r="H3210" t="s">
        <v>4040</v>
      </c>
      <c r="I3210" t="s">
        <v>4041</v>
      </c>
      <c r="J3210" t="s">
        <v>4042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4035</v>
      </c>
      <c r="B3211" t="s">
        <v>4057</v>
      </c>
      <c r="C3211" t="s">
        <v>368</v>
      </c>
      <c r="D3211" t="s">
        <v>3129</v>
      </c>
      <c r="E3211" t="s">
        <v>60</v>
      </c>
      <c r="F3211" t="s">
        <v>4058</v>
      </c>
      <c r="G3211" t="s">
        <v>4039</v>
      </c>
      <c r="H3211" t="s">
        <v>4040</v>
      </c>
      <c r="I3211" t="s">
        <v>4041</v>
      </c>
      <c r="J3211" t="s">
        <v>429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4035</v>
      </c>
      <c r="B3212" t="s">
        <v>4057</v>
      </c>
      <c r="C3212" t="s">
        <v>368</v>
      </c>
      <c r="D3212" t="s">
        <v>3129</v>
      </c>
      <c r="E3212" t="s">
        <v>70</v>
      </c>
      <c r="F3212" t="s">
        <v>4058</v>
      </c>
      <c r="G3212" t="s">
        <v>4039</v>
      </c>
      <c r="H3212" t="s">
        <v>4040</v>
      </c>
      <c r="I3212" t="s">
        <v>4041</v>
      </c>
      <c r="J3212" t="s">
        <v>429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4035</v>
      </c>
      <c r="B3213" t="s">
        <v>4057</v>
      </c>
      <c r="C3213" t="s">
        <v>368</v>
      </c>
      <c r="D3213" t="s">
        <v>3129</v>
      </c>
      <c r="E3213" t="s">
        <v>62</v>
      </c>
      <c r="F3213" t="s">
        <v>4058</v>
      </c>
      <c r="G3213" t="s">
        <v>4039</v>
      </c>
      <c r="H3213" t="s">
        <v>4040</v>
      </c>
      <c r="I3213" t="s">
        <v>4041</v>
      </c>
      <c r="J3213" t="s">
        <v>429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4035</v>
      </c>
      <c r="B3214" t="s">
        <v>4057</v>
      </c>
      <c r="C3214" t="s">
        <v>368</v>
      </c>
      <c r="D3214" t="s">
        <v>3129</v>
      </c>
      <c r="E3214" t="s">
        <v>63</v>
      </c>
      <c r="F3214" t="s">
        <v>4058</v>
      </c>
      <c r="G3214" t="s">
        <v>4039</v>
      </c>
      <c r="H3214" t="s">
        <v>4040</v>
      </c>
      <c r="I3214" t="s">
        <v>4041</v>
      </c>
      <c r="J3214" t="s">
        <v>429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4035</v>
      </c>
      <c r="B3215" t="s">
        <v>4057</v>
      </c>
      <c r="C3215" t="s">
        <v>368</v>
      </c>
      <c r="D3215" t="s">
        <v>3129</v>
      </c>
      <c r="E3215" t="s">
        <v>158</v>
      </c>
      <c r="F3215" t="s">
        <v>4058</v>
      </c>
      <c r="G3215" t="s">
        <v>4039</v>
      </c>
      <c r="H3215" t="s">
        <v>4040</v>
      </c>
      <c r="I3215" t="s">
        <v>4041</v>
      </c>
      <c r="J3215" t="s">
        <v>429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4035</v>
      </c>
      <c r="B3216" t="s">
        <v>4057</v>
      </c>
      <c r="C3216" t="s">
        <v>368</v>
      </c>
      <c r="D3216" t="s">
        <v>3129</v>
      </c>
      <c r="E3216" t="s">
        <v>282</v>
      </c>
      <c r="F3216" t="s">
        <v>4058</v>
      </c>
      <c r="G3216" t="s">
        <v>4039</v>
      </c>
      <c r="H3216" t="s">
        <v>4040</v>
      </c>
      <c r="I3216" t="s">
        <v>4041</v>
      </c>
      <c r="J3216" t="s">
        <v>429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4035</v>
      </c>
      <c r="B3217" t="s">
        <v>4057</v>
      </c>
      <c r="C3217" t="s">
        <v>368</v>
      </c>
      <c r="D3217" t="s">
        <v>3129</v>
      </c>
      <c r="E3217" t="s">
        <v>61</v>
      </c>
      <c r="F3217" t="s">
        <v>4058</v>
      </c>
      <c r="G3217" t="s">
        <v>4039</v>
      </c>
      <c r="H3217" t="s">
        <v>4040</v>
      </c>
      <c r="I3217" t="s">
        <v>4041</v>
      </c>
      <c r="J3217" t="s">
        <v>429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4035</v>
      </c>
      <c r="B3218" t="s">
        <v>4057</v>
      </c>
      <c r="C3218" t="s">
        <v>368</v>
      </c>
      <c r="D3218" t="s">
        <v>3129</v>
      </c>
      <c r="E3218" t="s">
        <v>4059</v>
      </c>
      <c r="F3218" t="s">
        <v>4058</v>
      </c>
      <c r="G3218" t="s">
        <v>4039</v>
      </c>
      <c r="H3218" t="s">
        <v>4040</v>
      </c>
      <c r="I3218" t="s">
        <v>4041</v>
      </c>
      <c r="J3218" t="s">
        <v>429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4035</v>
      </c>
      <c r="B3219" t="s">
        <v>4057</v>
      </c>
      <c r="C3219" t="s">
        <v>368</v>
      </c>
      <c r="D3219" t="s">
        <v>3129</v>
      </c>
      <c r="E3219" t="s">
        <v>159</v>
      </c>
      <c r="F3219" t="s">
        <v>4058</v>
      </c>
      <c r="G3219" t="s">
        <v>4039</v>
      </c>
      <c r="H3219" t="s">
        <v>4040</v>
      </c>
      <c r="I3219" t="s">
        <v>4041</v>
      </c>
      <c r="J3219" t="s">
        <v>429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4035</v>
      </c>
      <c r="B3220" t="s">
        <v>4057</v>
      </c>
      <c r="C3220" t="s">
        <v>609</v>
      </c>
      <c r="D3220" t="s">
        <v>3129</v>
      </c>
      <c r="E3220" t="s">
        <v>310</v>
      </c>
      <c r="F3220" t="s">
        <v>4058</v>
      </c>
      <c r="G3220" t="s">
        <v>4039</v>
      </c>
      <c r="H3220" t="s">
        <v>4040</v>
      </c>
      <c r="I3220" t="s">
        <v>4041</v>
      </c>
      <c r="J3220" t="s">
        <v>429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4035</v>
      </c>
      <c r="B3221" t="s">
        <v>4057</v>
      </c>
      <c r="C3221" t="s">
        <v>609</v>
      </c>
      <c r="D3221" t="s">
        <v>3129</v>
      </c>
      <c r="E3221" t="s">
        <v>4060</v>
      </c>
      <c r="F3221" t="s">
        <v>4058</v>
      </c>
      <c r="G3221" t="s">
        <v>4039</v>
      </c>
      <c r="H3221" t="s">
        <v>4040</v>
      </c>
      <c r="I3221" t="s">
        <v>4041</v>
      </c>
      <c r="J3221" t="s">
        <v>429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4035</v>
      </c>
      <c r="B3222" t="s">
        <v>4057</v>
      </c>
      <c r="C3222" t="s">
        <v>609</v>
      </c>
      <c r="D3222" t="s">
        <v>3129</v>
      </c>
      <c r="E3222" t="s">
        <v>4061</v>
      </c>
      <c r="F3222" t="s">
        <v>4058</v>
      </c>
      <c r="G3222" t="s">
        <v>4039</v>
      </c>
      <c r="H3222" t="s">
        <v>4040</v>
      </c>
      <c r="I3222" t="s">
        <v>4041</v>
      </c>
      <c r="J3222" t="s">
        <v>429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4035</v>
      </c>
      <c r="B3223" t="s">
        <v>4057</v>
      </c>
      <c r="C3223" t="s">
        <v>609</v>
      </c>
      <c r="D3223" t="s">
        <v>3129</v>
      </c>
      <c r="E3223" t="s">
        <v>59</v>
      </c>
      <c r="F3223" t="s">
        <v>4058</v>
      </c>
      <c r="G3223" t="s">
        <v>4039</v>
      </c>
      <c r="H3223" t="s">
        <v>4040</v>
      </c>
      <c r="I3223" t="s">
        <v>4041</v>
      </c>
      <c r="J3223" t="s">
        <v>429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4035</v>
      </c>
      <c r="B3224" t="s">
        <v>4057</v>
      </c>
      <c r="C3224" t="s">
        <v>368</v>
      </c>
      <c r="D3224" t="s">
        <v>3129</v>
      </c>
      <c r="E3224" t="s">
        <v>4062</v>
      </c>
      <c r="F3224" t="s">
        <v>4058</v>
      </c>
      <c r="G3224" t="s">
        <v>4039</v>
      </c>
      <c r="H3224" t="s">
        <v>4040</v>
      </c>
      <c r="I3224" t="s">
        <v>4041</v>
      </c>
      <c r="J3224" t="s">
        <v>429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4035</v>
      </c>
      <c r="B3225" t="s">
        <v>4057</v>
      </c>
      <c r="C3225" t="s">
        <v>368</v>
      </c>
      <c r="D3225" t="s">
        <v>3129</v>
      </c>
      <c r="E3225" t="s">
        <v>283</v>
      </c>
      <c r="F3225" t="s">
        <v>4058</v>
      </c>
      <c r="G3225" t="s">
        <v>4039</v>
      </c>
      <c r="H3225" t="s">
        <v>4040</v>
      </c>
      <c r="I3225" t="s">
        <v>4041</v>
      </c>
      <c r="J3225" t="s">
        <v>429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4035</v>
      </c>
      <c r="B3226" t="s">
        <v>4057</v>
      </c>
      <c r="C3226" t="s">
        <v>368</v>
      </c>
      <c r="D3226" t="s">
        <v>3129</v>
      </c>
      <c r="E3226" t="s">
        <v>4063</v>
      </c>
      <c r="F3226" t="s">
        <v>4064</v>
      </c>
      <c r="G3226" t="s">
        <v>4039</v>
      </c>
      <c r="H3226" t="s">
        <v>4040</v>
      </c>
      <c r="I3226" t="s">
        <v>4065</v>
      </c>
      <c r="J3226" t="s">
        <v>429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4035</v>
      </c>
      <c r="B3227" t="s">
        <v>4057</v>
      </c>
      <c r="C3227" t="s">
        <v>368</v>
      </c>
      <c r="D3227" t="s">
        <v>3129</v>
      </c>
      <c r="E3227" t="s">
        <v>4066</v>
      </c>
      <c r="F3227" t="s">
        <v>4064</v>
      </c>
      <c r="G3227" t="s">
        <v>4039</v>
      </c>
      <c r="H3227" t="s">
        <v>4040</v>
      </c>
      <c r="I3227" t="s">
        <v>4065</v>
      </c>
      <c r="J3227" t="s">
        <v>429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4035</v>
      </c>
      <c r="B3228" t="s">
        <v>4057</v>
      </c>
      <c r="C3228" t="s">
        <v>368</v>
      </c>
      <c r="D3228" t="s">
        <v>3129</v>
      </c>
      <c r="E3228" t="s">
        <v>4067</v>
      </c>
      <c r="F3228" t="s">
        <v>4064</v>
      </c>
      <c r="G3228" t="s">
        <v>4039</v>
      </c>
      <c r="H3228" t="s">
        <v>4040</v>
      </c>
      <c r="I3228" t="s">
        <v>4065</v>
      </c>
      <c r="J3228" t="s">
        <v>429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4035</v>
      </c>
      <c r="B3229" t="s">
        <v>4057</v>
      </c>
      <c r="C3229" t="s">
        <v>368</v>
      </c>
      <c r="D3229" t="s">
        <v>3129</v>
      </c>
      <c r="E3229" t="s">
        <v>4068</v>
      </c>
      <c r="F3229" t="s">
        <v>4064</v>
      </c>
      <c r="G3229" t="s">
        <v>4039</v>
      </c>
      <c r="H3229" t="s">
        <v>4040</v>
      </c>
      <c r="I3229" t="s">
        <v>4065</v>
      </c>
      <c r="J3229" t="s">
        <v>429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4035</v>
      </c>
      <c r="B3230" t="s">
        <v>4057</v>
      </c>
      <c r="C3230" t="s">
        <v>368</v>
      </c>
      <c r="D3230" t="s">
        <v>3129</v>
      </c>
      <c r="E3230" t="s">
        <v>104</v>
      </c>
      <c r="F3230" t="s">
        <v>4064</v>
      </c>
      <c r="G3230" t="s">
        <v>4039</v>
      </c>
      <c r="H3230" t="s">
        <v>4040</v>
      </c>
      <c r="I3230" t="s">
        <v>4065</v>
      </c>
      <c r="J3230" t="s">
        <v>429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4035</v>
      </c>
      <c r="B3231" t="s">
        <v>4057</v>
      </c>
      <c r="C3231" t="s">
        <v>368</v>
      </c>
      <c r="D3231" t="s">
        <v>3129</v>
      </c>
      <c r="E3231" t="s">
        <v>4069</v>
      </c>
      <c r="F3231" t="s">
        <v>4064</v>
      </c>
      <c r="G3231" t="s">
        <v>4039</v>
      </c>
      <c r="H3231" t="s">
        <v>4040</v>
      </c>
      <c r="I3231" t="s">
        <v>4065</v>
      </c>
      <c r="J3231" t="s">
        <v>429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4035</v>
      </c>
      <c r="B3232" t="s">
        <v>4057</v>
      </c>
      <c r="C3232" t="s">
        <v>368</v>
      </c>
      <c r="D3232" t="s">
        <v>3129</v>
      </c>
      <c r="E3232" t="s">
        <v>114</v>
      </c>
      <c r="F3232" t="s">
        <v>4064</v>
      </c>
      <c r="G3232" t="s">
        <v>4039</v>
      </c>
      <c r="H3232" t="s">
        <v>4040</v>
      </c>
      <c r="I3232" t="s">
        <v>4065</v>
      </c>
      <c r="J3232" t="s">
        <v>429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4035</v>
      </c>
      <c r="B3233" t="s">
        <v>4057</v>
      </c>
      <c r="C3233" t="s">
        <v>368</v>
      </c>
      <c r="D3233" t="s">
        <v>3129</v>
      </c>
      <c r="E3233" t="s">
        <v>4070</v>
      </c>
      <c r="F3233" t="s">
        <v>4064</v>
      </c>
      <c r="G3233" t="s">
        <v>4039</v>
      </c>
      <c r="H3233" t="s">
        <v>4040</v>
      </c>
      <c r="I3233" t="s">
        <v>4065</v>
      </c>
      <c r="J3233" t="s">
        <v>429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4035</v>
      </c>
      <c r="B3234" t="s">
        <v>4057</v>
      </c>
      <c r="C3234" t="s">
        <v>368</v>
      </c>
      <c r="D3234" t="s">
        <v>3129</v>
      </c>
      <c r="E3234" t="s">
        <v>4071</v>
      </c>
      <c r="F3234" t="s">
        <v>4064</v>
      </c>
      <c r="G3234" t="s">
        <v>4039</v>
      </c>
      <c r="H3234" t="s">
        <v>4040</v>
      </c>
      <c r="I3234" t="s">
        <v>4065</v>
      </c>
      <c r="J3234" t="s">
        <v>429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4035</v>
      </c>
      <c r="B3235" t="s">
        <v>4057</v>
      </c>
      <c r="C3235" t="s">
        <v>609</v>
      </c>
      <c r="D3235" t="s">
        <v>3129</v>
      </c>
      <c r="E3235" t="s">
        <v>4072</v>
      </c>
      <c r="F3235" t="s">
        <v>4064</v>
      </c>
      <c r="G3235" t="s">
        <v>4039</v>
      </c>
      <c r="H3235" t="s">
        <v>4040</v>
      </c>
      <c r="I3235" t="s">
        <v>4065</v>
      </c>
      <c r="J3235" t="s">
        <v>429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4035</v>
      </c>
      <c r="B3236" t="s">
        <v>4057</v>
      </c>
      <c r="C3236" t="s">
        <v>609</v>
      </c>
      <c r="D3236" t="s">
        <v>3129</v>
      </c>
      <c r="E3236" t="s">
        <v>4073</v>
      </c>
      <c r="F3236" t="s">
        <v>4064</v>
      </c>
      <c r="G3236" t="s">
        <v>4039</v>
      </c>
      <c r="H3236" t="s">
        <v>4040</v>
      </c>
      <c r="I3236" t="s">
        <v>4065</v>
      </c>
      <c r="J3236" t="s">
        <v>429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4035</v>
      </c>
      <c r="B3237" t="s">
        <v>4057</v>
      </c>
      <c r="C3237" t="s">
        <v>609</v>
      </c>
      <c r="D3237" t="s">
        <v>3129</v>
      </c>
      <c r="E3237" t="s">
        <v>4074</v>
      </c>
      <c r="F3237" t="s">
        <v>4064</v>
      </c>
      <c r="G3237" t="s">
        <v>4039</v>
      </c>
      <c r="H3237" t="s">
        <v>4040</v>
      </c>
      <c r="I3237" t="s">
        <v>4065</v>
      </c>
      <c r="J3237" t="s">
        <v>429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4035</v>
      </c>
      <c r="B3238" t="s">
        <v>4057</v>
      </c>
      <c r="C3238" t="s">
        <v>609</v>
      </c>
      <c r="D3238" t="s">
        <v>3129</v>
      </c>
      <c r="E3238" t="s">
        <v>4075</v>
      </c>
      <c r="F3238" t="s">
        <v>4064</v>
      </c>
      <c r="G3238" t="s">
        <v>4039</v>
      </c>
      <c r="H3238" t="s">
        <v>4040</v>
      </c>
      <c r="I3238" t="s">
        <v>4065</v>
      </c>
      <c r="J3238" t="s">
        <v>429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4035</v>
      </c>
      <c r="B3239" t="s">
        <v>4057</v>
      </c>
      <c r="C3239" t="s">
        <v>609</v>
      </c>
      <c r="D3239" t="s">
        <v>3129</v>
      </c>
      <c r="E3239" t="s">
        <v>4076</v>
      </c>
      <c r="F3239" t="s">
        <v>4064</v>
      </c>
      <c r="G3239" t="s">
        <v>4039</v>
      </c>
      <c r="H3239" t="s">
        <v>4040</v>
      </c>
      <c r="I3239" t="s">
        <v>4065</v>
      </c>
      <c r="J3239" t="s">
        <v>429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4035</v>
      </c>
      <c r="B3240" t="s">
        <v>4057</v>
      </c>
      <c r="C3240" t="s">
        <v>368</v>
      </c>
      <c r="D3240" t="s">
        <v>3129</v>
      </c>
      <c r="E3240" t="s">
        <v>4077</v>
      </c>
      <c r="F3240" t="s">
        <v>4064</v>
      </c>
      <c r="G3240" t="s">
        <v>4039</v>
      </c>
      <c r="H3240" t="s">
        <v>4040</v>
      </c>
      <c r="I3240" t="s">
        <v>4065</v>
      </c>
      <c r="J3240" t="s">
        <v>429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4035</v>
      </c>
      <c r="B3241" t="s">
        <v>4057</v>
      </c>
      <c r="C3241" t="s">
        <v>368</v>
      </c>
      <c r="D3241" t="s">
        <v>3129</v>
      </c>
      <c r="E3241" t="s">
        <v>4078</v>
      </c>
      <c r="F3241" t="s">
        <v>4064</v>
      </c>
      <c r="G3241" t="s">
        <v>4039</v>
      </c>
      <c r="H3241" t="s">
        <v>4040</v>
      </c>
      <c r="I3241" t="s">
        <v>4065</v>
      </c>
      <c r="J3241" t="s">
        <v>429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4035</v>
      </c>
      <c r="B3242" t="s">
        <v>4057</v>
      </c>
      <c r="C3242" t="s">
        <v>368</v>
      </c>
      <c r="D3242" t="s">
        <v>3129</v>
      </c>
      <c r="E3242" t="s">
        <v>4079</v>
      </c>
      <c r="F3242" t="s">
        <v>4080</v>
      </c>
      <c r="G3242" t="s">
        <v>4039</v>
      </c>
      <c r="H3242" t="s">
        <v>4040</v>
      </c>
      <c r="I3242" t="s">
        <v>4081</v>
      </c>
      <c r="J3242" t="s">
        <v>429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4035</v>
      </c>
      <c r="B3243" t="s">
        <v>4057</v>
      </c>
      <c r="C3243" t="s">
        <v>368</v>
      </c>
      <c r="D3243" t="s">
        <v>3129</v>
      </c>
      <c r="E3243" t="s">
        <v>4082</v>
      </c>
      <c r="F3243" t="s">
        <v>4080</v>
      </c>
      <c r="G3243" t="s">
        <v>4039</v>
      </c>
      <c r="H3243" t="s">
        <v>4040</v>
      </c>
      <c r="I3243" t="s">
        <v>4081</v>
      </c>
      <c r="J3243" t="s">
        <v>429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4035</v>
      </c>
      <c r="B3244" t="s">
        <v>4057</v>
      </c>
      <c r="C3244" t="s">
        <v>368</v>
      </c>
      <c r="D3244" t="s">
        <v>3129</v>
      </c>
      <c r="E3244" t="s">
        <v>4083</v>
      </c>
      <c r="F3244" t="s">
        <v>4080</v>
      </c>
      <c r="G3244" t="s">
        <v>4039</v>
      </c>
      <c r="H3244" t="s">
        <v>4040</v>
      </c>
      <c r="I3244" t="s">
        <v>4081</v>
      </c>
      <c r="J3244" t="s">
        <v>429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4035</v>
      </c>
      <c r="B3245" t="s">
        <v>4057</v>
      </c>
      <c r="C3245" t="s">
        <v>368</v>
      </c>
      <c r="D3245" t="s">
        <v>3129</v>
      </c>
      <c r="E3245" t="s">
        <v>4084</v>
      </c>
      <c r="F3245" t="s">
        <v>4080</v>
      </c>
      <c r="G3245" t="s">
        <v>4039</v>
      </c>
      <c r="H3245" t="s">
        <v>4040</v>
      </c>
      <c r="I3245" t="s">
        <v>4081</v>
      </c>
      <c r="J3245" t="s">
        <v>429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4035</v>
      </c>
      <c r="B3246" t="s">
        <v>4057</v>
      </c>
      <c r="C3246" t="s">
        <v>368</v>
      </c>
      <c r="D3246" t="s">
        <v>3129</v>
      </c>
      <c r="E3246" t="s">
        <v>4085</v>
      </c>
      <c r="F3246" t="s">
        <v>4080</v>
      </c>
      <c r="G3246" t="s">
        <v>4039</v>
      </c>
      <c r="H3246" t="s">
        <v>4040</v>
      </c>
      <c r="I3246" t="s">
        <v>4081</v>
      </c>
      <c r="J3246" t="s">
        <v>429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4035</v>
      </c>
      <c r="B3247" t="s">
        <v>4057</v>
      </c>
      <c r="C3247" t="s">
        <v>368</v>
      </c>
      <c r="D3247" t="s">
        <v>3129</v>
      </c>
      <c r="E3247" t="s">
        <v>4086</v>
      </c>
      <c r="F3247" t="s">
        <v>4080</v>
      </c>
      <c r="G3247" t="s">
        <v>4039</v>
      </c>
      <c r="H3247" t="s">
        <v>4040</v>
      </c>
      <c r="I3247" t="s">
        <v>4081</v>
      </c>
      <c r="J3247" t="s">
        <v>429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4035</v>
      </c>
      <c r="B3248" t="s">
        <v>4057</v>
      </c>
      <c r="C3248" t="s">
        <v>368</v>
      </c>
      <c r="D3248" t="s">
        <v>3129</v>
      </c>
      <c r="E3248" t="s">
        <v>4087</v>
      </c>
      <c r="F3248" t="s">
        <v>4080</v>
      </c>
      <c r="G3248" t="s">
        <v>4039</v>
      </c>
      <c r="H3248" t="s">
        <v>4040</v>
      </c>
      <c r="I3248" t="s">
        <v>4081</v>
      </c>
      <c r="J3248" t="s">
        <v>429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4035</v>
      </c>
      <c r="B3249" t="s">
        <v>4057</v>
      </c>
      <c r="C3249" t="s">
        <v>368</v>
      </c>
      <c r="D3249" t="s">
        <v>3129</v>
      </c>
      <c r="E3249" t="s">
        <v>4088</v>
      </c>
      <c r="F3249" t="s">
        <v>4080</v>
      </c>
      <c r="G3249" t="s">
        <v>4039</v>
      </c>
      <c r="H3249" t="s">
        <v>4040</v>
      </c>
      <c r="I3249" t="s">
        <v>4081</v>
      </c>
      <c r="J3249" t="s">
        <v>429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4035</v>
      </c>
      <c r="B3250" t="s">
        <v>4057</v>
      </c>
      <c r="C3250" t="s">
        <v>368</v>
      </c>
      <c r="D3250" t="s">
        <v>3129</v>
      </c>
      <c r="E3250" t="s">
        <v>4089</v>
      </c>
      <c r="F3250" t="s">
        <v>4080</v>
      </c>
      <c r="G3250" t="s">
        <v>4039</v>
      </c>
      <c r="H3250" t="s">
        <v>4040</v>
      </c>
      <c r="I3250" t="s">
        <v>4081</v>
      </c>
      <c r="J3250" t="s">
        <v>429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4035</v>
      </c>
      <c r="B3251" t="s">
        <v>4057</v>
      </c>
      <c r="C3251" t="s">
        <v>609</v>
      </c>
      <c r="D3251" t="s">
        <v>3129</v>
      </c>
      <c r="E3251" t="s">
        <v>4090</v>
      </c>
      <c r="F3251" t="s">
        <v>4080</v>
      </c>
      <c r="G3251" t="s">
        <v>4039</v>
      </c>
      <c r="H3251" t="s">
        <v>4040</v>
      </c>
      <c r="I3251" t="s">
        <v>4081</v>
      </c>
      <c r="J3251" t="s">
        <v>429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4035</v>
      </c>
      <c r="B3252" t="s">
        <v>4057</v>
      </c>
      <c r="C3252" t="s">
        <v>609</v>
      </c>
      <c r="D3252" t="s">
        <v>3129</v>
      </c>
      <c r="E3252" t="s">
        <v>4091</v>
      </c>
      <c r="F3252" t="s">
        <v>4080</v>
      </c>
      <c r="G3252" t="s">
        <v>4039</v>
      </c>
      <c r="H3252" t="s">
        <v>4040</v>
      </c>
      <c r="I3252" t="s">
        <v>4081</v>
      </c>
      <c r="J3252" t="s">
        <v>429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4035</v>
      </c>
      <c r="B3253" t="s">
        <v>4057</v>
      </c>
      <c r="C3253" t="s">
        <v>609</v>
      </c>
      <c r="D3253" t="s">
        <v>3129</v>
      </c>
      <c r="E3253" t="s">
        <v>4092</v>
      </c>
      <c r="F3253" t="s">
        <v>4080</v>
      </c>
      <c r="G3253" t="s">
        <v>4039</v>
      </c>
      <c r="H3253" t="s">
        <v>4040</v>
      </c>
      <c r="I3253" t="s">
        <v>4081</v>
      </c>
      <c r="J3253" t="s">
        <v>429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4035</v>
      </c>
      <c r="B3254" t="s">
        <v>4057</v>
      </c>
      <c r="C3254" t="s">
        <v>609</v>
      </c>
      <c r="D3254" t="s">
        <v>3129</v>
      </c>
      <c r="E3254" t="s">
        <v>4093</v>
      </c>
      <c r="F3254" t="s">
        <v>4080</v>
      </c>
      <c r="G3254" t="s">
        <v>4039</v>
      </c>
      <c r="H3254" t="s">
        <v>4040</v>
      </c>
      <c r="I3254" t="s">
        <v>4081</v>
      </c>
      <c r="J3254" t="s">
        <v>429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4035</v>
      </c>
      <c r="B3255" t="s">
        <v>4057</v>
      </c>
      <c r="C3255" t="s">
        <v>368</v>
      </c>
      <c r="D3255" t="s">
        <v>3129</v>
      </c>
      <c r="E3255" t="s">
        <v>4094</v>
      </c>
      <c r="F3255" t="s">
        <v>4080</v>
      </c>
      <c r="G3255" t="s">
        <v>4039</v>
      </c>
      <c r="H3255" t="s">
        <v>4040</v>
      </c>
      <c r="I3255" t="s">
        <v>4081</v>
      </c>
      <c r="J3255" t="s">
        <v>429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4035</v>
      </c>
      <c r="B3256" t="s">
        <v>4057</v>
      </c>
      <c r="C3256" t="s">
        <v>368</v>
      </c>
      <c r="D3256" t="s">
        <v>3129</v>
      </c>
      <c r="E3256" t="s">
        <v>4095</v>
      </c>
      <c r="F3256" t="s">
        <v>4080</v>
      </c>
      <c r="G3256" t="s">
        <v>4039</v>
      </c>
      <c r="H3256" t="s">
        <v>4040</v>
      </c>
      <c r="I3256" t="s">
        <v>4081</v>
      </c>
      <c r="J3256" t="s">
        <v>429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4035</v>
      </c>
      <c r="B3257" t="s">
        <v>4036</v>
      </c>
      <c r="C3257" t="s">
        <v>368</v>
      </c>
      <c r="D3257" t="s">
        <v>3129</v>
      </c>
      <c r="E3257" t="s">
        <v>4096</v>
      </c>
      <c r="F3257" t="s">
        <v>4097</v>
      </c>
      <c r="G3257" t="s">
        <v>4039</v>
      </c>
      <c r="H3257" t="s">
        <v>4040</v>
      </c>
      <c r="I3257" t="s">
        <v>4098</v>
      </c>
      <c r="J3257" t="s">
        <v>4042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4035</v>
      </c>
      <c r="B3258" t="s">
        <v>4036</v>
      </c>
      <c r="C3258" t="s">
        <v>368</v>
      </c>
      <c r="D3258" t="s">
        <v>3129</v>
      </c>
      <c r="E3258" t="s">
        <v>4099</v>
      </c>
      <c r="F3258" t="s">
        <v>4097</v>
      </c>
      <c r="G3258" t="s">
        <v>4039</v>
      </c>
      <c r="H3258" t="s">
        <v>4040</v>
      </c>
      <c r="I3258" t="s">
        <v>4098</v>
      </c>
      <c r="J3258" t="s">
        <v>4042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4035</v>
      </c>
      <c r="B3259" t="s">
        <v>4036</v>
      </c>
      <c r="C3259" t="s">
        <v>368</v>
      </c>
      <c r="D3259" t="s">
        <v>3129</v>
      </c>
      <c r="E3259" t="s">
        <v>4100</v>
      </c>
      <c r="F3259" t="s">
        <v>4097</v>
      </c>
      <c r="G3259" t="s">
        <v>4039</v>
      </c>
      <c r="H3259" t="s">
        <v>4040</v>
      </c>
      <c r="I3259" t="s">
        <v>4098</v>
      </c>
      <c r="J3259" t="s">
        <v>4042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4035</v>
      </c>
      <c r="B3260" t="s">
        <v>4036</v>
      </c>
      <c r="C3260" t="s">
        <v>368</v>
      </c>
      <c r="D3260" t="s">
        <v>3129</v>
      </c>
      <c r="E3260" t="s">
        <v>4101</v>
      </c>
      <c r="F3260" t="s">
        <v>4097</v>
      </c>
      <c r="G3260" t="s">
        <v>4039</v>
      </c>
      <c r="H3260" t="s">
        <v>4040</v>
      </c>
      <c r="I3260" t="s">
        <v>4098</v>
      </c>
      <c r="J3260" t="s">
        <v>4042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4035</v>
      </c>
      <c r="B3261" t="s">
        <v>4036</v>
      </c>
      <c r="C3261" t="s">
        <v>368</v>
      </c>
      <c r="D3261" t="s">
        <v>3129</v>
      </c>
      <c r="E3261" t="s">
        <v>4102</v>
      </c>
      <c r="F3261" t="s">
        <v>4097</v>
      </c>
      <c r="G3261" t="s">
        <v>4039</v>
      </c>
      <c r="H3261" t="s">
        <v>4040</v>
      </c>
      <c r="I3261" t="s">
        <v>4098</v>
      </c>
      <c r="J3261" t="s">
        <v>4042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4035</v>
      </c>
      <c r="B3262" t="s">
        <v>4036</v>
      </c>
      <c r="C3262" t="s">
        <v>368</v>
      </c>
      <c r="D3262" t="s">
        <v>3129</v>
      </c>
      <c r="E3262" t="s">
        <v>4103</v>
      </c>
      <c r="F3262" t="s">
        <v>4097</v>
      </c>
      <c r="G3262" t="s">
        <v>4039</v>
      </c>
      <c r="H3262" t="s">
        <v>4040</v>
      </c>
      <c r="I3262" t="s">
        <v>4098</v>
      </c>
      <c r="J3262" t="s">
        <v>4042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4035</v>
      </c>
      <c r="B3263" t="s">
        <v>4036</v>
      </c>
      <c r="C3263" t="s">
        <v>368</v>
      </c>
      <c r="D3263" t="s">
        <v>3129</v>
      </c>
      <c r="E3263" t="s">
        <v>88</v>
      </c>
      <c r="F3263" t="s">
        <v>4097</v>
      </c>
      <c r="G3263" t="s">
        <v>4039</v>
      </c>
      <c r="H3263" t="s">
        <v>4040</v>
      </c>
      <c r="I3263" t="s">
        <v>4098</v>
      </c>
      <c r="J3263" t="s">
        <v>4042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4035</v>
      </c>
      <c r="B3264" t="s">
        <v>4036</v>
      </c>
      <c r="C3264" t="s">
        <v>368</v>
      </c>
      <c r="D3264" t="s">
        <v>3129</v>
      </c>
      <c r="E3264" t="s">
        <v>4104</v>
      </c>
      <c r="F3264" t="s">
        <v>4097</v>
      </c>
      <c r="G3264" t="s">
        <v>4039</v>
      </c>
      <c r="H3264" t="s">
        <v>4040</v>
      </c>
      <c r="I3264" t="s">
        <v>4098</v>
      </c>
      <c r="J3264" t="s">
        <v>4042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4035</v>
      </c>
      <c r="B3265" t="s">
        <v>4036</v>
      </c>
      <c r="C3265" t="s">
        <v>368</v>
      </c>
      <c r="D3265" t="s">
        <v>3129</v>
      </c>
      <c r="E3265" t="s">
        <v>4105</v>
      </c>
      <c r="F3265" t="s">
        <v>4097</v>
      </c>
      <c r="G3265" t="s">
        <v>4039</v>
      </c>
      <c r="H3265" t="s">
        <v>4040</v>
      </c>
      <c r="I3265" t="s">
        <v>4098</v>
      </c>
      <c r="J3265" t="s">
        <v>4042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4035</v>
      </c>
      <c r="B3266" t="s">
        <v>4036</v>
      </c>
      <c r="C3266" t="s">
        <v>609</v>
      </c>
      <c r="D3266" t="s">
        <v>3129</v>
      </c>
      <c r="E3266" t="s">
        <v>4106</v>
      </c>
      <c r="F3266" t="s">
        <v>4097</v>
      </c>
      <c r="G3266" t="s">
        <v>4039</v>
      </c>
      <c r="H3266" t="s">
        <v>4040</v>
      </c>
      <c r="I3266" t="s">
        <v>4098</v>
      </c>
      <c r="J3266" t="s">
        <v>4042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4035</v>
      </c>
      <c r="B3267" t="s">
        <v>4036</v>
      </c>
      <c r="C3267" t="s">
        <v>609</v>
      </c>
      <c r="D3267" t="s">
        <v>3129</v>
      </c>
      <c r="E3267" t="s">
        <v>4107</v>
      </c>
      <c r="F3267" t="s">
        <v>4097</v>
      </c>
      <c r="G3267" t="s">
        <v>4039</v>
      </c>
      <c r="H3267" t="s">
        <v>4040</v>
      </c>
      <c r="I3267" t="s">
        <v>4098</v>
      </c>
      <c r="J3267" t="s">
        <v>4042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4035</v>
      </c>
      <c r="B3268" t="s">
        <v>4036</v>
      </c>
      <c r="C3268" t="s">
        <v>609</v>
      </c>
      <c r="D3268" t="s">
        <v>3129</v>
      </c>
      <c r="E3268" t="s">
        <v>4108</v>
      </c>
      <c r="F3268" t="s">
        <v>4097</v>
      </c>
      <c r="G3268" t="s">
        <v>4039</v>
      </c>
      <c r="H3268" t="s">
        <v>4040</v>
      </c>
      <c r="I3268" t="s">
        <v>4098</v>
      </c>
      <c r="J3268" t="s">
        <v>4042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4035</v>
      </c>
      <c r="B3269" t="s">
        <v>4036</v>
      </c>
      <c r="C3269" t="s">
        <v>609</v>
      </c>
      <c r="D3269" t="s">
        <v>3129</v>
      </c>
      <c r="E3269" t="s">
        <v>4109</v>
      </c>
      <c r="F3269" t="s">
        <v>4097</v>
      </c>
      <c r="G3269" t="s">
        <v>4039</v>
      </c>
      <c r="H3269" t="s">
        <v>4040</v>
      </c>
      <c r="I3269" t="s">
        <v>4098</v>
      </c>
      <c r="J3269" t="s">
        <v>4042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4035</v>
      </c>
      <c r="B3270" t="s">
        <v>4036</v>
      </c>
      <c r="C3270" t="s">
        <v>368</v>
      </c>
      <c r="D3270" t="s">
        <v>3129</v>
      </c>
      <c r="E3270" t="s">
        <v>4110</v>
      </c>
      <c r="F3270" t="s">
        <v>4097</v>
      </c>
      <c r="G3270" t="s">
        <v>4039</v>
      </c>
      <c r="H3270" t="s">
        <v>4040</v>
      </c>
      <c r="I3270" t="s">
        <v>4098</v>
      </c>
      <c r="J3270" t="s">
        <v>4042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4035</v>
      </c>
      <c r="B3271" t="s">
        <v>4036</v>
      </c>
      <c r="C3271" t="s">
        <v>368</v>
      </c>
      <c r="D3271" t="s">
        <v>3129</v>
      </c>
      <c r="E3271" t="s">
        <v>4111</v>
      </c>
      <c r="F3271" t="s">
        <v>4097</v>
      </c>
      <c r="G3271" t="s">
        <v>4039</v>
      </c>
      <c r="H3271" t="s">
        <v>4040</v>
      </c>
      <c r="I3271" t="s">
        <v>4098</v>
      </c>
      <c r="J3271" t="s">
        <v>4042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4035</v>
      </c>
      <c r="B3272" t="s">
        <v>4112</v>
      </c>
      <c r="C3272" t="s">
        <v>368</v>
      </c>
      <c r="D3272" t="s">
        <v>3129</v>
      </c>
      <c r="E3272" t="s">
        <v>4113</v>
      </c>
      <c r="F3272" t="s">
        <v>4114</v>
      </c>
      <c r="G3272" t="s">
        <v>4039</v>
      </c>
      <c r="H3272" t="s">
        <v>4040</v>
      </c>
      <c r="I3272" t="s">
        <v>374</v>
      </c>
      <c r="J3272" t="s">
        <v>4115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4035</v>
      </c>
      <c r="B3273" t="s">
        <v>4112</v>
      </c>
      <c r="C3273" t="s">
        <v>368</v>
      </c>
      <c r="D3273" t="s">
        <v>3129</v>
      </c>
      <c r="E3273" t="s">
        <v>4116</v>
      </c>
      <c r="F3273" t="s">
        <v>4114</v>
      </c>
      <c r="G3273" t="s">
        <v>4039</v>
      </c>
      <c r="H3273" t="s">
        <v>4040</v>
      </c>
      <c r="I3273" t="s">
        <v>374</v>
      </c>
      <c r="J3273" t="s">
        <v>4115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4035</v>
      </c>
      <c r="B3274" t="s">
        <v>4112</v>
      </c>
      <c r="C3274" t="s">
        <v>368</v>
      </c>
      <c r="D3274" t="s">
        <v>3129</v>
      </c>
      <c r="E3274" t="s">
        <v>4117</v>
      </c>
      <c r="F3274" t="s">
        <v>4114</v>
      </c>
      <c r="G3274" t="s">
        <v>4039</v>
      </c>
      <c r="H3274" t="s">
        <v>4040</v>
      </c>
      <c r="I3274" t="s">
        <v>374</v>
      </c>
      <c r="J3274" t="s">
        <v>4115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4035</v>
      </c>
      <c r="B3275" t="s">
        <v>4112</v>
      </c>
      <c r="C3275" t="s">
        <v>368</v>
      </c>
      <c r="D3275" t="s">
        <v>3129</v>
      </c>
      <c r="E3275" t="s">
        <v>4118</v>
      </c>
      <c r="F3275" t="s">
        <v>4114</v>
      </c>
      <c r="G3275" t="s">
        <v>4039</v>
      </c>
      <c r="H3275" t="s">
        <v>4040</v>
      </c>
      <c r="I3275" t="s">
        <v>374</v>
      </c>
      <c r="J3275" t="s">
        <v>4115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4035</v>
      </c>
      <c r="B3276" t="s">
        <v>4112</v>
      </c>
      <c r="C3276" t="s">
        <v>368</v>
      </c>
      <c r="D3276" t="s">
        <v>3129</v>
      </c>
      <c r="E3276" t="s">
        <v>4119</v>
      </c>
      <c r="F3276" t="s">
        <v>4114</v>
      </c>
      <c r="G3276" t="s">
        <v>4039</v>
      </c>
      <c r="H3276" t="s">
        <v>4040</v>
      </c>
      <c r="I3276" t="s">
        <v>374</v>
      </c>
      <c r="J3276" t="s">
        <v>4115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4035</v>
      </c>
      <c r="B3277" t="s">
        <v>4112</v>
      </c>
      <c r="C3277" t="s">
        <v>368</v>
      </c>
      <c r="D3277" t="s">
        <v>3129</v>
      </c>
      <c r="E3277" t="s">
        <v>4120</v>
      </c>
      <c r="F3277" t="s">
        <v>4114</v>
      </c>
      <c r="G3277" t="s">
        <v>4039</v>
      </c>
      <c r="H3277" t="s">
        <v>4040</v>
      </c>
      <c r="I3277" t="s">
        <v>374</v>
      </c>
      <c r="J3277" t="s">
        <v>4115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4035</v>
      </c>
      <c r="B3278" t="s">
        <v>4112</v>
      </c>
      <c r="C3278" t="s">
        <v>368</v>
      </c>
      <c r="D3278" t="s">
        <v>3129</v>
      </c>
      <c r="E3278" t="s">
        <v>4121</v>
      </c>
      <c r="F3278" t="s">
        <v>4114</v>
      </c>
      <c r="G3278" t="s">
        <v>4039</v>
      </c>
      <c r="H3278" t="s">
        <v>4040</v>
      </c>
      <c r="I3278" t="s">
        <v>374</v>
      </c>
      <c r="J3278" t="s">
        <v>4115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4035</v>
      </c>
      <c r="B3279" t="s">
        <v>4112</v>
      </c>
      <c r="C3279" t="s">
        <v>368</v>
      </c>
      <c r="D3279" t="s">
        <v>3129</v>
      </c>
      <c r="E3279" t="s">
        <v>4122</v>
      </c>
      <c r="F3279" t="s">
        <v>4114</v>
      </c>
      <c r="G3279" t="s">
        <v>4039</v>
      </c>
      <c r="H3279" t="s">
        <v>4040</v>
      </c>
      <c r="I3279" t="s">
        <v>374</v>
      </c>
      <c r="J3279" t="s">
        <v>4115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4035</v>
      </c>
      <c r="B3280" t="s">
        <v>4112</v>
      </c>
      <c r="C3280" t="s">
        <v>368</v>
      </c>
      <c r="D3280" t="s">
        <v>3129</v>
      </c>
      <c r="E3280" t="s">
        <v>4123</v>
      </c>
      <c r="F3280" t="s">
        <v>4114</v>
      </c>
      <c r="G3280" t="s">
        <v>4039</v>
      </c>
      <c r="H3280" t="s">
        <v>4040</v>
      </c>
      <c r="I3280" t="s">
        <v>374</v>
      </c>
      <c r="J3280" t="s">
        <v>4115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4035</v>
      </c>
      <c r="B3281" t="s">
        <v>4112</v>
      </c>
      <c r="C3281" t="s">
        <v>609</v>
      </c>
      <c r="D3281" t="s">
        <v>3129</v>
      </c>
      <c r="E3281" t="s">
        <v>4124</v>
      </c>
      <c r="F3281" t="s">
        <v>4114</v>
      </c>
      <c r="G3281" t="s">
        <v>4039</v>
      </c>
      <c r="H3281" t="s">
        <v>4040</v>
      </c>
      <c r="I3281" t="s">
        <v>374</v>
      </c>
      <c r="J3281" t="s">
        <v>4115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4035</v>
      </c>
      <c r="B3282" t="s">
        <v>4112</v>
      </c>
      <c r="C3282" t="s">
        <v>609</v>
      </c>
      <c r="D3282" t="s">
        <v>3129</v>
      </c>
      <c r="E3282" t="s">
        <v>4125</v>
      </c>
      <c r="F3282" t="s">
        <v>4114</v>
      </c>
      <c r="G3282" t="s">
        <v>4039</v>
      </c>
      <c r="H3282" t="s">
        <v>4040</v>
      </c>
      <c r="I3282" t="s">
        <v>374</v>
      </c>
      <c r="J3282" t="s">
        <v>4115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4035</v>
      </c>
      <c r="B3283" t="s">
        <v>4112</v>
      </c>
      <c r="C3283" t="s">
        <v>609</v>
      </c>
      <c r="D3283" t="s">
        <v>3129</v>
      </c>
      <c r="E3283" t="s">
        <v>4126</v>
      </c>
      <c r="F3283" t="s">
        <v>4114</v>
      </c>
      <c r="G3283" t="s">
        <v>4039</v>
      </c>
      <c r="H3283" t="s">
        <v>4040</v>
      </c>
      <c r="I3283" t="s">
        <v>374</v>
      </c>
      <c r="J3283" t="s">
        <v>4115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4035</v>
      </c>
      <c r="B3284" t="s">
        <v>4112</v>
      </c>
      <c r="C3284" t="s">
        <v>609</v>
      </c>
      <c r="D3284" t="s">
        <v>3129</v>
      </c>
      <c r="E3284" t="s">
        <v>4127</v>
      </c>
      <c r="F3284" t="s">
        <v>4114</v>
      </c>
      <c r="G3284" t="s">
        <v>4039</v>
      </c>
      <c r="H3284" t="s">
        <v>4040</v>
      </c>
      <c r="I3284" t="s">
        <v>374</v>
      </c>
      <c r="J3284" t="s">
        <v>4115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4035</v>
      </c>
      <c r="B3285" t="s">
        <v>4112</v>
      </c>
      <c r="C3285" t="s">
        <v>368</v>
      </c>
      <c r="D3285" t="s">
        <v>3129</v>
      </c>
      <c r="E3285" t="s">
        <v>4128</v>
      </c>
      <c r="F3285" t="s">
        <v>4114</v>
      </c>
      <c r="G3285" t="s">
        <v>4039</v>
      </c>
      <c r="H3285" t="s">
        <v>4040</v>
      </c>
      <c r="I3285" t="s">
        <v>374</v>
      </c>
      <c r="J3285" t="s">
        <v>4115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4035</v>
      </c>
      <c r="B3286" t="s">
        <v>4112</v>
      </c>
      <c r="C3286" t="s">
        <v>368</v>
      </c>
      <c r="D3286" t="s">
        <v>3129</v>
      </c>
      <c r="E3286" t="s">
        <v>4129</v>
      </c>
      <c r="F3286" t="s">
        <v>4114</v>
      </c>
      <c r="G3286" t="s">
        <v>4039</v>
      </c>
      <c r="H3286" t="s">
        <v>4040</v>
      </c>
      <c r="I3286" t="s">
        <v>374</v>
      </c>
      <c r="J3286" t="s">
        <v>4115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4035</v>
      </c>
      <c r="B3287" t="s">
        <v>4130</v>
      </c>
      <c r="C3287" t="s">
        <v>368</v>
      </c>
      <c r="D3287" t="s">
        <v>3129</v>
      </c>
      <c r="E3287" t="s">
        <v>4131</v>
      </c>
      <c r="F3287" t="s">
        <v>4132</v>
      </c>
      <c r="G3287" t="s">
        <v>4039</v>
      </c>
      <c r="H3287" t="s">
        <v>4133</v>
      </c>
      <c r="I3287" t="s">
        <v>374</v>
      </c>
      <c r="J3287" t="s">
        <v>1467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4035</v>
      </c>
      <c r="B3288" t="s">
        <v>4130</v>
      </c>
      <c r="C3288" t="s">
        <v>368</v>
      </c>
      <c r="D3288" t="s">
        <v>3129</v>
      </c>
      <c r="E3288" t="s">
        <v>4134</v>
      </c>
      <c r="F3288" t="s">
        <v>4132</v>
      </c>
      <c r="G3288" t="s">
        <v>4039</v>
      </c>
      <c r="H3288" t="s">
        <v>4133</v>
      </c>
      <c r="I3288" t="s">
        <v>374</v>
      </c>
      <c r="J3288" t="s">
        <v>1467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4035</v>
      </c>
      <c r="B3289" t="s">
        <v>4130</v>
      </c>
      <c r="C3289" t="s">
        <v>368</v>
      </c>
      <c r="D3289" t="s">
        <v>3129</v>
      </c>
      <c r="E3289" t="s">
        <v>4135</v>
      </c>
      <c r="F3289" t="s">
        <v>4132</v>
      </c>
      <c r="G3289" t="s">
        <v>4039</v>
      </c>
      <c r="H3289" t="s">
        <v>4133</v>
      </c>
      <c r="I3289" t="s">
        <v>374</v>
      </c>
      <c r="J3289" t="s">
        <v>1467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4035</v>
      </c>
      <c r="B3290" t="s">
        <v>4130</v>
      </c>
      <c r="C3290" t="s">
        <v>368</v>
      </c>
      <c r="D3290" t="s">
        <v>3129</v>
      </c>
      <c r="E3290" t="s">
        <v>4136</v>
      </c>
      <c r="F3290" t="s">
        <v>4132</v>
      </c>
      <c r="G3290" t="s">
        <v>4039</v>
      </c>
      <c r="H3290" t="s">
        <v>4133</v>
      </c>
      <c r="I3290" t="s">
        <v>374</v>
      </c>
      <c r="J3290" t="s">
        <v>1467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4035</v>
      </c>
      <c r="B3291" t="s">
        <v>4130</v>
      </c>
      <c r="C3291" t="s">
        <v>368</v>
      </c>
      <c r="D3291" t="s">
        <v>3129</v>
      </c>
      <c r="E3291" t="s">
        <v>4137</v>
      </c>
      <c r="F3291" t="s">
        <v>4132</v>
      </c>
      <c r="G3291" t="s">
        <v>4039</v>
      </c>
      <c r="H3291" t="s">
        <v>4133</v>
      </c>
      <c r="I3291" t="s">
        <v>374</v>
      </c>
      <c r="J3291" t="s">
        <v>1467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4035</v>
      </c>
      <c r="B3292" t="s">
        <v>4130</v>
      </c>
      <c r="C3292" t="s">
        <v>368</v>
      </c>
      <c r="D3292" t="s">
        <v>3129</v>
      </c>
      <c r="E3292" t="s">
        <v>4138</v>
      </c>
      <c r="F3292" t="s">
        <v>4132</v>
      </c>
      <c r="G3292" t="s">
        <v>4039</v>
      </c>
      <c r="H3292" t="s">
        <v>4133</v>
      </c>
      <c r="I3292" t="s">
        <v>374</v>
      </c>
      <c r="J3292" t="s">
        <v>1467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4035</v>
      </c>
      <c r="B3293" t="s">
        <v>4130</v>
      </c>
      <c r="C3293" t="s">
        <v>368</v>
      </c>
      <c r="D3293" t="s">
        <v>3129</v>
      </c>
      <c r="E3293" t="s">
        <v>4139</v>
      </c>
      <c r="F3293" t="s">
        <v>4132</v>
      </c>
      <c r="G3293" t="s">
        <v>4039</v>
      </c>
      <c r="H3293" t="s">
        <v>4133</v>
      </c>
      <c r="I3293" t="s">
        <v>374</v>
      </c>
      <c r="J3293" t="s">
        <v>1467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4035</v>
      </c>
      <c r="B3294" t="s">
        <v>4130</v>
      </c>
      <c r="C3294" t="s">
        <v>368</v>
      </c>
      <c r="D3294" t="s">
        <v>3129</v>
      </c>
      <c r="E3294" t="s">
        <v>4140</v>
      </c>
      <c r="F3294" t="s">
        <v>4132</v>
      </c>
      <c r="G3294" t="s">
        <v>4039</v>
      </c>
      <c r="H3294" t="s">
        <v>4133</v>
      </c>
      <c r="I3294" t="s">
        <v>374</v>
      </c>
      <c r="J3294" t="s">
        <v>1467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4035</v>
      </c>
      <c r="B3295" t="s">
        <v>4130</v>
      </c>
      <c r="C3295" t="s">
        <v>368</v>
      </c>
      <c r="D3295" t="s">
        <v>3129</v>
      </c>
      <c r="E3295" t="s">
        <v>4141</v>
      </c>
      <c r="F3295" t="s">
        <v>4132</v>
      </c>
      <c r="G3295" t="s">
        <v>4039</v>
      </c>
      <c r="H3295" t="s">
        <v>4133</v>
      </c>
      <c r="I3295" t="s">
        <v>374</v>
      </c>
      <c r="J3295" t="s">
        <v>1467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4035</v>
      </c>
      <c r="B3296" t="s">
        <v>4130</v>
      </c>
      <c r="C3296" t="s">
        <v>609</v>
      </c>
      <c r="D3296" t="s">
        <v>3129</v>
      </c>
      <c r="E3296" t="s">
        <v>4142</v>
      </c>
      <c r="F3296" t="s">
        <v>4132</v>
      </c>
      <c r="G3296" t="s">
        <v>4039</v>
      </c>
      <c r="H3296" t="s">
        <v>4133</v>
      </c>
      <c r="I3296" t="s">
        <v>374</v>
      </c>
      <c r="J3296" t="s">
        <v>1467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4035</v>
      </c>
      <c r="B3297" t="s">
        <v>4130</v>
      </c>
      <c r="C3297" t="s">
        <v>609</v>
      </c>
      <c r="D3297" t="s">
        <v>3129</v>
      </c>
      <c r="E3297" t="s">
        <v>4143</v>
      </c>
      <c r="F3297" t="s">
        <v>4132</v>
      </c>
      <c r="G3297" t="s">
        <v>4039</v>
      </c>
      <c r="H3297" t="s">
        <v>4133</v>
      </c>
      <c r="I3297" t="s">
        <v>374</v>
      </c>
      <c r="J3297" t="s">
        <v>1467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4035</v>
      </c>
      <c r="B3298" t="s">
        <v>4130</v>
      </c>
      <c r="C3298" t="s">
        <v>609</v>
      </c>
      <c r="D3298" t="s">
        <v>3129</v>
      </c>
      <c r="E3298" t="s">
        <v>4144</v>
      </c>
      <c r="F3298" t="s">
        <v>4132</v>
      </c>
      <c r="G3298" t="s">
        <v>4039</v>
      </c>
      <c r="H3298" t="s">
        <v>4133</v>
      </c>
      <c r="I3298" t="s">
        <v>374</v>
      </c>
      <c r="J3298" t="s">
        <v>1467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4035</v>
      </c>
      <c r="B3299" t="s">
        <v>4130</v>
      </c>
      <c r="C3299" t="s">
        <v>609</v>
      </c>
      <c r="D3299" t="s">
        <v>3129</v>
      </c>
      <c r="E3299" t="s">
        <v>4145</v>
      </c>
      <c r="F3299" t="s">
        <v>4132</v>
      </c>
      <c r="G3299" t="s">
        <v>4039</v>
      </c>
      <c r="H3299" t="s">
        <v>4133</v>
      </c>
      <c r="I3299" t="s">
        <v>374</v>
      </c>
      <c r="J3299" t="s">
        <v>1467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4035</v>
      </c>
      <c r="B3300" t="s">
        <v>4130</v>
      </c>
      <c r="C3300" t="s">
        <v>368</v>
      </c>
      <c r="D3300" t="s">
        <v>3129</v>
      </c>
      <c r="E3300" t="s">
        <v>4146</v>
      </c>
      <c r="F3300" t="s">
        <v>4132</v>
      </c>
      <c r="G3300" t="s">
        <v>4039</v>
      </c>
      <c r="H3300" t="s">
        <v>4133</v>
      </c>
      <c r="I3300" t="s">
        <v>374</v>
      </c>
      <c r="J3300" t="s">
        <v>1467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4035</v>
      </c>
      <c r="B3301" t="s">
        <v>4130</v>
      </c>
      <c r="C3301" t="s">
        <v>368</v>
      </c>
      <c r="D3301" t="s">
        <v>3129</v>
      </c>
      <c r="E3301" t="s">
        <v>4147</v>
      </c>
      <c r="F3301" t="s">
        <v>4132</v>
      </c>
      <c r="G3301" t="s">
        <v>4039</v>
      </c>
      <c r="H3301" t="s">
        <v>4133</v>
      </c>
      <c r="I3301" t="s">
        <v>374</v>
      </c>
      <c r="J3301" t="s">
        <v>1467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4035</v>
      </c>
      <c r="B3302" t="s">
        <v>4148</v>
      </c>
      <c r="C3302" t="s">
        <v>368</v>
      </c>
      <c r="D3302" t="s">
        <v>3129</v>
      </c>
      <c r="E3302" t="s">
        <v>4149</v>
      </c>
      <c r="F3302" t="s">
        <v>4150</v>
      </c>
      <c r="G3302" t="s">
        <v>4039</v>
      </c>
      <c r="H3302" t="s">
        <v>4133</v>
      </c>
      <c r="I3302" t="s">
        <v>374</v>
      </c>
      <c r="J3302" t="s">
        <v>757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4035</v>
      </c>
      <c r="B3303" t="s">
        <v>4148</v>
      </c>
      <c r="C3303" t="s">
        <v>368</v>
      </c>
      <c r="D3303" t="s">
        <v>3129</v>
      </c>
      <c r="E3303" t="s">
        <v>4151</v>
      </c>
      <c r="F3303" t="s">
        <v>4150</v>
      </c>
      <c r="G3303" t="s">
        <v>4039</v>
      </c>
      <c r="H3303" t="s">
        <v>4133</v>
      </c>
      <c r="I3303" t="s">
        <v>374</v>
      </c>
      <c r="J3303" t="s">
        <v>757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4035</v>
      </c>
      <c r="B3304" t="s">
        <v>4148</v>
      </c>
      <c r="C3304" t="s">
        <v>368</v>
      </c>
      <c r="D3304" t="s">
        <v>3129</v>
      </c>
      <c r="E3304" t="s">
        <v>4152</v>
      </c>
      <c r="F3304" t="s">
        <v>4150</v>
      </c>
      <c r="G3304" t="s">
        <v>4039</v>
      </c>
      <c r="H3304" t="s">
        <v>4133</v>
      </c>
      <c r="I3304" t="s">
        <v>374</v>
      </c>
      <c r="J3304" t="s">
        <v>757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4035</v>
      </c>
      <c r="B3305" t="s">
        <v>4148</v>
      </c>
      <c r="C3305" t="s">
        <v>368</v>
      </c>
      <c r="D3305" t="s">
        <v>3129</v>
      </c>
      <c r="E3305" t="s">
        <v>4153</v>
      </c>
      <c r="F3305" t="s">
        <v>4150</v>
      </c>
      <c r="G3305" t="s">
        <v>4039</v>
      </c>
      <c r="H3305" t="s">
        <v>4133</v>
      </c>
      <c r="I3305" t="s">
        <v>374</v>
      </c>
      <c r="J3305" t="s">
        <v>757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4035</v>
      </c>
      <c r="B3306" t="s">
        <v>4148</v>
      </c>
      <c r="C3306" t="s">
        <v>368</v>
      </c>
      <c r="D3306" t="s">
        <v>3129</v>
      </c>
      <c r="E3306" t="s">
        <v>4154</v>
      </c>
      <c r="F3306" t="s">
        <v>4150</v>
      </c>
      <c r="G3306" t="s">
        <v>4039</v>
      </c>
      <c r="H3306" t="s">
        <v>4133</v>
      </c>
      <c r="I3306" t="s">
        <v>374</v>
      </c>
      <c r="J3306" t="s">
        <v>757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4035</v>
      </c>
      <c r="B3307" t="s">
        <v>4148</v>
      </c>
      <c r="C3307" t="s">
        <v>368</v>
      </c>
      <c r="D3307" t="s">
        <v>3129</v>
      </c>
      <c r="E3307" t="s">
        <v>4155</v>
      </c>
      <c r="F3307" t="s">
        <v>4150</v>
      </c>
      <c r="G3307" t="s">
        <v>4039</v>
      </c>
      <c r="H3307" t="s">
        <v>4133</v>
      </c>
      <c r="I3307" t="s">
        <v>374</v>
      </c>
      <c r="J3307" t="s">
        <v>757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4035</v>
      </c>
      <c r="B3308" t="s">
        <v>4148</v>
      </c>
      <c r="C3308" t="s">
        <v>368</v>
      </c>
      <c r="D3308" t="s">
        <v>3129</v>
      </c>
      <c r="E3308" t="s">
        <v>4156</v>
      </c>
      <c r="F3308" t="s">
        <v>4150</v>
      </c>
      <c r="G3308" t="s">
        <v>4039</v>
      </c>
      <c r="H3308" t="s">
        <v>4133</v>
      </c>
      <c r="I3308" t="s">
        <v>374</v>
      </c>
      <c r="J3308" t="s">
        <v>757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4035</v>
      </c>
      <c r="B3309" t="s">
        <v>4148</v>
      </c>
      <c r="C3309" t="s">
        <v>368</v>
      </c>
      <c r="D3309" t="s">
        <v>3129</v>
      </c>
      <c r="E3309" t="s">
        <v>4157</v>
      </c>
      <c r="F3309" t="s">
        <v>4150</v>
      </c>
      <c r="G3309" t="s">
        <v>4039</v>
      </c>
      <c r="H3309" t="s">
        <v>4133</v>
      </c>
      <c r="I3309" t="s">
        <v>374</v>
      </c>
      <c r="J3309" t="s">
        <v>757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4035</v>
      </c>
      <c r="B3310" t="s">
        <v>4148</v>
      </c>
      <c r="C3310" t="s">
        <v>368</v>
      </c>
      <c r="D3310" t="s">
        <v>3129</v>
      </c>
      <c r="E3310" t="s">
        <v>4158</v>
      </c>
      <c r="F3310" t="s">
        <v>4150</v>
      </c>
      <c r="G3310" t="s">
        <v>4039</v>
      </c>
      <c r="H3310" t="s">
        <v>4133</v>
      </c>
      <c r="I3310" t="s">
        <v>374</v>
      </c>
      <c r="J3310" t="s">
        <v>757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4035</v>
      </c>
      <c r="B3311" t="s">
        <v>4148</v>
      </c>
      <c r="C3311" t="s">
        <v>609</v>
      </c>
      <c r="D3311" t="s">
        <v>3129</v>
      </c>
      <c r="E3311" t="s">
        <v>4159</v>
      </c>
      <c r="F3311" t="s">
        <v>4150</v>
      </c>
      <c r="G3311" t="s">
        <v>4039</v>
      </c>
      <c r="H3311" t="s">
        <v>4133</v>
      </c>
      <c r="I3311" t="s">
        <v>374</v>
      </c>
      <c r="J3311" t="s">
        <v>757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4035</v>
      </c>
      <c r="B3312" t="s">
        <v>4148</v>
      </c>
      <c r="C3312" t="s">
        <v>609</v>
      </c>
      <c r="D3312" t="s">
        <v>3129</v>
      </c>
      <c r="E3312" t="s">
        <v>4160</v>
      </c>
      <c r="F3312" t="s">
        <v>4150</v>
      </c>
      <c r="G3312" t="s">
        <v>4039</v>
      </c>
      <c r="H3312" t="s">
        <v>4133</v>
      </c>
      <c r="I3312" t="s">
        <v>374</v>
      </c>
      <c r="J3312" t="s">
        <v>757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4035</v>
      </c>
      <c r="B3313" t="s">
        <v>4148</v>
      </c>
      <c r="C3313" t="s">
        <v>609</v>
      </c>
      <c r="D3313" t="s">
        <v>3129</v>
      </c>
      <c r="E3313" t="s">
        <v>4161</v>
      </c>
      <c r="F3313" t="s">
        <v>4150</v>
      </c>
      <c r="G3313" t="s">
        <v>4039</v>
      </c>
      <c r="H3313" t="s">
        <v>4133</v>
      </c>
      <c r="I3313" t="s">
        <v>374</v>
      </c>
      <c r="J3313" t="s">
        <v>757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4035</v>
      </c>
      <c r="B3314" t="s">
        <v>4148</v>
      </c>
      <c r="C3314" t="s">
        <v>609</v>
      </c>
      <c r="D3314" t="s">
        <v>3129</v>
      </c>
      <c r="E3314" t="s">
        <v>4162</v>
      </c>
      <c r="F3314" t="s">
        <v>4150</v>
      </c>
      <c r="G3314" t="s">
        <v>4039</v>
      </c>
      <c r="H3314" t="s">
        <v>4133</v>
      </c>
      <c r="I3314" t="s">
        <v>374</v>
      </c>
      <c r="J3314" t="s">
        <v>757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4035</v>
      </c>
      <c r="B3315" t="s">
        <v>4148</v>
      </c>
      <c r="C3315" t="s">
        <v>368</v>
      </c>
      <c r="D3315" t="s">
        <v>3129</v>
      </c>
      <c r="E3315" t="s">
        <v>4163</v>
      </c>
      <c r="F3315" t="s">
        <v>4150</v>
      </c>
      <c r="G3315" t="s">
        <v>4039</v>
      </c>
      <c r="H3315" t="s">
        <v>4133</v>
      </c>
      <c r="I3315" t="s">
        <v>374</v>
      </c>
      <c r="J3315" t="s">
        <v>757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4035</v>
      </c>
      <c r="B3316" t="s">
        <v>4148</v>
      </c>
      <c r="C3316" t="s">
        <v>368</v>
      </c>
      <c r="D3316" t="s">
        <v>3129</v>
      </c>
      <c r="E3316" t="s">
        <v>4164</v>
      </c>
      <c r="F3316" t="s">
        <v>4150</v>
      </c>
      <c r="G3316" t="s">
        <v>4039</v>
      </c>
      <c r="H3316" t="s">
        <v>4133</v>
      </c>
      <c r="I3316" t="s">
        <v>374</v>
      </c>
      <c r="J3316" t="s">
        <v>757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4035</v>
      </c>
      <c r="B3317" t="s">
        <v>4057</v>
      </c>
      <c r="C3317" t="s">
        <v>368</v>
      </c>
      <c r="D3317" t="s">
        <v>3129</v>
      </c>
      <c r="E3317" t="s">
        <v>137</v>
      </c>
      <c r="F3317" t="s">
        <v>4165</v>
      </c>
      <c r="G3317" t="s">
        <v>4039</v>
      </c>
      <c r="H3317" t="s">
        <v>458</v>
      </c>
      <c r="I3317" t="s">
        <v>4041</v>
      </c>
      <c r="J3317" t="s">
        <v>429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4035</v>
      </c>
      <c r="B3318" t="s">
        <v>4057</v>
      </c>
      <c r="C3318" t="s">
        <v>368</v>
      </c>
      <c r="D3318" t="s">
        <v>3129</v>
      </c>
      <c r="E3318" t="s">
        <v>4166</v>
      </c>
      <c r="F3318" t="s">
        <v>4165</v>
      </c>
      <c r="G3318" t="s">
        <v>4039</v>
      </c>
      <c r="H3318" t="s">
        <v>458</v>
      </c>
      <c r="I3318" t="s">
        <v>4041</v>
      </c>
      <c r="J3318" t="s">
        <v>429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4035</v>
      </c>
      <c r="B3319" t="s">
        <v>4057</v>
      </c>
      <c r="C3319" t="s">
        <v>368</v>
      </c>
      <c r="D3319" t="s">
        <v>3129</v>
      </c>
      <c r="E3319" t="s">
        <v>138</v>
      </c>
      <c r="F3319" t="s">
        <v>4165</v>
      </c>
      <c r="G3319" t="s">
        <v>4039</v>
      </c>
      <c r="H3319" t="s">
        <v>458</v>
      </c>
      <c r="I3319" t="s">
        <v>4041</v>
      </c>
      <c r="J3319" t="s">
        <v>429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4035</v>
      </c>
      <c r="B3320" t="s">
        <v>4057</v>
      </c>
      <c r="C3320" t="s">
        <v>368</v>
      </c>
      <c r="D3320" t="s">
        <v>3129</v>
      </c>
      <c r="E3320" t="s">
        <v>4167</v>
      </c>
      <c r="F3320" t="s">
        <v>4165</v>
      </c>
      <c r="G3320" t="s">
        <v>4039</v>
      </c>
      <c r="H3320" t="s">
        <v>458</v>
      </c>
      <c r="I3320" t="s">
        <v>4041</v>
      </c>
      <c r="J3320" t="s">
        <v>429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4035</v>
      </c>
      <c r="B3321" t="s">
        <v>4057</v>
      </c>
      <c r="C3321" t="s">
        <v>368</v>
      </c>
      <c r="D3321" t="s">
        <v>3129</v>
      </c>
      <c r="E3321" t="s">
        <v>139</v>
      </c>
      <c r="F3321" t="s">
        <v>4165</v>
      </c>
      <c r="G3321" t="s">
        <v>4039</v>
      </c>
      <c r="H3321" t="s">
        <v>458</v>
      </c>
      <c r="I3321" t="s">
        <v>4041</v>
      </c>
      <c r="J3321" t="s">
        <v>429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4035</v>
      </c>
      <c r="B3322" t="s">
        <v>4057</v>
      </c>
      <c r="C3322" t="s">
        <v>368</v>
      </c>
      <c r="D3322" t="s">
        <v>3129</v>
      </c>
      <c r="E3322" t="s">
        <v>4168</v>
      </c>
      <c r="F3322" t="s">
        <v>4165</v>
      </c>
      <c r="G3322" t="s">
        <v>4039</v>
      </c>
      <c r="H3322" t="s">
        <v>458</v>
      </c>
      <c r="I3322" t="s">
        <v>4041</v>
      </c>
      <c r="J3322" t="s">
        <v>429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4035</v>
      </c>
      <c r="B3323" t="s">
        <v>4057</v>
      </c>
      <c r="C3323" t="s">
        <v>368</v>
      </c>
      <c r="D3323" t="s">
        <v>3129</v>
      </c>
      <c r="E3323" t="s">
        <v>116</v>
      </c>
      <c r="F3323" t="s">
        <v>4165</v>
      </c>
      <c r="G3323" t="s">
        <v>4039</v>
      </c>
      <c r="H3323" t="s">
        <v>458</v>
      </c>
      <c r="I3323" t="s">
        <v>4041</v>
      </c>
      <c r="J3323" t="s">
        <v>429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4035</v>
      </c>
      <c r="B3324" t="s">
        <v>4057</v>
      </c>
      <c r="C3324" t="s">
        <v>368</v>
      </c>
      <c r="D3324" t="s">
        <v>3129</v>
      </c>
      <c r="E3324" t="s">
        <v>4169</v>
      </c>
      <c r="F3324" t="s">
        <v>4165</v>
      </c>
      <c r="G3324" t="s">
        <v>4039</v>
      </c>
      <c r="H3324" t="s">
        <v>458</v>
      </c>
      <c r="I3324" t="s">
        <v>4041</v>
      </c>
      <c r="J3324" t="s">
        <v>429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4035</v>
      </c>
      <c r="B3325" t="s">
        <v>4057</v>
      </c>
      <c r="C3325" t="s">
        <v>368</v>
      </c>
      <c r="D3325" t="s">
        <v>3129</v>
      </c>
      <c r="E3325" t="s">
        <v>117</v>
      </c>
      <c r="F3325" t="s">
        <v>4165</v>
      </c>
      <c r="G3325" t="s">
        <v>4039</v>
      </c>
      <c r="H3325" t="s">
        <v>458</v>
      </c>
      <c r="I3325" t="s">
        <v>4041</v>
      </c>
      <c r="J3325" t="s">
        <v>429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4035</v>
      </c>
      <c r="B3326" t="s">
        <v>4057</v>
      </c>
      <c r="C3326" t="s">
        <v>609</v>
      </c>
      <c r="D3326" t="s">
        <v>3129</v>
      </c>
      <c r="E3326" t="s">
        <v>4170</v>
      </c>
      <c r="F3326" t="s">
        <v>4165</v>
      </c>
      <c r="G3326" t="s">
        <v>4039</v>
      </c>
      <c r="H3326" t="s">
        <v>458</v>
      </c>
      <c r="I3326" t="s">
        <v>4041</v>
      </c>
      <c r="J3326" t="s">
        <v>429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4035</v>
      </c>
      <c r="B3327" t="s">
        <v>4057</v>
      </c>
      <c r="C3327" t="s">
        <v>609</v>
      </c>
      <c r="D3327" t="s">
        <v>3129</v>
      </c>
      <c r="E3327" t="s">
        <v>4171</v>
      </c>
      <c r="F3327" t="s">
        <v>4165</v>
      </c>
      <c r="G3327" t="s">
        <v>4039</v>
      </c>
      <c r="H3327" t="s">
        <v>458</v>
      </c>
      <c r="I3327" t="s">
        <v>4041</v>
      </c>
      <c r="J3327" t="s">
        <v>429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4035</v>
      </c>
      <c r="B3328" t="s">
        <v>4057</v>
      </c>
      <c r="C3328" t="s">
        <v>609</v>
      </c>
      <c r="D3328" t="s">
        <v>3129</v>
      </c>
      <c r="E3328" t="s">
        <v>4172</v>
      </c>
      <c r="F3328" t="s">
        <v>4165</v>
      </c>
      <c r="G3328" t="s">
        <v>4039</v>
      </c>
      <c r="H3328" t="s">
        <v>458</v>
      </c>
      <c r="I3328" t="s">
        <v>4041</v>
      </c>
      <c r="J3328" t="s">
        <v>429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4035</v>
      </c>
      <c r="B3329" t="s">
        <v>4057</v>
      </c>
      <c r="C3329" t="s">
        <v>609</v>
      </c>
      <c r="D3329" t="s">
        <v>3129</v>
      </c>
      <c r="E3329" t="s">
        <v>135</v>
      </c>
      <c r="F3329" t="s">
        <v>4165</v>
      </c>
      <c r="G3329" t="s">
        <v>4039</v>
      </c>
      <c r="H3329" t="s">
        <v>458</v>
      </c>
      <c r="I3329" t="s">
        <v>4041</v>
      </c>
      <c r="J3329" t="s">
        <v>429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4035</v>
      </c>
      <c r="B3330" t="s">
        <v>4057</v>
      </c>
      <c r="C3330" t="s">
        <v>368</v>
      </c>
      <c r="D3330" t="s">
        <v>3129</v>
      </c>
      <c r="E3330" t="s">
        <v>4173</v>
      </c>
      <c r="F3330" t="s">
        <v>4165</v>
      </c>
      <c r="G3330" t="s">
        <v>4039</v>
      </c>
      <c r="H3330" t="s">
        <v>458</v>
      </c>
      <c r="I3330" t="s">
        <v>4041</v>
      </c>
      <c r="J3330" t="s">
        <v>429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4035</v>
      </c>
      <c r="B3331" t="s">
        <v>4057</v>
      </c>
      <c r="C3331" t="s">
        <v>368</v>
      </c>
      <c r="D3331" t="s">
        <v>3129</v>
      </c>
      <c r="E3331" t="s">
        <v>136</v>
      </c>
      <c r="F3331" t="s">
        <v>4165</v>
      </c>
      <c r="G3331" t="s">
        <v>4039</v>
      </c>
      <c r="H3331" t="s">
        <v>458</v>
      </c>
      <c r="I3331" t="s">
        <v>4041</v>
      </c>
      <c r="J3331" t="s">
        <v>429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4035</v>
      </c>
      <c r="B3332" t="s">
        <v>4174</v>
      </c>
      <c r="C3332" t="s">
        <v>368</v>
      </c>
      <c r="D3332" t="s">
        <v>3129</v>
      </c>
      <c r="E3332" t="s">
        <v>4175</v>
      </c>
      <c r="F3332" t="s">
        <v>4176</v>
      </c>
      <c r="G3332" t="s">
        <v>4039</v>
      </c>
      <c r="H3332" t="s">
        <v>458</v>
      </c>
      <c r="I3332" t="s">
        <v>4041</v>
      </c>
      <c r="J3332" t="s">
        <v>906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4035</v>
      </c>
      <c r="B3333" t="s">
        <v>4174</v>
      </c>
      <c r="C3333" t="s">
        <v>368</v>
      </c>
      <c r="D3333" t="s">
        <v>3129</v>
      </c>
      <c r="E3333" t="s">
        <v>4177</v>
      </c>
      <c r="F3333" t="s">
        <v>4176</v>
      </c>
      <c r="G3333" t="s">
        <v>4039</v>
      </c>
      <c r="H3333" t="s">
        <v>458</v>
      </c>
      <c r="I3333" t="s">
        <v>4041</v>
      </c>
      <c r="J3333" t="s">
        <v>906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4035</v>
      </c>
      <c r="B3334" t="s">
        <v>4174</v>
      </c>
      <c r="C3334" t="s">
        <v>368</v>
      </c>
      <c r="D3334" t="s">
        <v>3129</v>
      </c>
      <c r="E3334" t="s">
        <v>4178</v>
      </c>
      <c r="F3334" t="s">
        <v>4176</v>
      </c>
      <c r="G3334" t="s">
        <v>4039</v>
      </c>
      <c r="H3334" t="s">
        <v>458</v>
      </c>
      <c r="I3334" t="s">
        <v>4041</v>
      </c>
      <c r="J3334" t="s">
        <v>906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4035</v>
      </c>
      <c r="B3335" t="s">
        <v>4174</v>
      </c>
      <c r="C3335" t="s">
        <v>368</v>
      </c>
      <c r="D3335" t="s">
        <v>3129</v>
      </c>
      <c r="E3335" t="s">
        <v>4179</v>
      </c>
      <c r="F3335" t="s">
        <v>4176</v>
      </c>
      <c r="G3335" t="s">
        <v>4039</v>
      </c>
      <c r="H3335" t="s">
        <v>458</v>
      </c>
      <c r="I3335" t="s">
        <v>4041</v>
      </c>
      <c r="J3335" t="s">
        <v>906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4035</v>
      </c>
      <c r="B3336" t="s">
        <v>4174</v>
      </c>
      <c r="C3336" t="s">
        <v>368</v>
      </c>
      <c r="D3336" t="s">
        <v>3129</v>
      </c>
      <c r="E3336" t="s">
        <v>4180</v>
      </c>
      <c r="F3336" t="s">
        <v>4176</v>
      </c>
      <c r="G3336" t="s">
        <v>4039</v>
      </c>
      <c r="H3336" t="s">
        <v>458</v>
      </c>
      <c r="I3336" t="s">
        <v>4041</v>
      </c>
      <c r="J3336" t="s">
        <v>906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4035</v>
      </c>
      <c r="B3337" t="s">
        <v>4174</v>
      </c>
      <c r="C3337" t="s">
        <v>368</v>
      </c>
      <c r="D3337" t="s">
        <v>3129</v>
      </c>
      <c r="E3337" t="s">
        <v>4181</v>
      </c>
      <c r="F3337" t="s">
        <v>4176</v>
      </c>
      <c r="G3337" t="s">
        <v>4039</v>
      </c>
      <c r="H3337" t="s">
        <v>458</v>
      </c>
      <c r="I3337" t="s">
        <v>4041</v>
      </c>
      <c r="J3337" t="s">
        <v>906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4035</v>
      </c>
      <c r="B3338" t="s">
        <v>4174</v>
      </c>
      <c r="C3338" t="s">
        <v>368</v>
      </c>
      <c r="D3338" t="s">
        <v>3129</v>
      </c>
      <c r="E3338" t="s">
        <v>4182</v>
      </c>
      <c r="F3338" t="s">
        <v>4176</v>
      </c>
      <c r="G3338" t="s">
        <v>4039</v>
      </c>
      <c r="H3338" t="s">
        <v>458</v>
      </c>
      <c r="I3338" t="s">
        <v>4041</v>
      </c>
      <c r="J3338" t="s">
        <v>906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4035</v>
      </c>
      <c r="B3339" t="s">
        <v>4174</v>
      </c>
      <c r="C3339" t="s">
        <v>368</v>
      </c>
      <c r="D3339" t="s">
        <v>3129</v>
      </c>
      <c r="E3339" t="s">
        <v>4183</v>
      </c>
      <c r="F3339" t="s">
        <v>4176</v>
      </c>
      <c r="G3339" t="s">
        <v>4039</v>
      </c>
      <c r="H3339" t="s">
        <v>458</v>
      </c>
      <c r="I3339" t="s">
        <v>4041</v>
      </c>
      <c r="J3339" t="s">
        <v>906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4035</v>
      </c>
      <c r="B3340" t="s">
        <v>4174</v>
      </c>
      <c r="C3340" t="s">
        <v>368</v>
      </c>
      <c r="D3340" t="s">
        <v>3129</v>
      </c>
      <c r="E3340" t="s">
        <v>4184</v>
      </c>
      <c r="F3340" t="s">
        <v>4176</v>
      </c>
      <c r="G3340" t="s">
        <v>4039</v>
      </c>
      <c r="H3340" t="s">
        <v>458</v>
      </c>
      <c r="I3340" t="s">
        <v>4041</v>
      </c>
      <c r="J3340" t="s">
        <v>906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4035</v>
      </c>
      <c r="B3341" t="s">
        <v>4174</v>
      </c>
      <c r="C3341" t="s">
        <v>609</v>
      </c>
      <c r="D3341" t="s">
        <v>3129</v>
      </c>
      <c r="E3341" t="s">
        <v>4185</v>
      </c>
      <c r="F3341" t="s">
        <v>4176</v>
      </c>
      <c r="G3341" t="s">
        <v>4039</v>
      </c>
      <c r="H3341" t="s">
        <v>458</v>
      </c>
      <c r="I3341" t="s">
        <v>4041</v>
      </c>
      <c r="J3341" t="s">
        <v>906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4035</v>
      </c>
      <c r="B3342" t="s">
        <v>4174</v>
      </c>
      <c r="C3342" t="s">
        <v>609</v>
      </c>
      <c r="D3342" t="s">
        <v>3129</v>
      </c>
      <c r="E3342" t="s">
        <v>4186</v>
      </c>
      <c r="F3342" t="s">
        <v>4176</v>
      </c>
      <c r="G3342" t="s">
        <v>4039</v>
      </c>
      <c r="H3342" t="s">
        <v>458</v>
      </c>
      <c r="I3342" t="s">
        <v>4041</v>
      </c>
      <c r="J3342" t="s">
        <v>906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4035</v>
      </c>
      <c r="B3343" t="s">
        <v>4174</v>
      </c>
      <c r="C3343" t="s">
        <v>609</v>
      </c>
      <c r="D3343" t="s">
        <v>3129</v>
      </c>
      <c r="E3343" t="s">
        <v>4187</v>
      </c>
      <c r="F3343" t="s">
        <v>4176</v>
      </c>
      <c r="G3343" t="s">
        <v>4039</v>
      </c>
      <c r="H3343" t="s">
        <v>458</v>
      </c>
      <c r="I3343" t="s">
        <v>4041</v>
      </c>
      <c r="J3343" t="s">
        <v>906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4035</v>
      </c>
      <c r="B3344" t="s">
        <v>4174</v>
      </c>
      <c r="C3344" t="s">
        <v>609</v>
      </c>
      <c r="D3344" t="s">
        <v>3129</v>
      </c>
      <c r="E3344" t="s">
        <v>4188</v>
      </c>
      <c r="F3344" t="s">
        <v>4176</v>
      </c>
      <c r="G3344" t="s">
        <v>4039</v>
      </c>
      <c r="H3344" t="s">
        <v>458</v>
      </c>
      <c r="I3344" t="s">
        <v>4041</v>
      </c>
      <c r="J3344" t="s">
        <v>906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4035</v>
      </c>
      <c r="B3345" t="s">
        <v>4174</v>
      </c>
      <c r="C3345" t="s">
        <v>368</v>
      </c>
      <c r="D3345" t="s">
        <v>3129</v>
      </c>
      <c r="E3345" t="s">
        <v>4189</v>
      </c>
      <c r="F3345" t="s">
        <v>4176</v>
      </c>
      <c r="G3345" t="s">
        <v>4039</v>
      </c>
      <c r="H3345" t="s">
        <v>458</v>
      </c>
      <c r="I3345" t="s">
        <v>4041</v>
      </c>
      <c r="J3345" t="s">
        <v>906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4035</v>
      </c>
      <c r="B3346" t="s">
        <v>4174</v>
      </c>
      <c r="C3346" t="s">
        <v>368</v>
      </c>
      <c r="D3346" t="s">
        <v>3129</v>
      </c>
      <c r="E3346" t="s">
        <v>4190</v>
      </c>
      <c r="F3346" t="s">
        <v>4176</v>
      </c>
      <c r="G3346" t="s">
        <v>4039</v>
      </c>
      <c r="H3346" t="s">
        <v>458</v>
      </c>
      <c r="I3346" t="s">
        <v>4041</v>
      </c>
      <c r="J3346" t="s">
        <v>906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4035</v>
      </c>
      <c r="B3347" t="s">
        <v>4191</v>
      </c>
      <c r="C3347" t="s">
        <v>368</v>
      </c>
      <c r="D3347" t="s">
        <v>3129</v>
      </c>
      <c r="E3347" t="s">
        <v>4192</v>
      </c>
      <c r="F3347" t="s">
        <v>4193</v>
      </c>
      <c r="G3347" t="s">
        <v>4039</v>
      </c>
      <c r="H3347" t="s">
        <v>458</v>
      </c>
      <c r="I3347" t="s">
        <v>4041</v>
      </c>
      <c r="J3347" t="s">
        <v>386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4035</v>
      </c>
      <c r="B3348" t="s">
        <v>4191</v>
      </c>
      <c r="C3348" t="s">
        <v>368</v>
      </c>
      <c r="D3348" t="s">
        <v>3129</v>
      </c>
      <c r="E3348" t="s">
        <v>4194</v>
      </c>
      <c r="F3348" t="s">
        <v>4193</v>
      </c>
      <c r="G3348" t="s">
        <v>4039</v>
      </c>
      <c r="H3348" t="s">
        <v>458</v>
      </c>
      <c r="I3348" t="s">
        <v>4041</v>
      </c>
      <c r="J3348" t="s">
        <v>386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4035</v>
      </c>
      <c r="B3349" t="s">
        <v>4191</v>
      </c>
      <c r="C3349" t="s">
        <v>368</v>
      </c>
      <c r="D3349" t="s">
        <v>3129</v>
      </c>
      <c r="E3349" t="s">
        <v>4195</v>
      </c>
      <c r="F3349" t="s">
        <v>4193</v>
      </c>
      <c r="G3349" t="s">
        <v>4039</v>
      </c>
      <c r="H3349" t="s">
        <v>458</v>
      </c>
      <c r="I3349" t="s">
        <v>4041</v>
      </c>
      <c r="J3349" t="s">
        <v>386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4035</v>
      </c>
      <c r="B3350" t="s">
        <v>4191</v>
      </c>
      <c r="C3350" t="s">
        <v>368</v>
      </c>
      <c r="D3350" t="s">
        <v>3129</v>
      </c>
      <c r="E3350" t="s">
        <v>4196</v>
      </c>
      <c r="F3350" t="s">
        <v>4193</v>
      </c>
      <c r="G3350" t="s">
        <v>4039</v>
      </c>
      <c r="H3350" t="s">
        <v>458</v>
      </c>
      <c r="I3350" t="s">
        <v>4041</v>
      </c>
      <c r="J3350" t="s">
        <v>386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4035</v>
      </c>
      <c r="B3351" t="s">
        <v>4191</v>
      </c>
      <c r="C3351" t="s">
        <v>368</v>
      </c>
      <c r="D3351" t="s">
        <v>3129</v>
      </c>
      <c r="E3351" t="s">
        <v>103</v>
      </c>
      <c r="F3351" t="s">
        <v>4193</v>
      </c>
      <c r="G3351" t="s">
        <v>4039</v>
      </c>
      <c r="H3351" t="s">
        <v>458</v>
      </c>
      <c r="I3351" t="s">
        <v>4041</v>
      </c>
      <c r="J3351" t="s">
        <v>386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4035</v>
      </c>
      <c r="B3352" t="s">
        <v>4191</v>
      </c>
      <c r="C3352" t="s">
        <v>368</v>
      </c>
      <c r="D3352" t="s">
        <v>3129</v>
      </c>
      <c r="E3352" t="s">
        <v>4197</v>
      </c>
      <c r="F3352" t="s">
        <v>4193</v>
      </c>
      <c r="G3352" t="s">
        <v>4039</v>
      </c>
      <c r="H3352" t="s">
        <v>458</v>
      </c>
      <c r="I3352" t="s">
        <v>4041</v>
      </c>
      <c r="J3352" t="s">
        <v>386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4035</v>
      </c>
      <c r="B3353" t="s">
        <v>4191</v>
      </c>
      <c r="C3353" t="s">
        <v>368</v>
      </c>
      <c r="D3353" t="s">
        <v>3129</v>
      </c>
      <c r="E3353" t="s">
        <v>4198</v>
      </c>
      <c r="F3353" t="s">
        <v>4193</v>
      </c>
      <c r="G3353" t="s">
        <v>4039</v>
      </c>
      <c r="H3353" t="s">
        <v>458</v>
      </c>
      <c r="I3353" t="s">
        <v>4041</v>
      </c>
      <c r="J3353" t="s">
        <v>386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4035</v>
      </c>
      <c r="B3354" t="s">
        <v>4191</v>
      </c>
      <c r="C3354" t="s">
        <v>368</v>
      </c>
      <c r="D3354" t="s">
        <v>3129</v>
      </c>
      <c r="E3354" t="s">
        <v>4199</v>
      </c>
      <c r="F3354" t="s">
        <v>4193</v>
      </c>
      <c r="G3354" t="s">
        <v>4039</v>
      </c>
      <c r="H3354" t="s">
        <v>458</v>
      </c>
      <c r="I3354" t="s">
        <v>4041</v>
      </c>
      <c r="J3354" t="s">
        <v>386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4035</v>
      </c>
      <c r="B3355" t="s">
        <v>4191</v>
      </c>
      <c r="C3355" t="s">
        <v>368</v>
      </c>
      <c r="D3355" t="s">
        <v>3129</v>
      </c>
      <c r="E3355" t="s">
        <v>4200</v>
      </c>
      <c r="F3355" t="s">
        <v>4193</v>
      </c>
      <c r="G3355" t="s">
        <v>4039</v>
      </c>
      <c r="H3355" t="s">
        <v>458</v>
      </c>
      <c r="I3355" t="s">
        <v>4041</v>
      </c>
      <c r="J3355" t="s">
        <v>386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4035</v>
      </c>
      <c r="B3356" t="s">
        <v>4191</v>
      </c>
      <c r="C3356" t="s">
        <v>609</v>
      </c>
      <c r="D3356" t="s">
        <v>3129</v>
      </c>
      <c r="E3356" t="s">
        <v>4201</v>
      </c>
      <c r="F3356" t="s">
        <v>4193</v>
      </c>
      <c r="G3356" t="s">
        <v>4039</v>
      </c>
      <c r="H3356" t="s">
        <v>458</v>
      </c>
      <c r="I3356" t="s">
        <v>4041</v>
      </c>
      <c r="J3356" t="s">
        <v>386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4035</v>
      </c>
      <c r="B3357" t="s">
        <v>4191</v>
      </c>
      <c r="C3357" t="s">
        <v>609</v>
      </c>
      <c r="D3357" t="s">
        <v>3129</v>
      </c>
      <c r="E3357" t="s">
        <v>4202</v>
      </c>
      <c r="F3357" t="s">
        <v>4193</v>
      </c>
      <c r="G3357" t="s">
        <v>4039</v>
      </c>
      <c r="H3357" t="s">
        <v>458</v>
      </c>
      <c r="I3357" t="s">
        <v>4041</v>
      </c>
      <c r="J3357" t="s">
        <v>386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4035</v>
      </c>
      <c r="B3358" t="s">
        <v>4191</v>
      </c>
      <c r="C3358" t="s">
        <v>609</v>
      </c>
      <c r="D3358" t="s">
        <v>3129</v>
      </c>
      <c r="E3358" t="s">
        <v>4203</v>
      </c>
      <c r="F3358" t="s">
        <v>4193</v>
      </c>
      <c r="G3358" t="s">
        <v>4039</v>
      </c>
      <c r="H3358" t="s">
        <v>458</v>
      </c>
      <c r="I3358" t="s">
        <v>4041</v>
      </c>
      <c r="J3358" t="s">
        <v>386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4035</v>
      </c>
      <c r="B3359" t="s">
        <v>4191</v>
      </c>
      <c r="C3359" t="s">
        <v>609</v>
      </c>
      <c r="D3359" t="s">
        <v>3129</v>
      </c>
      <c r="E3359" t="s">
        <v>4204</v>
      </c>
      <c r="F3359" t="s">
        <v>4193</v>
      </c>
      <c r="G3359" t="s">
        <v>4039</v>
      </c>
      <c r="H3359" t="s">
        <v>458</v>
      </c>
      <c r="I3359" t="s">
        <v>4041</v>
      </c>
      <c r="J3359" t="s">
        <v>386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4035</v>
      </c>
      <c r="B3360" t="s">
        <v>4191</v>
      </c>
      <c r="C3360" t="s">
        <v>368</v>
      </c>
      <c r="D3360" t="s">
        <v>3129</v>
      </c>
      <c r="E3360" t="s">
        <v>4205</v>
      </c>
      <c r="F3360" t="s">
        <v>4193</v>
      </c>
      <c r="G3360" t="s">
        <v>4039</v>
      </c>
      <c r="H3360" t="s">
        <v>458</v>
      </c>
      <c r="I3360" t="s">
        <v>4041</v>
      </c>
      <c r="J3360" t="s">
        <v>386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4035</v>
      </c>
      <c r="B3361" t="s">
        <v>4191</v>
      </c>
      <c r="C3361" t="s">
        <v>368</v>
      </c>
      <c r="D3361" t="s">
        <v>3129</v>
      </c>
      <c r="E3361" t="s">
        <v>4206</v>
      </c>
      <c r="F3361" t="s">
        <v>4193</v>
      </c>
      <c r="G3361" t="s">
        <v>4039</v>
      </c>
      <c r="H3361" t="s">
        <v>458</v>
      </c>
      <c r="I3361" t="s">
        <v>4041</v>
      </c>
      <c r="J3361" t="s">
        <v>386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4035</v>
      </c>
      <c r="B3362" t="s">
        <v>4057</v>
      </c>
      <c r="C3362" t="s">
        <v>368</v>
      </c>
      <c r="D3362" t="s">
        <v>3129</v>
      </c>
      <c r="E3362" t="s">
        <v>4207</v>
      </c>
      <c r="F3362" t="s">
        <v>4208</v>
      </c>
      <c r="G3362" t="s">
        <v>4039</v>
      </c>
      <c r="H3362" t="s">
        <v>458</v>
      </c>
      <c r="I3362" t="s">
        <v>374</v>
      </c>
      <c r="J3362" t="s">
        <v>429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4035</v>
      </c>
      <c r="B3363" t="s">
        <v>4057</v>
      </c>
      <c r="C3363" t="s">
        <v>368</v>
      </c>
      <c r="D3363" t="s">
        <v>3129</v>
      </c>
      <c r="E3363" t="s">
        <v>4209</v>
      </c>
      <c r="F3363" t="s">
        <v>4208</v>
      </c>
      <c r="G3363" t="s">
        <v>4039</v>
      </c>
      <c r="H3363" t="s">
        <v>458</v>
      </c>
      <c r="I3363" t="s">
        <v>374</v>
      </c>
      <c r="J3363" t="s">
        <v>429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4035</v>
      </c>
      <c r="B3364" t="s">
        <v>4057</v>
      </c>
      <c r="C3364" t="s">
        <v>368</v>
      </c>
      <c r="D3364" t="s">
        <v>3129</v>
      </c>
      <c r="E3364" t="s">
        <v>4210</v>
      </c>
      <c r="F3364" t="s">
        <v>4208</v>
      </c>
      <c r="G3364" t="s">
        <v>4039</v>
      </c>
      <c r="H3364" t="s">
        <v>458</v>
      </c>
      <c r="I3364" t="s">
        <v>374</v>
      </c>
      <c r="J3364" t="s">
        <v>429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4035</v>
      </c>
      <c r="B3365" t="s">
        <v>4057</v>
      </c>
      <c r="C3365" t="s">
        <v>368</v>
      </c>
      <c r="D3365" t="s">
        <v>3129</v>
      </c>
      <c r="E3365" t="s">
        <v>4211</v>
      </c>
      <c r="F3365" t="s">
        <v>4208</v>
      </c>
      <c r="G3365" t="s">
        <v>4039</v>
      </c>
      <c r="H3365" t="s">
        <v>458</v>
      </c>
      <c r="I3365" t="s">
        <v>374</v>
      </c>
      <c r="J3365" t="s">
        <v>429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4035</v>
      </c>
      <c r="B3366" t="s">
        <v>4057</v>
      </c>
      <c r="C3366" t="s">
        <v>368</v>
      </c>
      <c r="D3366" t="s">
        <v>3129</v>
      </c>
      <c r="E3366" t="s">
        <v>4212</v>
      </c>
      <c r="F3366" t="s">
        <v>4208</v>
      </c>
      <c r="G3366" t="s">
        <v>4039</v>
      </c>
      <c r="H3366" t="s">
        <v>458</v>
      </c>
      <c r="I3366" t="s">
        <v>374</v>
      </c>
      <c r="J3366" t="s">
        <v>429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4035</v>
      </c>
      <c r="B3367" t="s">
        <v>4057</v>
      </c>
      <c r="C3367" t="s">
        <v>368</v>
      </c>
      <c r="D3367" t="s">
        <v>3129</v>
      </c>
      <c r="E3367" t="s">
        <v>4213</v>
      </c>
      <c r="F3367" t="s">
        <v>4208</v>
      </c>
      <c r="G3367" t="s">
        <v>4039</v>
      </c>
      <c r="H3367" t="s">
        <v>458</v>
      </c>
      <c r="I3367" t="s">
        <v>374</v>
      </c>
      <c r="J3367" t="s">
        <v>429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4035</v>
      </c>
      <c r="B3368" t="s">
        <v>4057</v>
      </c>
      <c r="C3368" t="s">
        <v>368</v>
      </c>
      <c r="D3368" t="s">
        <v>3129</v>
      </c>
      <c r="E3368" t="s">
        <v>4214</v>
      </c>
      <c r="F3368" t="s">
        <v>4208</v>
      </c>
      <c r="G3368" t="s">
        <v>4039</v>
      </c>
      <c r="H3368" t="s">
        <v>458</v>
      </c>
      <c r="I3368" t="s">
        <v>374</v>
      </c>
      <c r="J3368" t="s">
        <v>429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4035</v>
      </c>
      <c r="B3369" t="s">
        <v>4057</v>
      </c>
      <c r="C3369" t="s">
        <v>368</v>
      </c>
      <c r="D3369" t="s">
        <v>3129</v>
      </c>
      <c r="E3369" t="s">
        <v>4215</v>
      </c>
      <c r="F3369" t="s">
        <v>4208</v>
      </c>
      <c r="G3369" t="s">
        <v>4039</v>
      </c>
      <c r="H3369" t="s">
        <v>458</v>
      </c>
      <c r="I3369" t="s">
        <v>374</v>
      </c>
      <c r="J3369" t="s">
        <v>429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4035</v>
      </c>
      <c r="B3370" t="s">
        <v>4057</v>
      </c>
      <c r="C3370" t="s">
        <v>368</v>
      </c>
      <c r="D3370" t="s">
        <v>3129</v>
      </c>
      <c r="E3370" t="s">
        <v>4216</v>
      </c>
      <c r="F3370" t="s">
        <v>4208</v>
      </c>
      <c r="G3370" t="s">
        <v>4039</v>
      </c>
      <c r="H3370" t="s">
        <v>458</v>
      </c>
      <c r="I3370" t="s">
        <v>374</v>
      </c>
      <c r="J3370" t="s">
        <v>429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4035</v>
      </c>
      <c r="B3371" t="s">
        <v>4057</v>
      </c>
      <c r="C3371" t="s">
        <v>609</v>
      </c>
      <c r="D3371" t="s">
        <v>3129</v>
      </c>
      <c r="E3371" t="s">
        <v>4217</v>
      </c>
      <c r="F3371" t="s">
        <v>4208</v>
      </c>
      <c r="G3371" t="s">
        <v>4039</v>
      </c>
      <c r="H3371" t="s">
        <v>458</v>
      </c>
      <c r="I3371" t="s">
        <v>374</v>
      </c>
      <c r="J3371" t="s">
        <v>429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4035</v>
      </c>
      <c r="B3372" t="s">
        <v>4057</v>
      </c>
      <c r="C3372" t="s">
        <v>609</v>
      </c>
      <c r="D3372" t="s">
        <v>3129</v>
      </c>
      <c r="E3372" t="s">
        <v>4218</v>
      </c>
      <c r="F3372" t="s">
        <v>4208</v>
      </c>
      <c r="G3372" t="s">
        <v>4039</v>
      </c>
      <c r="H3372" t="s">
        <v>458</v>
      </c>
      <c r="I3372" t="s">
        <v>374</v>
      </c>
      <c r="J3372" t="s">
        <v>429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4035</v>
      </c>
      <c r="B3373" t="s">
        <v>4057</v>
      </c>
      <c r="C3373" t="s">
        <v>609</v>
      </c>
      <c r="D3373" t="s">
        <v>3129</v>
      </c>
      <c r="E3373" t="s">
        <v>4219</v>
      </c>
      <c r="F3373" t="s">
        <v>4208</v>
      </c>
      <c r="G3373" t="s">
        <v>4039</v>
      </c>
      <c r="H3373" t="s">
        <v>458</v>
      </c>
      <c r="I3373" t="s">
        <v>374</v>
      </c>
      <c r="J3373" t="s">
        <v>429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4035</v>
      </c>
      <c r="B3374" t="s">
        <v>4057</v>
      </c>
      <c r="C3374" t="s">
        <v>609</v>
      </c>
      <c r="D3374" t="s">
        <v>3129</v>
      </c>
      <c r="E3374" t="s">
        <v>4220</v>
      </c>
      <c r="F3374" t="s">
        <v>4208</v>
      </c>
      <c r="G3374" t="s">
        <v>4039</v>
      </c>
      <c r="H3374" t="s">
        <v>458</v>
      </c>
      <c r="I3374" t="s">
        <v>374</v>
      </c>
      <c r="J3374" t="s">
        <v>429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4035</v>
      </c>
      <c r="B3375" t="s">
        <v>4057</v>
      </c>
      <c r="C3375" t="s">
        <v>368</v>
      </c>
      <c r="D3375" t="s">
        <v>3129</v>
      </c>
      <c r="E3375" t="s">
        <v>4221</v>
      </c>
      <c r="F3375" t="s">
        <v>4208</v>
      </c>
      <c r="G3375" t="s">
        <v>4039</v>
      </c>
      <c r="H3375" t="s">
        <v>458</v>
      </c>
      <c r="I3375" t="s">
        <v>374</v>
      </c>
      <c r="J3375" t="s">
        <v>429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4035</v>
      </c>
      <c r="B3376" t="s">
        <v>4057</v>
      </c>
      <c r="C3376" t="s">
        <v>368</v>
      </c>
      <c r="D3376" t="s">
        <v>3129</v>
      </c>
      <c r="E3376" t="s">
        <v>4222</v>
      </c>
      <c r="F3376" t="s">
        <v>4208</v>
      </c>
      <c r="G3376" t="s">
        <v>4039</v>
      </c>
      <c r="H3376" t="s">
        <v>458</v>
      </c>
      <c r="I3376" t="s">
        <v>374</v>
      </c>
      <c r="J3376" t="s">
        <v>429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4035</v>
      </c>
      <c r="B3377" t="s">
        <v>4112</v>
      </c>
      <c r="C3377" t="s">
        <v>368</v>
      </c>
      <c r="D3377" t="s">
        <v>3129</v>
      </c>
      <c r="E3377" t="s">
        <v>4223</v>
      </c>
      <c r="F3377" t="s">
        <v>4224</v>
      </c>
      <c r="G3377" t="s">
        <v>4039</v>
      </c>
      <c r="H3377" t="s">
        <v>3482</v>
      </c>
      <c r="I3377" t="s">
        <v>374</v>
      </c>
      <c r="J3377" t="s">
        <v>4115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4035</v>
      </c>
      <c r="B3378" t="s">
        <v>4112</v>
      </c>
      <c r="C3378" t="s">
        <v>368</v>
      </c>
      <c r="D3378" t="s">
        <v>3129</v>
      </c>
      <c r="E3378" t="s">
        <v>4225</v>
      </c>
      <c r="F3378" t="s">
        <v>4224</v>
      </c>
      <c r="G3378" t="s">
        <v>4039</v>
      </c>
      <c r="H3378" t="s">
        <v>3482</v>
      </c>
      <c r="I3378" t="s">
        <v>374</v>
      </c>
      <c r="J3378" t="s">
        <v>4115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4035</v>
      </c>
      <c r="B3379" t="s">
        <v>4112</v>
      </c>
      <c r="C3379" t="s">
        <v>368</v>
      </c>
      <c r="D3379" t="s">
        <v>3129</v>
      </c>
      <c r="E3379" t="s">
        <v>4226</v>
      </c>
      <c r="F3379" t="s">
        <v>4224</v>
      </c>
      <c r="G3379" t="s">
        <v>4039</v>
      </c>
      <c r="H3379" t="s">
        <v>3482</v>
      </c>
      <c r="I3379" t="s">
        <v>374</v>
      </c>
      <c r="J3379" t="s">
        <v>4115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4035</v>
      </c>
      <c r="B3380" t="s">
        <v>4112</v>
      </c>
      <c r="C3380" t="s">
        <v>368</v>
      </c>
      <c r="D3380" t="s">
        <v>3129</v>
      </c>
      <c r="E3380" t="s">
        <v>4227</v>
      </c>
      <c r="F3380" t="s">
        <v>4224</v>
      </c>
      <c r="G3380" t="s">
        <v>4039</v>
      </c>
      <c r="H3380" t="s">
        <v>3482</v>
      </c>
      <c r="I3380" t="s">
        <v>374</v>
      </c>
      <c r="J3380" t="s">
        <v>4115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4035</v>
      </c>
      <c r="B3381" t="s">
        <v>4112</v>
      </c>
      <c r="C3381" t="s">
        <v>368</v>
      </c>
      <c r="D3381" t="s">
        <v>3129</v>
      </c>
      <c r="E3381" t="s">
        <v>4228</v>
      </c>
      <c r="F3381" t="s">
        <v>4224</v>
      </c>
      <c r="G3381" t="s">
        <v>4039</v>
      </c>
      <c r="H3381" t="s">
        <v>3482</v>
      </c>
      <c r="I3381" t="s">
        <v>374</v>
      </c>
      <c r="J3381" t="s">
        <v>4115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4035</v>
      </c>
      <c r="B3382" t="s">
        <v>4112</v>
      </c>
      <c r="C3382" t="s">
        <v>368</v>
      </c>
      <c r="D3382" t="s">
        <v>3129</v>
      </c>
      <c r="E3382" t="s">
        <v>4229</v>
      </c>
      <c r="F3382" t="s">
        <v>4224</v>
      </c>
      <c r="G3382" t="s">
        <v>4039</v>
      </c>
      <c r="H3382" t="s">
        <v>3482</v>
      </c>
      <c r="I3382" t="s">
        <v>374</v>
      </c>
      <c r="J3382" t="s">
        <v>4115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4035</v>
      </c>
      <c r="B3383" t="s">
        <v>4112</v>
      </c>
      <c r="C3383" t="s">
        <v>368</v>
      </c>
      <c r="D3383" t="s">
        <v>3129</v>
      </c>
      <c r="E3383" t="s">
        <v>4230</v>
      </c>
      <c r="F3383" t="s">
        <v>4224</v>
      </c>
      <c r="G3383" t="s">
        <v>4039</v>
      </c>
      <c r="H3383" t="s">
        <v>3482</v>
      </c>
      <c r="I3383" t="s">
        <v>374</v>
      </c>
      <c r="J3383" t="s">
        <v>4115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4035</v>
      </c>
      <c r="B3384" t="s">
        <v>4112</v>
      </c>
      <c r="C3384" t="s">
        <v>368</v>
      </c>
      <c r="D3384" t="s">
        <v>3129</v>
      </c>
      <c r="E3384" t="s">
        <v>4231</v>
      </c>
      <c r="F3384" t="s">
        <v>4224</v>
      </c>
      <c r="G3384" t="s">
        <v>4039</v>
      </c>
      <c r="H3384" t="s">
        <v>3482</v>
      </c>
      <c r="I3384" t="s">
        <v>374</v>
      </c>
      <c r="J3384" t="s">
        <v>4115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4035</v>
      </c>
      <c r="B3385" t="s">
        <v>4112</v>
      </c>
      <c r="C3385" t="s">
        <v>368</v>
      </c>
      <c r="D3385" t="s">
        <v>3129</v>
      </c>
      <c r="E3385" t="s">
        <v>4232</v>
      </c>
      <c r="F3385" t="s">
        <v>4224</v>
      </c>
      <c r="G3385" t="s">
        <v>4039</v>
      </c>
      <c r="H3385" t="s">
        <v>3482</v>
      </c>
      <c r="I3385" t="s">
        <v>374</v>
      </c>
      <c r="J3385" t="s">
        <v>4115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4035</v>
      </c>
      <c r="B3386" t="s">
        <v>4112</v>
      </c>
      <c r="C3386" t="s">
        <v>609</v>
      </c>
      <c r="D3386" t="s">
        <v>3129</v>
      </c>
      <c r="E3386" t="s">
        <v>4233</v>
      </c>
      <c r="F3386" t="s">
        <v>4224</v>
      </c>
      <c r="G3386" t="s">
        <v>4039</v>
      </c>
      <c r="H3386" t="s">
        <v>3482</v>
      </c>
      <c r="I3386" t="s">
        <v>374</v>
      </c>
      <c r="J3386" t="s">
        <v>4115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4035</v>
      </c>
      <c r="B3387" t="s">
        <v>4112</v>
      </c>
      <c r="C3387" t="s">
        <v>609</v>
      </c>
      <c r="D3387" t="s">
        <v>3129</v>
      </c>
      <c r="E3387" t="s">
        <v>4234</v>
      </c>
      <c r="F3387" t="s">
        <v>4224</v>
      </c>
      <c r="G3387" t="s">
        <v>4039</v>
      </c>
      <c r="H3387" t="s">
        <v>3482</v>
      </c>
      <c r="I3387" t="s">
        <v>374</v>
      </c>
      <c r="J3387" t="s">
        <v>4115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4035</v>
      </c>
      <c r="B3388" t="s">
        <v>4112</v>
      </c>
      <c r="C3388" t="s">
        <v>609</v>
      </c>
      <c r="D3388" t="s">
        <v>3129</v>
      </c>
      <c r="E3388" t="s">
        <v>4235</v>
      </c>
      <c r="F3388" t="s">
        <v>4224</v>
      </c>
      <c r="G3388" t="s">
        <v>4039</v>
      </c>
      <c r="H3388" t="s">
        <v>3482</v>
      </c>
      <c r="I3388" t="s">
        <v>374</v>
      </c>
      <c r="J3388" t="s">
        <v>4115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4035</v>
      </c>
      <c r="B3389" t="s">
        <v>4112</v>
      </c>
      <c r="C3389" t="s">
        <v>609</v>
      </c>
      <c r="D3389" t="s">
        <v>3129</v>
      </c>
      <c r="E3389" t="s">
        <v>4236</v>
      </c>
      <c r="F3389" t="s">
        <v>4224</v>
      </c>
      <c r="G3389" t="s">
        <v>4039</v>
      </c>
      <c r="H3389" t="s">
        <v>3482</v>
      </c>
      <c r="I3389" t="s">
        <v>374</v>
      </c>
      <c r="J3389" t="s">
        <v>4115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4035</v>
      </c>
      <c r="B3390" t="s">
        <v>4112</v>
      </c>
      <c r="C3390" t="s">
        <v>368</v>
      </c>
      <c r="D3390" t="s">
        <v>3129</v>
      </c>
      <c r="E3390" t="s">
        <v>4237</v>
      </c>
      <c r="F3390" t="s">
        <v>4224</v>
      </c>
      <c r="G3390" t="s">
        <v>4039</v>
      </c>
      <c r="H3390" t="s">
        <v>3482</v>
      </c>
      <c r="I3390" t="s">
        <v>374</v>
      </c>
      <c r="J3390" t="s">
        <v>4115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4035</v>
      </c>
      <c r="B3391" t="s">
        <v>4112</v>
      </c>
      <c r="C3391" t="s">
        <v>368</v>
      </c>
      <c r="D3391" t="s">
        <v>3129</v>
      </c>
      <c r="E3391" t="s">
        <v>4238</v>
      </c>
      <c r="F3391" t="s">
        <v>4224</v>
      </c>
      <c r="G3391" t="s">
        <v>4039</v>
      </c>
      <c r="H3391" t="s">
        <v>3482</v>
      </c>
      <c r="I3391" t="s">
        <v>374</v>
      </c>
      <c r="J3391" t="s">
        <v>4115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4239</v>
      </c>
      <c r="B3392" t="s">
        <v>4240</v>
      </c>
      <c r="C3392" t="s">
        <v>368</v>
      </c>
      <c r="D3392" t="s">
        <v>3129</v>
      </c>
      <c r="E3392" t="s">
        <v>4241</v>
      </c>
      <c r="F3392" t="s">
        <v>4242</v>
      </c>
      <c r="G3392" t="s">
        <v>4243</v>
      </c>
      <c r="H3392" t="s">
        <v>3492</v>
      </c>
      <c r="I3392" t="s">
        <v>374</v>
      </c>
      <c r="J3392" t="s">
        <v>429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4239</v>
      </c>
      <c r="B3393" t="s">
        <v>4240</v>
      </c>
      <c r="C3393" t="s">
        <v>368</v>
      </c>
      <c r="D3393" t="s">
        <v>3129</v>
      </c>
      <c r="E3393" t="s">
        <v>4244</v>
      </c>
      <c r="F3393" t="s">
        <v>4242</v>
      </c>
      <c r="G3393" t="s">
        <v>4243</v>
      </c>
      <c r="H3393" t="s">
        <v>3492</v>
      </c>
      <c r="I3393" t="s">
        <v>374</v>
      </c>
      <c r="J3393" t="s">
        <v>429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4239</v>
      </c>
      <c r="B3394" t="s">
        <v>4240</v>
      </c>
      <c r="C3394" t="s">
        <v>368</v>
      </c>
      <c r="D3394" t="s">
        <v>3129</v>
      </c>
      <c r="E3394" t="s">
        <v>4245</v>
      </c>
      <c r="F3394" t="s">
        <v>4242</v>
      </c>
      <c r="G3394" t="s">
        <v>4243</v>
      </c>
      <c r="H3394" t="s">
        <v>3492</v>
      </c>
      <c r="I3394" t="s">
        <v>374</v>
      </c>
      <c r="J3394" t="s">
        <v>429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4239</v>
      </c>
      <c r="B3395" t="s">
        <v>4240</v>
      </c>
      <c r="C3395" t="s">
        <v>368</v>
      </c>
      <c r="D3395" t="s">
        <v>3129</v>
      </c>
      <c r="E3395" t="s">
        <v>4246</v>
      </c>
      <c r="F3395" t="s">
        <v>4242</v>
      </c>
      <c r="G3395" t="s">
        <v>4243</v>
      </c>
      <c r="H3395" t="s">
        <v>3492</v>
      </c>
      <c r="I3395" t="s">
        <v>374</v>
      </c>
      <c r="J3395" t="s">
        <v>429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4239</v>
      </c>
      <c r="B3396" t="s">
        <v>4240</v>
      </c>
      <c r="C3396" t="s">
        <v>368</v>
      </c>
      <c r="D3396" t="s">
        <v>3129</v>
      </c>
      <c r="E3396" t="s">
        <v>4247</v>
      </c>
      <c r="F3396" t="s">
        <v>4242</v>
      </c>
      <c r="G3396" t="s">
        <v>4243</v>
      </c>
      <c r="H3396" t="s">
        <v>3492</v>
      </c>
      <c r="I3396" t="s">
        <v>374</v>
      </c>
      <c r="J3396" t="s">
        <v>429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4239</v>
      </c>
      <c r="B3397" t="s">
        <v>4240</v>
      </c>
      <c r="C3397" t="s">
        <v>368</v>
      </c>
      <c r="D3397" t="s">
        <v>3129</v>
      </c>
      <c r="E3397" t="s">
        <v>4248</v>
      </c>
      <c r="F3397" t="s">
        <v>4242</v>
      </c>
      <c r="G3397" t="s">
        <v>4243</v>
      </c>
      <c r="H3397" t="s">
        <v>3492</v>
      </c>
      <c r="I3397" t="s">
        <v>374</v>
      </c>
      <c r="J3397" t="s">
        <v>429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4239</v>
      </c>
      <c r="B3398" t="s">
        <v>4240</v>
      </c>
      <c r="C3398" t="s">
        <v>368</v>
      </c>
      <c r="D3398" t="s">
        <v>3129</v>
      </c>
      <c r="E3398" t="s">
        <v>4249</v>
      </c>
      <c r="F3398" t="s">
        <v>4242</v>
      </c>
      <c r="G3398" t="s">
        <v>4243</v>
      </c>
      <c r="H3398" t="s">
        <v>3492</v>
      </c>
      <c r="I3398" t="s">
        <v>374</v>
      </c>
      <c r="J3398" t="s">
        <v>429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4239</v>
      </c>
      <c r="B3399" t="s">
        <v>4240</v>
      </c>
      <c r="C3399" t="s">
        <v>368</v>
      </c>
      <c r="D3399" t="s">
        <v>3129</v>
      </c>
      <c r="E3399" t="s">
        <v>4250</v>
      </c>
      <c r="F3399" t="s">
        <v>4242</v>
      </c>
      <c r="G3399" t="s">
        <v>4243</v>
      </c>
      <c r="H3399" t="s">
        <v>3492</v>
      </c>
      <c r="I3399" t="s">
        <v>374</v>
      </c>
      <c r="J3399" t="s">
        <v>429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4239</v>
      </c>
      <c r="B3400" t="s">
        <v>4240</v>
      </c>
      <c r="C3400" t="s">
        <v>368</v>
      </c>
      <c r="D3400" t="s">
        <v>3129</v>
      </c>
      <c r="E3400" t="s">
        <v>4251</v>
      </c>
      <c r="F3400" t="s">
        <v>4242</v>
      </c>
      <c r="G3400" t="s">
        <v>4243</v>
      </c>
      <c r="H3400" t="s">
        <v>3492</v>
      </c>
      <c r="I3400" t="s">
        <v>374</v>
      </c>
      <c r="J3400" t="s">
        <v>429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4239</v>
      </c>
      <c r="B3401" t="s">
        <v>4240</v>
      </c>
      <c r="C3401" t="s">
        <v>609</v>
      </c>
      <c r="D3401" t="s">
        <v>3129</v>
      </c>
      <c r="E3401" t="s">
        <v>4252</v>
      </c>
      <c r="F3401" t="s">
        <v>4242</v>
      </c>
      <c r="G3401" t="s">
        <v>4243</v>
      </c>
      <c r="H3401" t="s">
        <v>3492</v>
      </c>
      <c r="I3401" t="s">
        <v>374</v>
      </c>
      <c r="J3401" t="s">
        <v>429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4239</v>
      </c>
      <c r="B3402" t="s">
        <v>4240</v>
      </c>
      <c r="C3402" t="s">
        <v>609</v>
      </c>
      <c r="D3402" t="s">
        <v>3129</v>
      </c>
      <c r="E3402" t="s">
        <v>4253</v>
      </c>
      <c r="F3402" t="s">
        <v>4242</v>
      </c>
      <c r="G3402" t="s">
        <v>4243</v>
      </c>
      <c r="H3402" t="s">
        <v>3492</v>
      </c>
      <c r="I3402" t="s">
        <v>374</v>
      </c>
      <c r="J3402" t="s">
        <v>429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4239</v>
      </c>
      <c r="B3403" t="s">
        <v>4240</v>
      </c>
      <c r="C3403" t="s">
        <v>609</v>
      </c>
      <c r="D3403" t="s">
        <v>3129</v>
      </c>
      <c r="E3403" t="s">
        <v>4254</v>
      </c>
      <c r="F3403" t="s">
        <v>4242</v>
      </c>
      <c r="G3403" t="s">
        <v>4243</v>
      </c>
      <c r="H3403" t="s">
        <v>3492</v>
      </c>
      <c r="I3403" t="s">
        <v>374</v>
      </c>
      <c r="J3403" t="s">
        <v>429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4239</v>
      </c>
      <c r="B3404" t="s">
        <v>4240</v>
      </c>
      <c r="C3404" t="s">
        <v>609</v>
      </c>
      <c r="D3404" t="s">
        <v>3129</v>
      </c>
      <c r="E3404" t="s">
        <v>4255</v>
      </c>
      <c r="F3404" t="s">
        <v>4242</v>
      </c>
      <c r="G3404" t="s">
        <v>4243</v>
      </c>
      <c r="H3404" t="s">
        <v>3492</v>
      </c>
      <c r="I3404" t="s">
        <v>374</v>
      </c>
      <c r="J3404" t="s">
        <v>429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4239</v>
      </c>
      <c r="B3405" t="s">
        <v>4240</v>
      </c>
      <c r="C3405" t="s">
        <v>368</v>
      </c>
      <c r="D3405" t="s">
        <v>3129</v>
      </c>
      <c r="E3405" t="s">
        <v>4256</v>
      </c>
      <c r="F3405" t="s">
        <v>4242</v>
      </c>
      <c r="G3405" t="s">
        <v>4243</v>
      </c>
      <c r="H3405" t="s">
        <v>3492</v>
      </c>
      <c r="I3405" t="s">
        <v>374</v>
      </c>
      <c r="J3405" t="s">
        <v>429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4239</v>
      </c>
      <c r="B3406" t="s">
        <v>4240</v>
      </c>
      <c r="C3406" t="s">
        <v>368</v>
      </c>
      <c r="D3406" t="s">
        <v>3129</v>
      </c>
      <c r="E3406" t="s">
        <v>4257</v>
      </c>
      <c r="F3406" t="s">
        <v>4242</v>
      </c>
      <c r="G3406" t="s">
        <v>4243</v>
      </c>
      <c r="H3406" t="s">
        <v>3492</v>
      </c>
      <c r="I3406" t="s">
        <v>374</v>
      </c>
      <c r="J3406" t="s">
        <v>429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4239</v>
      </c>
      <c r="B3407" t="s">
        <v>4258</v>
      </c>
      <c r="C3407" t="s">
        <v>368</v>
      </c>
      <c r="D3407" t="s">
        <v>3129</v>
      </c>
      <c r="E3407" t="s">
        <v>4259</v>
      </c>
      <c r="F3407" t="s">
        <v>4260</v>
      </c>
      <c r="G3407" t="s">
        <v>4243</v>
      </c>
      <c r="H3407" t="s">
        <v>458</v>
      </c>
      <c r="I3407" t="s">
        <v>374</v>
      </c>
      <c r="J3407" t="s">
        <v>881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4239</v>
      </c>
      <c r="B3408" t="s">
        <v>4258</v>
      </c>
      <c r="C3408" t="s">
        <v>368</v>
      </c>
      <c r="D3408" t="s">
        <v>3129</v>
      </c>
      <c r="E3408" t="s">
        <v>4261</v>
      </c>
      <c r="F3408" t="s">
        <v>4260</v>
      </c>
      <c r="G3408" t="s">
        <v>4243</v>
      </c>
      <c r="H3408" t="s">
        <v>458</v>
      </c>
      <c r="I3408" t="s">
        <v>374</v>
      </c>
      <c r="J3408" t="s">
        <v>881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4239</v>
      </c>
      <c r="B3409" t="s">
        <v>4258</v>
      </c>
      <c r="C3409" t="s">
        <v>368</v>
      </c>
      <c r="D3409" t="s">
        <v>3129</v>
      </c>
      <c r="E3409" t="s">
        <v>4262</v>
      </c>
      <c r="F3409" t="s">
        <v>4260</v>
      </c>
      <c r="G3409" t="s">
        <v>4243</v>
      </c>
      <c r="H3409" t="s">
        <v>458</v>
      </c>
      <c r="I3409" t="s">
        <v>374</v>
      </c>
      <c r="J3409" t="s">
        <v>881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4239</v>
      </c>
      <c r="B3410" t="s">
        <v>4258</v>
      </c>
      <c r="C3410" t="s">
        <v>368</v>
      </c>
      <c r="D3410" t="s">
        <v>3129</v>
      </c>
      <c r="E3410" t="s">
        <v>4263</v>
      </c>
      <c r="F3410" t="s">
        <v>4260</v>
      </c>
      <c r="G3410" t="s">
        <v>4243</v>
      </c>
      <c r="H3410" t="s">
        <v>458</v>
      </c>
      <c r="I3410" t="s">
        <v>374</v>
      </c>
      <c r="J3410" t="s">
        <v>881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4239</v>
      </c>
      <c r="B3411" t="s">
        <v>4258</v>
      </c>
      <c r="C3411" t="s">
        <v>368</v>
      </c>
      <c r="D3411" t="s">
        <v>3129</v>
      </c>
      <c r="E3411" t="s">
        <v>4264</v>
      </c>
      <c r="F3411" t="s">
        <v>4260</v>
      </c>
      <c r="G3411" t="s">
        <v>4243</v>
      </c>
      <c r="H3411" t="s">
        <v>458</v>
      </c>
      <c r="I3411" t="s">
        <v>374</v>
      </c>
      <c r="J3411" t="s">
        <v>881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4239</v>
      </c>
      <c r="B3412" t="s">
        <v>4258</v>
      </c>
      <c r="C3412" t="s">
        <v>368</v>
      </c>
      <c r="D3412" t="s">
        <v>3129</v>
      </c>
      <c r="E3412" t="s">
        <v>4265</v>
      </c>
      <c r="F3412" t="s">
        <v>4260</v>
      </c>
      <c r="G3412" t="s">
        <v>4243</v>
      </c>
      <c r="H3412" t="s">
        <v>458</v>
      </c>
      <c r="I3412" t="s">
        <v>374</v>
      </c>
      <c r="J3412" t="s">
        <v>881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4239</v>
      </c>
      <c r="B3413" t="s">
        <v>4258</v>
      </c>
      <c r="C3413" t="s">
        <v>368</v>
      </c>
      <c r="D3413" t="s">
        <v>3129</v>
      </c>
      <c r="E3413" t="s">
        <v>4266</v>
      </c>
      <c r="F3413" t="s">
        <v>4260</v>
      </c>
      <c r="G3413" t="s">
        <v>4243</v>
      </c>
      <c r="H3413" t="s">
        <v>458</v>
      </c>
      <c r="I3413" t="s">
        <v>374</v>
      </c>
      <c r="J3413" t="s">
        <v>881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4239</v>
      </c>
      <c r="B3414" t="s">
        <v>4258</v>
      </c>
      <c r="C3414" t="s">
        <v>368</v>
      </c>
      <c r="D3414" t="s">
        <v>3129</v>
      </c>
      <c r="E3414" t="s">
        <v>4267</v>
      </c>
      <c r="F3414" t="s">
        <v>4260</v>
      </c>
      <c r="G3414" t="s">
        <v>4243</v>
      </c>
      <c r="H3414" t="s">
        <v>458</v>
      </c>
      <c r="I3414" t="s">
        <v>374</v>
      </c>
      <c r="J3414" t="s">
        <v>881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4239</v>
      </c>
      <c r="B3415" t="s">
        <v>4258</v>
      </c>
      <c r="C3415" t="s">
        <v>368</v>
      </c>
      <c r="D3415" t="s">
        <v>3129</v>
      </c>
      <c r="E3415" t="s">
        <v>4268</v>
      </c>
      <c r="F3415" t="s">
        <v>4260</v>
      </c>
      <c r="G3415" t="s">
        <v>4243</v>
      </c>
      <c r="H3415" t="s">
        <v>458</v>
      </c>
      <c r="I3415" t="s">
        <v>374</v>
      </c>
      <c r="J3415" t="s">
        <v>881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4239</v>
      </c>
      <c r="B3416" t="s">
        <v>4258</v>
      </c>
      <c r="C3416" t="s">
        <v>368</v>
      </c>
      <c r="D3416" t="s">
        <v>3129</v>
      </c>
      <c r="E3416" t="s">
        <v>4269</v>
      </c>
      <c r="F3416" t="s">
        <v>4260</v>
      </c>
      <c r="G3416" t="s">
        <v>4243</v>
      </c>
      <c r="H3416" t="s">
        <v>458</v>
      </c>
      <c r="I3416" t="s">
        <v>374</v>
      </c>
      <c r="J3416" t="s">
        <v>881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4239</v>
      </c>
      <c r="B3417" t="s">
        <v>4258</v>
      </c>
      <c r="C3417" t="s">
        <v>609</v>
      </c>
      <c r="D3417" t="s">
        <v>3129</v>
      </c>
      <c r="E3417" t="s">
        <v>4270</v>
      </c>
      <c r="F3417" t="s">
        <v>4260</v>
      </c>
      <c r="G3417" t="s">
        <v>4243</v>
      </c>
      <c r="H3417" t="s">
        <v>458</v>
      </c>
      <c r="I3417" t="s">
        <v>374</v>
      </c>
      <c r="J3417" t="s">
        <v>881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4239</v>
      </c>
      <c r="B3418" t="s">
        <v>4258</v>
      </c>
      <c r="C3418" t="s">
        <v>609</v>
      </c>
      <c r="D3418" t="s">
        <v>3129</v>
      </c>
      <c r="E3418" t="s">
        <v>4271</v>
      </c>
      <c r="F3418" t="s">
        <v>4260</v>
      </c>
      <c r="G3418" t="s">
        <v>4243</v>
      </c>
      <c r="H3418" t="s">
        <v>458</v>
      </c>
      <c r="I3418" t="s">
        <v>374</v>
      </c>
      <c r="J3418" t="s">
        <v>881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4239</v>
      </c>
      <c r="B3419" t="s">
        <v>4258</v>
      </c>
      <c r="C3419" t="s">
        <v>609</v>
      </c>
      <c r="D3419" t="s">
        <v>3129</v>
      </c>
      <c r="E3419" t="s">
        <v>4272</v>
      </c>
      <c r="F3419" t="s">
        <v>4260</v>
      </c>
      <c r="G3419" t="s">
        <v>4243</v>
      </c>
      <c r="H3419" t="s">
        <v>458</v>
      </c>
      <c r="I3419" t="s">
        <v>374</v>
      </c>
      <c r="J3419" t="s">
        <v>881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4239</v>
      </c>
      <c r="B3420" t="s">
        <v>4258</v>
      </c>
      <c r="C3420" t="s">
        <v>609</v>
      </c>
      <c r="D3420" t="s">
        <v>3129</v>
      </c>
      <c r="E3420" t="s">
        <v>4273</v>
      </c>
      <c r="F3420" t="s">
        <v>4260</v>
      </c>
      <c r="G3420" t="s">
        <v>4243</v>
      </c>
      <c r="H3420" t="s">
        <v>458</v>
      </c>
      <c r="I3420" t="s">
        <v>374</v>
      </c>
      <c r="J3420" t="s">
        <v>881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4239</v>
      </c>
      <c r="B3421" t="s">
        <v>4258</v>
      </c>
      <c r="C3421" t="s">
        <v>368</v>
      </c>
      <c r="D3421" t="s">
        <v>3129</v>
      </c>
      <c r="E3421" t="s">
        <v>4274</v>
      </c>
      <c r="F3421" t="s">
        <v>4260</v>
      </c>
      <c r="G3421" t="s">
        <v>4243</v>
      </c>
      <c r="H3421" t="s">
        <v>458</v>
      </c>
      <c r="I3421" t="s">
        <v>374</v>
      </c>
      <c r="J3421" t="s">
        <v>881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4239</v>
      </c>
      <c r="B3422" t="s">
        <v>4258</v>
      </c>
      <c r="C3422" t="s">
        <v>368</v>
      </c>
      <c r="D3422" t="s">
        <v>3129</v>
      </c>
      <c r="E3422" t="s">
        <v>4275</v>
      </c>
      <c r="F3422" t="s">
        <v>4260</v>
      </c>
      <c r="G3422" t="s">
        <v>4243</v>
      </c>
      <c r="H3422" t="s">
        <v>458</v>
      </c>
      <c r="I3422" t="s">
        <v>374</v>
      </c>
      <c r="J3422" t="s">
        <v>881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4239</v>
      </c>
      <c r="B3423" t="s">
        <v>4276</v>
      </c>
      <c r="C3423" t="s">
        <v>368</v>
      </c>
      <c r="D3423" t="s">
        <v>3129</v>
      </c>
      <c r="E3423" t="s">
        <v>4277</v>
      </c>
      <c r="F3423" t="s">
        <v>4278</v>
      </c>
      <c r="G3423" t="s">
        <v>4243</v>
      </c>
      <c r="H3423" t="s">
        <v>458</v>
      </c>
      <c r="I3423" t="s">
        <v>374</v>
      </c>
      <c r="J3423" t="s">
        <v>386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4239</v>
      </c>
      <c r="B3424" t="s">
        <v>4276</v>
      </c>
      <c r="C3424" t="s">
        <v>368</v>
      </c>
      <c r="D3424" t="s">
        <v>3129</v>
      </c>
      <c r="E3424" t="s">
        <v>4279</v>
      </c>
      <c r="F3424" t="s">
        <v>4278</v>
      </c>
      <c r="G3424" t="s">
        <v>4243</v>
      </c>
      <c r="H3424" t="s">
        <v>458</v>
      </c>
      <c r="I3424" t="s">
        <v>374</v>
      </c>
      <c r="J3424" t="s">
        <v>386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4239</v>
      </c>
      <c r="B3425" t="s">
        <v>4276</v>
      </c>
      <c r="C3425" t="s">
        <v>368</v>
      </c>
      <c r="D3425" t="s">
        <v>3129</v>
      </c>
      <c r="E3425" t="s">
        <v>4280</v>
      </c>
      <c r="F3425" t="s">
        <v>4278</v>
      </c>
      <c r="G3425" t="s">
        <v>4243</v>
      </c>
      <c r="H3425" t="s">
        <v>458</v>
      </c>
      <c r="I3425" t="s">
        <v>374</v>
      </c>
      <c r="J3425" t="s">
        <v>386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4239</v>
      </c>
      <c r="B3426" t="s">
        <v>4276</v>
      </c>
      <c r="C3426" t="s">
        <v>368</v>
      </c>
      <c r="D3426" t="s">
        <v>3129</v>
      </c>
      <c r="E3426" t="s">
        <v>4281</v>
      </c>
      <c r="F3426" t="s">
        <v>4278</v>
      </c>
      <c r="G3426" t="s">
        <v>4243</v>
      </c>
      <c r="H3426" t="s">
        <v>458</v>
      </c>
      <c r="I3426" t="s">
        <v>374</v>
      </c>
      <c r="J3426" t="s">
        <v>386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4239</v>
      </c>
      <c r="B3427" t="s">
        <v>4276</v>
      </c>
      <c r="C3427" t="s">
        <v>368</v>
      </c>
      <c r="D3427" t="s">
        <v>3129</v>
      </c>
      <c r="E3427" t="s">
        <v>4282</v>
      </c>
      <c r="F3427" t="s">
        <v>4278</v>
      </c>
      <c r="G3427" t="s">
        <v>4243</v>
      </c>
      <c r="H3427" t="s">
        <v>458</v>
      </c>
      <c r="I3427" t="s">
        <v>374</v>
      </c>
      <c r="J3427" t="s">
        <v>386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4239</v>
      </c>
      <c r="B3428" t="s">
        <v>4276</v>
      </c>
      <c r="C3428" t="s">
        <v>368</v>
      </c>
      <c r="D3428" t="s">
        <v>3129</v>
      </c>
      <c r="E3428" t="s">
        <v>4283</v>
      </c>
      <c r="F3428" t="s">
        <v>4278</v>
      </c>
      <c r="G3428" t="s">
        <v>4243</v>
      </c>
      <c r="H3428" t="s">
        <v>458</v>
      </c>
      <c r="I3428" t="s">
        <v>374</v>
      </c>
      <c r="J3428" t="s">
        <v>386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4239</v>
      </c>
      <c r="B3429" t="s">
        <v>4276</v>
      </c>
      <c r="C3429" t="s">
        <v>368</v>
      </c>
      <c r="D3429" t="s">
        <v>3129</v>
      </c>
      <c r="E3429" t="s">
        <v>4284</v>
      </c>
      <c r="F3429" t="s">
        <v>4278</v>
      </c>
      <c r="G3429" t="s">
        <v>4243</v>
      </c>
      <c r="H3429" t="s">
        <v>458</v>
      </c>
      <c r="I3429" t="s">
        <v>374</v>
      </c>
      <c r="J3429" t="s">
        <v>386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4239</v>
      </c>
      <c r="B3430" t="s">
        <v>4276</v>
      </c>
      <c r="C3430" t="s">
        <v>368</v>
      </c>
      <c r="D3430" t="s">
        <v>3129</v>
      </c>
      <c r="E3430" t="s">
        <v>4285</v>
      </c>
      <c r="F3430" t="s">
        <v>4278</v>
      </c>
      <c r="G3430" t="s">
        <v>4243</v>
      </c>
      <c r="H3430" t="s">
        <v>458</v>
      </c>
      <c r="I3430" t="s">
        <v>374</v>
      </c>
      <c r="J3430" t="s">
        <v>386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4239</v>
      </c>
      <c r="B3431" t="s">
        <v>4276</v>
      </c>
      <c r="C3431" t="s">
        <v>368</v>
      </c>
      <c r="D3431" t="s">
        <v>3129</v>
      </c>
      <c r="E3431" t="s">
        <v>4286</v>
      </c>
      <c r="F3431" t="s">
        <v>4278</v>
      </c>
      <c r="G3431" t="s">
        <v>4243</v>
      </c>
      <c r="H3431" t="s">
        <v>458</v>
      </c>
      <c r="I3431" t="s">
        <v>374</v>
      </c>
      <c r="J3431" t="s">
        <v>386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4239</v>
      </c>
      <c r="B3432" t="s">
        <v>4276</v>
      </c>
      <c r="C3432" t="s">
        <v>609</v>
      </c>
      <c r="D3432" t="s">
        <v>3129</v>
      </c>
      <c r="E3432" t="s">
        <v>4287</v>
      </c>
      <c r="F3432" t="s">
        <v>4278</v>
      </c>
      <c r="G3432" t="s">
        <v>4243</v>
      </c>
      <c r="H3432" t="s">
        <v>458</v>
      </c>
      <c r="I3432" t="s">
        <v>374</v>
      </c>
      <c r="J3432" t="s">
        <v>386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4239</v>
      </c>
      <c r="B3433" t="s">
        <v>4276</v>
      </c>
      <c r="C3433" t="s">
        <v>609</v>
      </c>
      <c r="D3433" t="s">
        <v>3129</v>
      </c>
      <c r="E3433" t="s">
        <v>4288</v>
      </c>
      <c r="F3433" t="s">
        <v>4278</v>
      </c>
      <c r="G3433" t="s">
        <v>4243</v>
      </c>
      <c r="H3433" t="s">
        <v>458</v>
      </c>
      <c r="I3433" t="s">
        <v>374</v>
      </c>
      <c r="J3433" t="s">
        <v>386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4239</v>
      </c>
      <c r="B3434" t="s">
        <v>4276</v>
      </c>
      <c r="C3434" t="s">
        <v>609</v>
      </c>
      <c r="D3434" t="s">
        <v>3129</v>
      </c>
      <c r="E3434" t="s">
        <v>4289</v>
      </c>
      <c r="F3434" t="s">
        <v>4278</v>
      </c>
      <c r="G3434" t="s">
        <v>4243</v>
      </c>
      <c r="H3434" t="s">
        <v>458</v>
      </c>
      <c r="I3434" t="s">
        <v>374</v>
      </c>
      <c r="J3434" t="s">
        <v>386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4239</v>
      </c>
      <c r="B3435" t="s">
        <v>4276</v>
      </c>
      <c r="C3435" t="s">
        <v>609</v>
      </c>
      <c r="D3435" t="s">
        <v>3129</v>
      </c>
      <c r="E3435" t="s">
        <v>4290</v>
      </c>
      <c r="F3435" t="s">
        <v>4278</v>
      </c>
      <c r="G3435" t="s">
        <v>4243</v>
      </c>
      <c r="H3435" t="s">
        <v>458</v>
      </c>
      <c r="I3435" t="s">
        <v>374</v>
      </c>
      <c r="J3435" t="s">
        <v>386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4239</v>
      </c>
      <c r="B3436" t="s">
        <v>4276</v>
      </c>
      <c r="C3436" t="s">
        <v>368</v>
      </c>
      <c r="D3436" t="s">
        <v>3129</v>
      </c>
      <c r="E3436" t="s">
        <v>4291</v>
      </c>
      <c r="F3436" t="s">
        <v>4278</v>
      </c>
      <c r="G3436" t="s">
        <v>4243</v>
      </c>
      <c r="H3436" t="s">
        <v>458</v>
      </c>
      <c r="I3436" t="s">
        <v>374</v>
      </c>
      <c r="J3436" t="s">
        <v>386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4239</v>
      </c>
      <c r="B3437" t="s">
        <v>4276</v>
      </c>
      <c r="C3437" t="s">
        <v>368</v>
      </c>
      <c r="D3437" t="s">
        <v>3129</v>
      </c>
      <c r="E3437" t="s">
        <v>4292</v>
      </c>
      <c r="F3437" t="s">
        <v>4278</v>
      </c>
      <c r="G3437" t="s">
        <v>4243</v>
      </c>
      <c r="H3437" t="s">
        <v>458</v>
      </c>
      <c r="I3437" t="s">
        <v>374</v>
      </c>
      <c r="J3437" t="s">
        <v>386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4239</v>
      </c>
      <c r="B3438" t="s">
        <v>4240</v>
      </c>
      <c r="C3438" t="s">
        <v>368</v>
      </c>
      <c r="D3438" t="s">
        <v>3129</v>
      </c>
      <c r="E3438" t="s">
        <v>188</v>
      </c>
      <c r="F3438" t="s">
        <v>4293</v>
      </c>
      <c r="G3438" t="s">
        <v>4243</v>
      </c>
      <c r="H3438" t="s">
        <v>3723</v>
      </c>
      <c r="I3438" t="s">
        <v>374</v>
      </c>
      <c r="J3438" t="s">
        <v>429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4239</v>
      </c>
      <c r="B3439" t="s">
        <v>4240</v>
      </c>
      <c r="C3439" t="s">
        <v>368</v>
      </c>
      <c r="D3439" t="s">
        <v>3129</v>
      </c>
      <c r="E3439" t="s">
        <v>189</v>
      </c>
      <c r="F3439" t="s">
        <v>4293</v>
      </c>
      <c r="G3439" t="s">
        <v>4243</v>
      </c>
      <c r="H3439" t="s">
        <v>3723</v>
      </c>
      <c r="I3439" t="s">
        <v>374</v>
      </c>
      <c r="J3439" t="s">
        <v>429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4239</v>
      </c>
      <c r="B3440" t="s">
        <v>4240</v>
      </c>
      <c r="C3440" t="s">
        <v>368</v>
      </c>
      <c r="D3440" t="s">
        <v>3129</v>
      </c>
      <c r="E3440" t="s">
        <v>190</v>
      </c>
      <c r="F3440" t="s">
        <v>4293</v>
      </c>
      <c r="G3440" t="s">
        <v>4243</v>
      </c>
      <c r="H3440" t="s">
        <v>3723</v>
      </c>
      <c r="I3440" t="s">
        <v>374</v>
      </c>
      <c r="J3440" t="s">
        <v>429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4239</v>
      </c>
      <c r="B3441" t="s">
        <v>4240</v>
      </c>
      <c r="C3441" t="s">
        <v>368</v>
      </c>
      <c r="D3441" t="s">
        <v>3129</v>
      </c>
      <c r="E3441" t="s">
        <v>191</v>
      </c>
      <c r="F3441" t="s">
        <v>4293</v>
      </c>
      <c r="G3441" t="s">
        <v>4243</v>
      </c>
      <c r="H3441" t="s">
        <v>3723</v>
      </c>
      <c r="I3441" t="s">
        <v>374</v>
      </c>
      <c r="J3441" t="s">
        <v>429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4239</v>
      </c>
      <c r="B3442" t="s">
        <v>4240</v>
      </c>
      <c r="C3442" t="s">
        <v>368</v>
      </c>
      <c r="D3442" t="s">
        <v>3129</v>
      </c>
      <c r="E3442" t="s">
        <v>192</v>
      </c>
      <c r="F3442" t="s">
        <v>4293</v>
      </c>
      <c r="G3442" t="s">
        <v>4243</v>
      </c>
      <c r="H3442" t="s">
        <v>3723</v>
      </c>
      <c r="I3442" t="s">
        <v>374</v>
      </c>
      <c r="J3442" t="s">
        <v>429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4239</v>
      </c>
      <c r="B3443" t="s">
        <v>4240</v>
      </c>
      <c r="C3443" t="s">
        <v>368</v>
      </c>
      <c r="D3443" t="s">
        <v>3129</v>
      </c>
      <c r="E3443" t="s">
        <v>193</v>
      </c>
      <c r="F3443" t="s">
        <v>4293</v>
      </c>
      <c r="G3443" t="s">
        <v>4243</v>
      </c>
      <c r="H3443" t="s">
        <v>3723</v>
      </c>
      <c r="I3443" t="s">
        <v>374</v>
      </c>
      <c r="J3443" t="s">
        <v>429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4239</v>
      </c>
      <c r="B3444" t="s">
        <v>4240</v>
      </c>
      <c r="C3444" t="s">
        <v>368</v>
      </c>
      <c r="D3444" t="s">
        <v>3129</v>
      </c>
      <c r="E3444" t="s">
        <v>4294</v>
      </c>
      <c r="F3444" t="s">
        <v>4293</v>
      </c>
      <c r="G3444" t="s">
        <v>4243</v>
      </c>
      <c r="H3444" t="s">
        <v>3723</v>
      </c>
      <c r="I3444" t="s">
        <v>374</v>
      </c>
      <c r="J3444" t="s">
        <v>429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4239</v>
      </c>
      <c r="B3445" t="s">
        <v>4240</v>
      </c>
      <c r="C3445" t="s">
        <v>368</v>
      </c>
      <c r="D3445" t="s">
        <v>3129</v>
      </c>
      <c r="E3445" t="s">
        <v>201</v>
      </c>
      <c r="F3445" t="s">
        <v>4293</v>
      </c>
      <c r="G3445" t="s">
        <v>4243</v>
      </c>
      <c r="H3445" t="s">
        <v>3723</v>
      </c>
      <c r="I3445" t="s">
        <v>374</v>
      </c>
      <c r="J3445" t="s">
        <v>429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4239</v>
      </c>
      <c r="B3446" t="s">
        <v>4240</v>
      </c>
      <c r="C3446" t="s">
        <v>368</v>
      </c>
      <c r="D3446" t="s">
        <v>3129</v>
      </c>
      <c r="E3446" t="s">
        <v>4295</v>
      </c>
      <c r="F3446" t="s">
        <v>4293</v>
      </c>
      <c r="G3446" t="s">
        <v>4243</v>
      </c>
      <c r="H3446" t="s">
        <v>3723</v>
      </c>
      <c r="I3446" t="s">
        <v>374</v>
      </c>
      <c r="J3446" t="s">
        <v>429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4239</v>
      </c>
      <c r="B3447" t="s">
        <v>4240</v>
      </c>
      <c r="C3447" t="s">
        <v>609</v>
      </c>
      <c r="D3447" t="s">
        <v>3129</v>
      </c>
      <c r="E3447" t="s">
        <v>4296</v>
      </c>
      <c r="F3447" t="s">
        <v>4293</v>
      </c>
      <c r="G3447" t="s">
        <v>4243</v>
      </c>
      <c r="H3447" t="s">
        <v>3723</v>
      </c>
      <c r="I3447" t="s">
        <v>374</v>
      </c>
      <c r="J3447" t="s">
        <v>429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4239</v>
      </c>
      <c r="B3448" t="s">
        <v>4240</v>
      </c>
      <c r="C3448" t="s">
        <v>609</v>
      </c>
      <c r="D3448" t="s">
        <v>3129</v>
      </c>
      <c r="E3448" t="s">
        <v>194</v>
      </c>
      <c r="F3448" t="s">
        <v>4293</v>
      </c>
      <c r="G3448" t="s">
        <v>4243</v>
      </c>
      <c r="H3448" t="s">
        <v>3723</v>
      </c>
      <c r="I3448" t="s">
        <v>374</v>
      </c>
      <c r="J3448" t="s">
        <v>429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4239</v>
      </c>
      <c r="B3449" t="s">
        <v>4240</v>
      </c>
      <c r="C3449" t="s">
        <v>609</v>
      </c>
      <c r="D3449" t="s">
        <v>3129</v>
      </c>
      <c r="E3449" t="s">
        <v>4297</v>
      </c>
      <c r="F3449" t="s">
        <v>4293</v>
      </c>
      <c r="G3449" t="s">
        <v>4243</v>
      </c>
      <c r="H3449" t="s">
        <v>3723</v>
      </c>
      <c r="I3449" t="s">
        <v>374</v>
      </c>
      <c r="J3449" t="s">
        <v>429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4239</v>
      </c>
      <c r="B3450" t="s">
        <v>4240</v>
      </c>
      <c r="C3450" t="s">
        <v>609</v>
      </c>
      <c r="D3450" t="s">
        <v>3129</v>
      </c>
      <c r="E3450" t="s">
        <v>284</v>
      </c>
      <c r="F3450" t="s">
        <v>4293</v>
      </c>
      <c r="G3450" t="s">
        <v>4243</v>
      </c>
      <c r="H3450" t="s">
        <v>3723</v>
      </c>
      <c r="I3450" t="s">
        <v>374</v>
      </c>
      <c r="J3450" t="s">
        <v>429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4239</v>
      </c>
      <c r="B3451" t="s">
        <v>4240</v>
      </c>
      <c r="C3451" t="s">
        <v>368</v>
      </c>
      <c r="D3451" t="s">
        <v>3129</v>
      </c>
      <c r="E3451" t="s">
        <v>195</v>
      </c>
      <c r="F3451" t="s">
        <v>4293</v>
      </c>
      <c r="G3451" t="s">
        <v>4243</v>
      </c>
      <c r="H3451" t="s">
        <v>3723</v>
      </c>
      <c r="I3451" t="s">
        <v>374</v>
      </c>
      <c r="J3451" t="s">
        <v>429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4239</v>
      </c>
      <c r="B3452" t="s">
        <v>4240</v>
      </c>
      <c r="C3452" t="s">
        <v>368</v>
      </c>
      <c r="D3452" t="s">
        <v>3129</v>
      </c>
      <c r="E3452" t="s">
        <v>196</v>
      </c>
      <c r="F3452" t="s">
        <v>4293</v>
      </c>
      <c r="G3452" t="s">
        <v>4243</v>
      </c>
      <c r="H3452" t="s">
        <v>3723</v>
      </c>
      <c r="I3452" t="s">
        <v>374</v>
      </c>
      <c r="J3452" t="s">
        <v>429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4239</v>
      </c>
      <c r="B3453" t="s">
        <v>4240</v>
      </c>
      <c r="C3453" t="s">
        <v>368</v>
      </c>
      <c r="D3453" t="s">
        <v>3129</v>
      </c>
      <c r="E3453" t="s">
        <v>93</v>
      </c>
      <c r="F3453" t="s">
        <v>4298</v>
      </c>
      <c r="G3453" t="s">
        <v>4243</v>
      </c>
      <c r="H3453" t="s">
        <v>3482</v>
      </c>
      <c r="I3453" t="s">
        <v>374</v>
      </c>
      <c r="J3453" t="s">
        <v>429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4239</v>
      </c>
      <c r="B3454" t="s">
        <v>4240</v>
      </c>
      <c r="C3454" t="s">
        <v>368</v>
      </c>
      <c r="D3454" t="s">
        <v>3129</v>
      </c>
      <c r="E3454" t="s">
        <v>94</v>
      </c>
      <c r="F3454" t="s">
        <v>4298</v>
      </c>
      <c r="G3454" t="s">
        <v>4243</v>
      </c>
      <c r="H3454" t="s">
        <v>3482</v>
      </c>
      <c r="I3454" t="s">
        <v>374</v>
      </c>
      <c r="J3454" t="s">
        <v>429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4239</v>
      </c>
      <c r="B3455" t="s">
        <v>4240</v>
      </c>
      <c r="C3455" t="s">
        <v>368</v>
      </c>
      <c r="D3455" t="s">
        <v>3129</v>
      </c>
      <c r="E3455" t="s">
        <v>95</v>
      </c>
      <c r="F3455" t="s">
        <v>4298</v>
      </c>
      <c r="G3455" t="s">
        <v>4243</v>
      </c>
      <c r="H3455" t="s">
        <v>3482</v>
      </c>
      <c r="I3455" t="s">
        <v>374</v>
      </c>
      <c r="J3455" t="s">
        <v>429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4239</v>
      </c>
      <c r="B3456" t="s">
        <v>4240</v>
      </c>
      <c r="C3456" t="s">
        <v>368</v>
      </c>
      <c r="D3456" t="s">
        <v>3129</v>
      </c>
      <c r="E3456" t="s">
        <v>96</v>
      </c>
      <c r="F3456" t="s">
        <v>4298</v>
      </c>
      <c r="G3456" t="s">
        <v>4243</v>
      </c>
      <c r="H3456" t="s">
        <v>3482</v>
      </c>
      <c r="I3456" t="s">
        <v>374</v>
      </c>
      <c r="J3456" t="s">
        <v>429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4239</v>
      </c>
      <c r="B3457" t="s">
        <v>4240</v>
      </c>
      <c r="C3457" t="s">
        <v>368</v>
      </c>
      <c r="D3457" t="s">
        <v>3129</v>
      </c>
      <c r="E3457" t="s">
        <v>97</v>
      </c>
      <c r="F3457" t="s">
        <v>4298</v>
      </c>
      <c r="G3457" t="s">
        <v>4243</v>
      </c>
      <c r="H3457" t="s">
        <v>3482</v>
      </c>
      <c r="I3457" t="s">
        <v>374</v>
      </c>
      <c r="J3457" t="s">
        <v>429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4239</v>
      </c>
      <c r="B3458" t="s">
        <v>4240</v>
      </c>
      <c r="C3458" t="s">
        <v>368</v>
      </c>
      <c r="D3458" t="s">
        <v>3129</v>
      </c>
      <c r="E3458" t="s">
        <v>98</v>
      </c>
      <c r="F3458" t="s">
        <v>4298</v>
      </c>
      <c r="G3458" t="s">
        <v>4243</v>
      </c>
      <c r="H3458" t="s">
        <v>3482</v>
      </c>
      <c r="I3458" t="s">
        <v>374</v>
      </c>
      <c r="J3458" t="s">
        <v>429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4239</v>
      </c>
      <c r="B3459" t="s">
        <v>4240</v>
      </c>
      <c r="C3459" t="s">
        <v>368</v>
      </c>
      <c r="D3459" t="s">
        <v>3129</v>
      </c>
      <c r="E3459" t="s">
        <v>4299</v>
      </c>
      <c r="F3459" t="s">
        <v>4298</v>
      </c>
      <c r="G3459" t="s">
        <v>4243</v>
      </c>
      <c r="H3459" t="s">
        <v>3482</v>
      </c>
      <c r="I3459" t="s">
        <v>374</v>
      </c>
      <c r="J3459" t="s">
        <v>429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4239</v>
      </c>
      <c r="B3460" t="s">
        <v>4240</v>
      </c>
      <c r="C3460" t="s">
        <v>368</v>
      </c>
      <c r="D3460" t="s">
        <v>3129</v>
      </c>
      <c r="E3460" t="s">
        <v>99</v>
      </c>
      <c r="F3460" t="s">
        <v>4298</v>
      </c>
      <c r="G3460" t="s">
        <v>4243</v>
      </c>
      <c r="H3460" t="s">
        <v>3482</v>
      </c>
      <c r="I3460" t="s">
        <v>374</v>
      </c>
      <c r="J3460" t="s">
        <v>429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4239</v>
      </c>
      <c r="B3461" t="s">
        <v>4240</v>
      </c>
      <c r="C3461" t="s">
        <v>368</v>
      </c>
      <c r="D3461" t="s">
        <v>3129</v>
      </c>
      <c r="E3461" t="s">
        <v>4300</v>
      </c>
      <c r="F3461" t="s">
        <v>4298</v>
      </c>
      <c r="G3461" t="s">
        <v>4243</v>
      </c>
      <c r="H3461" t="s">
        <v>3482</v>
      </c>
      <c r="I3461" t="s">
        <v>374</v>
      </c>
      <c r="J3461" t="s">
        <v>429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4239</v>
      </c>
      <c r="B3462" t="s">
        <v>4240</v>
      </c>
      <c r="C3462" t="s">
        <v>609</v>
      </c>
      <c r="D3462" t="s">
        <v>3129</v>
      </c>
      <c r="E3462" t="s">
        <v>4301</v>
      </c>
      <c r="F3462" t="s">
        <v>4298</v>
      </c>
      <c r="G3462" t="s">
        <v>4243</v>
      </c>
      <c r="H3462" t="s">
        <v>3482</v>
      </c>
      <c r="I3462" t="s">
        <v>374</v>
      </c>
      <c r="J3462" t="s">
        <v>429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4239</v>
      </c>
      <c r="B3463" t="s">
        <v>4240</v>
      </c>
      <c r="C3463" t="s">
        <v>609</v>
      </c>
      <c r="D3463" t="s">
        <v>3129</v>
      </c>
      <c r="E3463" t="s">
        <v>197</v>
      </c>
      <c r="F3463" t="s">
        <v>4298</v>
      </c>
      <c r="G3463" t="s">
        <v>4243</v>
      </c>
      <c r="H3463" t="s">
        <v>3482</v>
      </c>
      <c r="I3463" t="s">
        <v>374</v>
      </c>
      <c r="J3463" t="s">
        <v>429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4239</v>
      </c>
      <c r="B3464" t="s">
        <v>4240</v>
      </c>
      <c r="C3464" t="s">
        <v>609</v>
      </c>
      <c r="D3464" t="s">
        <v>3129</v>
      </c>
      <c r="E3464" t="s">
        <v>198</v>
      </c>
      <c r="F3464" t="s">
        <v>4298</v>
      </c>
      <c r="G3464" t="s">
        <v>4243</v>
      </c>
      <c r="H3464" t="s">
        <v>3482</v>
      </c>
      <c r="I3464" t="s">
        <v>374</v>
      </c>
      <c r="J3464" t="s">
        <v>429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4239</v>
      </c>
      <c r="B3465" t="s">
        <v>4240</v>
      </c>
      <c r="C3465" t="s">
        <v>609</v>
      </c>
      <c r="D3465" t="s">
        <v>3129</v>
      </c>
      <c r="E3465" t="s">
        <v>199</v>
      </c>
      <c r="F3465" t="s">
        <v>4298</v>
      </c>
      <c r="G3465" t="s">
        <v>4243</v>
      </c>
      <c r="H3465" t="s">
        <v>3482</v>
      </c>
      <c r="I3465" t="s">
        <v>374</v>
      </c>
      <c r="J3465" t="s">
        <v>429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4239</v>
      </c>
      <c r="B3466" t="s">
        <v>4240</v>
      </c>
      <c r="C3466" t="s">
        <v>368</v>
      </c>
      <c r="D3466" t="s">
        <v>3129</v>
      </c>
      <c r="E3466" t="s">
        <v>200</v>
      </c>
      <c r="F3466" t="s">
        <v>4298</v>
      </c>
      <c r="G3466" t="s">
        <v>4243</v>
      </c>
      <c r="H3466" t="s">
        <v>3482</v>
      </c>
      <c r="I3466" t="s">
        <v>374</v>
      </c>
      <c r="J3466" t="s">
        <v>429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4239</v>
      </c>
      <c r="B3467" t="s">
        <v>4240</v>
      </c>
      <c r="C3467" t="s">
        <v>368</v>
      </c>
      <c r="D3467" t="s">
        <v>3129</v>
      </c>
      <c r="E3467" t="s">
        <v>100</v>
      </c>
      <c r="F3467" t="s">
        <v>4298</v>
      </c>
      <c r="G3467" t="s">
        <v>4243</v>
      </c>
      <c r="H3467" t="s">
        <v>3482</v>
      </c>
      <c r="I3467" t="s">
        <v>374</v>
      </c>
      <c r="J3467" t="s">
        <v>429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4239</v>
      </c>
      <c r="B3468" t="s">
        <v>4302</v>
      </c>
      <c r="C3468" t="s">
        <v>368</v>
      </c>
      <c r="D3468" t="s">
        <v>3129</v>
      </c>
      <c r="E3468" t="s">
        <v>4303</v>
      </c>
      <c r="F3468" t="s">
        <v>4304</v>
      </c>
      <c r="G3468" t="s">
        <v>4243</v>
      </c>
      <c r="H3468" t="s">
        <v>3482</v>
      </c>
      <c r="I3468" t="s">
        <v>374</v>
      </c>
      <c r="J3468" t="s">
        <v>4305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4239</v>
      </c>
      <c r="B3469" t="s">
        <v>4302</v>
      </c>
      <c r="C3469" t="s">
        <v>368</v>
      </c>
      <c r="D3469" t="s">
        <v>3129</v>
      </c>
      <c r="E3469" t="s">
        <v>4306</v>
      </c>
      <c r="F3469" t="s">
        <v>4304</v>
      </c>
      <c r="G3469" t="s">
        <v>4243</v>
      </c>
      <c r="H3469" t="s">
        <v>3482</v>
      </c>
      <c r="I3469" t="s">
        <v>374</v>
      </c>
      <c r="J3469" t="s">
        <v>4305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4239</v>
      </c>
      <c r="B3470" t="s">
        <v>4302</v>
      </c>
      <c r="C3470" t="s">
        <v>368</v>
      </c>
      <c r="D3470" t="s">
        <v>3129</v>
      </c>
      <c r="E3470" t="s">
        <v>285</v>
      </c>
      <c r="F3470" t="s">
        <v>4304</v>
      </c>
      <c r="G3470" t="s">
        <v>4243</v>
      </c>
      <c r="H3470" t="s">
        <v>3482</v>
      </c>
      <c r="I3470" t="s">
        <v>374</v>
      </c>
      <c r="J3470" t="s">
        <v>4305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4239</v>
      </c>
      <c r="B3471" t="s">
        <v>4302</v>
      </c>
      <c r="C3471" t="s">
        <v>368</v>
      </c>
      <c r="D3471" t="s">
        <v>3129</v>
      </c>
      <c r="E3471" t="s">
        <v>180</v>
      </c>
      <c r="F3471" t="s">
        <v>4304</v>
      </c>
      <c r="G3471" t="s">
        <v>4243</v>
      </c>
      <c r="H3471" t="s">
        <v>3482</v>
      </c>
      <c r="I3471" t="s">
        <v>374</v>
      </c>
      <c r="J3471" t="s">
        <v>4305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4239</v>
      </c>
      <c r="B3472" t="s">
        <v>4302</v>
      </c>
      <c r="C3472" t="s">
        <v>368</v>
      </c>
      <c r="D3472" t="s">
        <v>3129</v>
      </c>
      <c r="E3472" t="s">
        <v>286</v>
      </c>
      <c r="F3472" t="s">
        <v>4304</v>
      </c>
      <c r="G3472" t="s">
        <v>4243</v>
      </c>
      <c r="H3472" t="s">
        <v>3482</v>
      </c>
      <c r="I3472" t="s">
        <v>374</v>
      </c>
      <c r="J3472" t="s">
        <v>4305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4239</v>
      </c>
      <c r="B3473" t="s">
        <v>4302</v>
      </c>
      <c r="C3473" t="s">
        <v>368</v>
      </c>
      <c r="D3473" t="s">
        <v>3129</v>
      </c>
      <c r="E3473" t="s">
        <v>287</v>
      </c>
      <c r="F3473" t="s">
        <v>4304</v>
      </c>
      <c r="G3473" t="s">
        <v>4243</v>
      </c>
      <c r="H3473" t="s">
        <v>3482</v>
      </c>
      <c r="I3473" t="s">
        <v>374</v>
      </c>
      <c r="J3473" t="s">
        <v>4305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4239</v>
      </c>
      <c r="B3474" t="s">
        <v>4302</v>
      </c>
      <c r="C3474" t="s">
        <v>368</v>
      </c>
      <c r="D3474" t="s">
        <v>3129</v>
      </c>
      <c r="E3474" t="s">
        <v>4307</v>
      </c>
      <c r="F3474" t="s">
        <v>4304</v>
      </c>
      <c r="G3474" t="s">
        <v>4243</v>
      </c>
      <c r="H3474" t="s">
        <v>3482</v>
      </c>
      <c r="I3474" t="s">
        <v>374</v>
      </c>
      <c r="J3474" t="s">
        <v>4305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4239</v>
      </c>
      <c r="B3475" t="s">
        <v>4302</v>
      </c>
      <c r="C3475" t="s">
        <v>368</v>
      </c>
      <c r="D3475" t="s">
        <v>3129</v>
      </c>
      <c r="E3475" t="s">
        <v>4308</v>
      </c>
      <c r="F3475" t="s">
        <v>4304</v>
      </c>
      <c r="G3475" t="s">
        <v>4243</v>
      </c>
      <c r="H3475" t="s">
        <v>3482</v>
      </c>
      <c r="I3475" t="s">
        <v>374</v>
      </c>
      <c r="J3475" t="s">
        <v>4305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4239</v>
      </c>
      <c r="B3476" t="s">
        <v>4302</v>
      </c>
      <c r="C3476" t="s">
        <v>368</v>
      </c>
      <c r="D3476" t="s">
        <v>3129</v>
      </c>
      <c r="E3476" t="s">
        <v>4309</v>
      </c>
      <c r="F3476" t="s">
        <v>4304</v>
      </c>
      <c r="G3476" t="s">
        <v>4243</v>
      </c>
      <c r="H3476" t="s">
        <v>3482</v>
      </c>
      <c r="I3476" t="s">
        <v>374</v>
      </c>
      <c r="J3476" t="s">
        <v>4305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4239</v>
      </c>
      <c r="B3477" t="s">
        <v>4302</v>
      </c>
      <c r="C3477" t="s">
        <v>609</v>
      </c>
      <c r="D3477" t="s">
        <v>3129</v>
      </c>
      <c r="E3477" t="s">
        <v>4310</v>
      </c>
      <c r="F3477" t="s">
        <v>4304</v>
      </c>
      <c r="G3477" t="s">
        <v>4243</v>
      </c>
      <c r="H3477" t="s">
        <v>3482</v>
      </c>
      <c r="I3477" t="s">
        <v>374</v>
      </c>
      <c r="J3477" t="s">
        <v>4305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4239</v>
      </c>
      <c r="B3478" t="s">
        <v>4302</v>
      </c>
      <c r="C3478" t="s">
        <v>609</v>
      </c>
      <c r="D3478" t="s">
        <v>3129</v>
      </c>
      <c r="E3478" t="s">
        <v>4311</v>
      </c>
      <c r="F3478" t="s">
        <v>4304</v>
      </c>
      <c r="G3478" t="s">
        <v>4243</v>
      </c>
      <c r="H3478" t="s">
        <v>3482</v>
      </c>
      <c r="I3478" t="s">
        <v>374</v>
      </c>
      <c r="J3478" t="s">
        <v>4305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4239</v>
      </c>
      <c r="B3479" t="s">
        <v>4302</v>
      </c>
      <c r="C3479" t="s">
        <v>609</v>
      </c>
      <c r="D3479" t="s">
        <v>3129</v>
      </c>
      <c r="E3479" t="s">
        <v>4312</v>
      </c>
      <c r="F3479" t="s">
        <v>4304</v>
      </c>
      <c r="G3479" t="s">
        <v>4243</v>
      </c>
      <c r="H3479" t="s">
        <v>3482</v>
      </c>
      <c r="I3479" t="s">
        <v>374</v>
      </c>
      <c r="J3479" t="s">
        <v>4305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4239</v>
      </c>
      <c r="B3480" t="s">
        <v>4302</v>
      </c>
      <c r="C3480" t="s">
        <v>609</v>
      </c>
      <c r="D3480" t="s">
        <v>3129</v>
      </c>
      <c r="E3480" t="s">
        <v>4313</v>
      </c>
      <c r="F3480" t="s">
        <v>4304</v>
      </c>
      <c r="G3480" t="s">
        <v>4243</v>
      </c>
      <c r="H3480" t="s">
        <v>3482</v>
      </c>
      <c r="I3480" t="s">
        <v>374</v>
      </c>
      <c r="J3480" t="s">
        <v>4305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4239</v>
      </c>
      <c r="B3481" t="s">
        <v>4302</v>
      </c>
      <c r="C3481" t="s">
        <v>368</v>
      </c>
      <c r="D3481" t="s">
        <v>3129</v>
      </c>
      <c r="E3481" t="s">
        <v>4314</v>
      </c>
      <c r="F3481" t="s">
        <v>4304</v>
      </c>
      <c r="G3481" t="s">
        <v>4243</v>
      </c>
      <c r="H3481" t="s">
        <v>3482</v>
      </c>
      <c r="I3481" t="s">
        <v>374</v>
      </c>
      <c r="J3481" t="s">
        <v>4305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4239</v>
      </c>
      <c r="B3482" t="s">
        <v>4302</v>
      </c>
      <c r="C3482" t="s">
        <v>368</v>
      </c>
      <c r="D3482" t="s">
        <v>3129</v>
      </c>
      <c r="E3482" t="s">
        <v>4315</v>
      </c>
      <c r="F3482" t="s">
        <v>4304</v>
      </c>
      <c r="G3482" t="s">
        <v>4243</v>
      </c>
      <c r="H3482" t="s">
        <v>3482</v>
      </c>
      <c r="I3482" t="s">
        <v>374</v>
      </c>
      <c r="J3482" t="s">
        <v>4305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3158</v>
      </c>
      <c r="B3483" t="s">
        <v>4316</v>
      </c>
      <c r="C3483" t="s">
        <v>368</v>
      </c>
      <c r="D3483" t="s">
        <v>3129</v>
      </c>
      <c r="E3483" t="s">
        <v>4317</v>
      </c>
      <c r="F3483" t="s">
        <v>4318</v>
      </c>
      <c r="G3483" t="s">
        <v>3162</v>
      </c>
      <c r="H3483" t="s">
        <v>3723</v>
      </c>
      <c r="I3483" t="s">
        <v>374</v>
      </c>
      <c r="J3483" t="s">
        <v>722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3158</v>
      </c>
      <c r="B3484" t="s">
        <v>4316</v>
      </c>
      <c r="C3484" t="s">
        <v>368</v>
      </c>
      <c r="D3484" t="s">
        <v>3129</v>
      </c>
      <c r="E3484" t="s">
        <v>4319</v>
      </c>
      <c r="F3484" t="s">
        <v>4318</v>
      </c>
      <c r="G3484" t="s">
        <v>3162</v>
      </c>
      <c r="H3484" t="s">
        <v>3723</v>
      </c>
      <c r="I3484" t="s">
        <v>374</v>
      </c>
      <c r="J3484" t="s">
        <v>722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3158</v>
      </c>
      <c r="B3485" t="s">
        <v>4316</v>
      </c>
      <c r="C3485" t="s">
        <v>368</v>
      </c>
      <c r="D3485" t="s">
        <v>3129</v>
      </c>
      <c r="E3485" t="s">
        <v>4320</v>
      </c>
      <c r="F3485" t="s">
        <v>4318</v>
      </c>
      <c r="G3485" t="s">
        <v>3162</v>
      </c>
      <c r="H3485" t="s">
        <v>3723</v>
      </c>
      <c r="I3485" t="s">
        <v>374</v>
      </c>
      <c r="J3485" t="s">
        <v>722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3158</v>
      </c>
      <c r="B3486" t="s">
        <v>4316</v>
      </c>
      <c r="C3486" t="s">
        <v>368</v>
      </c>
      <c r="D3486" t="s">
        <v>3129</v>
      </c>
      <c r="E3486" t="s">
        <v>4321</v>
      </c>
      <c r="F3486" t="s">
        <v>4318</v>
      </c>
      <c r="G3486" t="s">
        <v>3162</v>
      </c>
      <c r="H3486" t="s">
        <v>3723</v>
      </c>
      <c r="I3486" t="s">
        <v>374</v>
      </c>
      <c r="J3486" t="s">
        <v>722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3158</v>
      </c>
      <c r="B3487" t="s">
        <v>4316</v>
      </c>
      <c r="C3487" t="s">
        <v>368</v>
      </c>
      <c r="D3487" t="s">
        <v>3129</v>
      </c>
      <c r="E3487" t="s">
        <v>4322</v>
      </c>
      <c r="F3487" t="s">
        <v>4318</v>
      </c>
      <c r="G3487" t="s">
        <v>3162</v>
      </c>
      <c r="H3487" t="s">
        <v>3723</v>
      </c>
      <c r="I3487" t="s">
        <v>374</v>
      </c>
      <c r="J3487" t="s">
        <v>722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3158</v>
      </c>
      <c r="B3488" t="s">
        <v>4316</v>
      </c>
      <c r="C3488" t="s">
        <v>368</v>
      </c>
      <c r="D3488" t="s">
        <v>3129</v>
      </c>
      <c r="E3488" t="s">
        <v>4323</v>
      </c>
      <c r="F3488" t="s">
        <v>4318</v>
      </c>
      <c r="G3488" t="s">
        <v>3162</v>
      </c>
      <c r="H3488" t="s">
        <v>3723</v>
      </c>
      <c r="I3488" t="s">
        <v>374</v>
      </c>
      <c r="J3488" t="s">
        <v>722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3158</v>
      </c>
      <c r="B3489" t="s">
        <v>4316</v>
      </c>
      <c r="C3489" t="s">
        <v>368</v>
      </c>
      <c r="D3489" t="s">
        <v>3129</v>
      </c>
      <c r="E3489" t="s">
        <v>4324</v>
      </c>
      <c r="F3489" t="s">
        <v>4318</v>
      </c>
      <c r="G3489" t="s">
        <v>3162</v>
      </c>
      <c r="H3489" t="s">
        <v>3723</v>
      </c>
      <c r="I3489" t="s">
        <v>374</v>
      </c>
      <c r="J3489" t="s">
        <v>722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3158</v>
      </c>
      <c r="B3490" t="s">
        <v>4316</v>
      </c>
      <c r="C3490" t="s">
        <v>609</v>
      </c>
      <c r="D3490" t="s">
        <v>3129</v>
      </c>
      <c r="E3490" t="s">
        <v>4325</v>
      </c>
      <c r="F3490" t="s">
        <v>4318</v>
      </c>
      <c r="G3490" t="s">
        <v>3162</v>
      </c>
      <c r="H3490" t="s">
        <v>3723</v>
      </c>
      <c r="I3490" t="s">
        <v>374</v>
      </c>
      <c r="J3490" t="s">
        <v>722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3158</v>
      </c>
      <c r="B3491" t="s">
        <v>4316</v>
      </c>
      <c r="C3491" t="s">
        <v>609</v>
      </c>
      <c r="D3491" t="s">
        <v>3129</v>
      </c>
      <c r="E3491" t="s">
        <v>4326</v>
      </c>
      <c r="F3491" t="s">
        <v>4318</v>
      </c>
      <c r="G3491" t="s">
        <v>3162</v>
      </c>
      <c r="H3491" t="s">
        <v>3723</v>
      </c>
      <c r="I3491" t="s">
        <v>374</v>
      </c>
      <c r="J3491" t="s">
        <v>722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3158</v>
      </c>
      <c r="B3492" t="s">
        <v>4316</v>
      </c>
      <c r="C3492" t="s">
        <v>609</v>
      </c>
      <c r="D3492" t="s">
        <v>3129</v>
      </c>
      <c r="E3492" t="s">
        <v>4327</v>
      </c>
      <c r="F3492" t="s">
        <v>4318</v>
      </c>
      <c r="G3492" t="s">
        <v>3162</v>
      </c>
      <c r="H3492" t="s">
        <v>3723</v>
      </c>
      <c r="I3492" t="s">
        <v>374</v>
      </c>
      <c r="J3492" t="s">
        <v>722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3158</v>
      </c>
      <c r="B3493" t="s">
        <v>4316</v>
      </c>
      <c r="C3493" t="s">
        <v>609</v>
      </c>
      <c r="D3493" t="s">
        <v>3129</v>
      </c>
      <c r="E3493" t="s">
        <v>4328</v>
      </c>
      <c r="F3493" t="s">
        <v>4318</v>
      </c>
      <c r="G3493" t="s">
        <v>3162</v>
      </c>
      <c r="H3493" t="s">
        <v>3723</v>
      </c>
      <c r="I3493" t="s">
        <v>374</v>
      </c>
      <c r="J3493" t="s">
        <v>722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3158</v>
      </c>
      <c r="B3494" t="s">
        <v>4316</v>
      </c>
      <c r="C3494" t="s">
        <v>368</v>
      </c>
      <c r="D3494" t="s">
        <v>3129</v>
      </c>
      <c r="E3494" t="s">
        <v>4329</v>
      </c>
      <c r="F3494" t="s">
        <v>4318</v>
      </c>
      <c r="G3494" t="s">
        <v>3162</v>
      </c>
      <c r="H3494" t="s">
        <v>3723</v>
      </c>
      <c r="I3494" t="s">
        <v>374</v>
      </c>
      <c r="J3494" t="s">
        <v>722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3158</v>
      </c>
      <c r="B3495" t="s">
        <v>4316</v>
      </c>
      <c r="C3495" t="s">
        <v>368</v>
      </c>
      <c r="D3495" t="s">
        <v>3129</v>
      </c>
      <c r="E3495" t="s">
        <v>4330</v>
      </c>
      <c r="F3495" t="s">
        <v>4318</v>
      </c>
      <c r="G3495" t="s">
        <v>3162</v>
      </c>
      <c r="H3495" t="s">
        <v>3723</v>
      </c>
      <c r="I3495" t="s">
        <v>374</v>
      </c>
      <c r="J3495" t="s">
        <v>722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3158</v>
      </c>
      <c r="B3496" t="s">
        <v>4316</v>
      </c>
      <c r="C3496" t="s">
        <v>368</v>
      </c>
      <c r="D3496" t="s">
        <v>3129</v>
      </c>
      <c r="E3496" t="s">
        <v>4331</v>
      </c>
      <c r="F3496" t="s">
        <v>4318</v>
      </c>
      <c r="G3496" t="s">
        <v>3162</v>
      </c>
      <c r="H3496" t="s">
        <v>3723</v>
      </c>
      <c r="I3496" t="s">
        <v>374</v>
      </c>
      <c r="J3496" t="s">
        <v>722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3158</v>
      </c>
      <c r="B3497" t="s">
        <v>4316</v>
      </c>
      <c r="C3497" t="s">
        <v>368</v>
      </c>
      <c r="D3497" t="s">
        <v>3129</v>
      </c>
      <c r="E3497" t="s">
        <v>4332</v>
      </c>
      <c r="F3497" t="s">
        <v>4318</v>
      </c>
      <c r="G3497" t="s">
        <v>3162</v>
      </c>
      <c r="H3497" t="s">
        <v>3723</v>
      </c>
      <c r="I3497" t="s">
        <v>374</v>
      </c>
      <c r="J3497" t="s">
        <v>722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4333</v>
      </c>
      <c r="B3498" t="s">
        <v>4334</v>
      </c>
      <c r="C3498" t="s">
        <v>2971</v>
      </c>
      <c r="D3498" t="s">
        <v>2971</v>
      </c>
      <c r="E3498" t="s">
        <v>4335</v>
      </c>
      <c r="F3498" t="s">
        <v>4336</v>
      </c>
      <c r="G3498" t="s">
        <v>4337</v>
      </c>
      <c r="H3498" t="s">
        <v>4338</v>
      </c>
      <c r="I3498" t="s">
        <v>374</v>
      </c>
      <c r="J3498" t="s">
        <v>4339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4340</v>
      </c>
      <c r="B3499" t="s">
        <v>4341</v>
      </c>
      <c r="C3499" t="s">
        <v>368</v>
      </c>
      <c r="D3499" t="s">
        <v>3129</v>
      </c>
      <c r="E3499" t="s">
        <v>110</v>
      </c>
      <c r="F3499" t="s">
        <v>4342</v>
      </c>
      <c r="G3499" t="s">
        <v>4340</v>
      </c>
      <c r="H3499" t="s">
        <v>4343</v>
      </c>
      <c r="I3499" t="s">
        <v>374</v>
      </c>
      <c r="J3499" t="s">
        <v>429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4340</v>
      </c>
      <c r="B3500" t="s">
        <v>4341</v>
      </c>
      <c r="C3500" t="s">
        <v>368</v>
      </c>
      <c r="D3500" t="s">
        <v>3129</v>
      </c>
      <c r="E3500" t="s">
        <v>4344</v>
      </c>
      <c r="F3500" t="s">
        <v>4342</v>
      </c>
      <c r="G3500" t="s">
        <v>4340</v>
      </c>
      <c r="H3500" t="s">
        <v>4343</v>
      </c>
      <c r="I3500" t="s">
        <v>374</v>
      </c>
      <c r="J3500" t="s">
        <v>429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4340</v>
      </c>
      <c r="B3501" t="s">
        <v>4341</v>
      </c>
      <c r="C3501" t="s">
        <v>368</v>
      </c>
      <c r="D3501" t="s">
        <v>3129</v>
      </c>
      <c r="E3501" t="s">
        <v>111</v>
      </c>
      <c r="F3501" t="s">
        <v>4342</v>
      </c>
      <c r="G3501" t="s">
        <v>4340</v>
      </c>
      <c r="H3501" t="s">
        <v>4343</v>
      </c>
      <c r="I3501" t="s">
        <v>374</v>
      </c>
      <c r="J3501" t="s">
        <v>429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4340</v>
      </c>
      <c r="B3502" t="s">
        <v>4341</v>
      </c>
      <c r="C3502" t="s">
        <v>368</v>
      </c>
      <c r="D3502" t="s">
        <v>3129</v>
      </c>
      <c r="E3502" t="s">
        <v>4345</v>
      </c>
      <c r="F3502" t="s">
        <v>4342</v>
      </c>
      <c r="G3502" t="s">
        <v>4340</v>
      </c>
      <c r="H3502" t="s">
        <v>4343</v>
      </c>
      <c r="I3502" t="s">
        <v>374</v>
      </c>
      <c r="J3502" t="s">
        <v>429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4340</v>
      </c>
      <c r="B3503" t="s">
        <v>4341</v>
      </c>
      <c r="C3503" t="s">
        <v>368</v>
      </c>
      <c r="D3503" t="s">
        <v>3129</v>
      </c>
      <c r="E3503" t="s">
        <v>4346</v>
      </c>
      <c r="F3503" t="s">
        <v>4342</v>
      </c>
      <c r="G3503" t="s">
        <v>4340</v>
      </c>
      <c r="H3503" t="s">
        <v>4343</v>
      </c>
      <c r="I3503" t="s">
        <v>374</v>
      </c>
      <c r="J3503" t="s">
        <v>429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4340</v>
      </c>
      <c r="B3504" t="s">
        <v>4341</v>
      </c>
      <c r="C3504" t="s">
        <v>368</v>
      </c>
      <c r="D3504" t="s">
        <v>3129</v>
      </c>
      <c r="E3504" t="s">
        <v>4347</v>
      </c>
      <c r="F3504" t="s">
        <v>4342</v>
      </c>
      <c r="G3504" t="s">
        <v>4340</v>
      </c>
      <c r="H3504" t="s">
        <v>4343</v>
      </c>
      <c r="I3504" t="s">
        <v>374</v>
      </c>
      <c r="J3504" t="s">
        <v>429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4340</v>
      </c>
      <c r="B3505" t="s">
        <v>4341</v>
      </c>
      <c r="C3505" t="s">
        <v>368</v>
      </c>
      <c r="D3505" t="s">
        <v>3129</v>
      </c>
      <c r="E3505" t="s">
        <v>4348</v>
      </c>
      <c r="F3505" t="s">
        <v>4342</v>
      </c>
      <c r="G3505" t="s">
        <v>4340</v>
      </c>
      <c r="H3505" t="s">
        <v>4343</v>
      </c>
      <c r="I3505" t="s">
        <v>374</v>
      </c>
      <c r="J3505" t="s">
        <v>429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4340</v>
      </c>
      <c r="B3506" t="s">
        <v>4341</v>
      </c>
      <c r="C3506" t="s">
        <v>368</v>
      </c>
      <c r="D3506" t="s">
        <v>3129</v>
      </c>
      <c r="E3506" t="s">
        <v>4349</v>
      </c>
      <c r="F3506" t="s">
        <v>4342</v>
      </c>
      <c r="G3506" t="s">
        <v>4340</v>
      </c>
      <c r="H3506" t="s">
        <v>4343</v>
      </c>
      <c r="I3506" t="s">
        <v>374</v>
      </c>
      <c r="J3506" t="s">
        <v>429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4340</v>
      </c>
      <c r="B3507" t="s">
        <v>4341</v>
      </c>
      <c r="C3507" t="s">
        <v>368</v>
      </c>
      <c r="D3507" t="s">
        <v>3129</v>
      </c>
      <c r="E3507" t="s">
        <v>4350</v>
      </c>
      <c r="F3507" t="s">
        <v>4342</v>
      </c>
      <c r="G3507" t="s">
        <v>4340</v>
      </c>
      <c r="H3507" t="s">
        <v>4343</v>
      </c>
      <c r="I3507" t="s">
        <v>374</v>
      </c>
      <c r="J3507" t="s">
        <v>429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4340</v>
      </c>
      <c r="B3508" t="s">
        <v>4341</v>
      </c>
      <c r="C3508" t="s">
        <v>609</v>
      </c>
      <c r="D3508" t="s">
        <v>3129</v>
      </c>
      <c r="E3508" t="s">
        <v>4351</v>
      </c>
      <c r="F3508" t="s">
        <v>4342</v>
      </c>
      <c r="G3508" t="s">
        <v>4340</v>
      </c>
      <c r="H3508" t="s">
        <v>4343</v>
      </c>
      <c r="I3508" t="s">
        <v>374</v>
      </c>
      <c r="J3508" t="s">
        <v>429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4340</v>
      </c>
      <c r="B3509" t="s">
        <v>4341</v>
      </c>
      <c r="C3509" t="s">
        <v>609</v>
      </c>
      <c r="D3509" t="s">
        <v>3129</v>
      </c>
      <c r="E3509" t="s">
        <v>4352</v>
      </c>
      <c r="F3509" t="s">
        <v>4342</v>
      </c>
      <c r="G3509" t="s">
        <v>4340</v>
      </c>
      <c r="H3509" t="s">
        <v>4343</v>
      </c>
      <c r="I3509" t="s">
        <v>374</v>
      </c>
      <c r="J3509" t="s">
        <v>429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4340</v>
      </c>
      <c r="B3510" t="s">
        <v>4341</v>
      </c>
      <c r="C3510" t="s">
        <v>609</v>
      </c>
      <c r="D3510" t="s">
        <v>3129</v>
      </c>
      <c r="E3510" t="s">
        <v>4353</v>
      </c>
      <c r="F3510" t="s">
        <v>4342</v>
      </c>
      <c r="G3510" t="s">
        <v>4340</v>
      </c>
      <c r="H3510" t="s">
        <v>4343</v>
      </c>
      <c r="I3510" t="s">
        <v>374</v>
      </c>
      <c r="J3510" t="s">
        <v>429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4340</v>
      </c>
      <c r="B3511" t="s">
        <v>4341</v>
      </c>
      <c r="C3511" t="s">
        <v>609</v>
      </c>
      <c r="D3511" t="s">
        <v>3129</v>
      </c>
      <c r="E3511" t="s">
        <v>4354</v>
      </c>
      <c r="F3511" t="s">
        <v>4342</v>
      </c>
      <c r="G3511" t="s">
        <v>4340</v>
      </c>
      <c r="H3511" t="s">
        <v>4343</v>
      </c>
      <c r="I3511" t="s">
        <v>374</v>
      </c>
      <c r="J3511" t="s">
        <v>429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4340</v>
      </c>
      <c r="B3512" t="s">
        <v>4341</v>
      </c>
      <c r="C3512" t="s">
        <v>368</v>
      </c>
      <c r="D3512" t="s">
        <v>3129</v>
      </c>
      <c r="E3512" t="s">
        <v>4355</v>
      </c>
      <c r="F3512" t="s">
        <v>4342</v>
      </c>
      <c r="G3512" t="s">
        <v>4340</v>
      </c>
      <c r="H3512" t="s">
        <v>4343</v>
      </c>
      <c r="I3512" t="s">
        <v>374</v>
      </c>
      <c r="J3512" t="s">
        <v>429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4340</v>
      </c>
      <c r="B3513" t="s">
        <v>4341</v>
      </c>
      <c r="C3513" t="s">
        <v>368</v>
      </c>
      <c r="D3513" t="s">
        <v>3129</v>
      </c>
      <c r="E3513" t="s">
        <v>4356</v>
      </c>
      <c r="F3513" t="s">
        <v>4342</v>
      </c>
      <c r="G3513" t="s">
        <v>4340</v>
      </c>
      <c r="H3513" t="s">
        <v>4343</v>
      </c>
      <c r="I3513" t="s">
        <v>374</v>
      </c>
      <c r="J3513" t="s">
        <v>429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4333</v>
      </c>
      <c r="B3514" t="s">
        <v>4334</v>
      </c>
      <c r="C3514" t="s">
        <v>2971</v>
      </c>
      <c r="D3514" t="s">
        <v>2971</v>
      </c>
      <c r="E3514" t="s">
        <v>4357</v>
      </c>
      <c r="F3514" t="s">
        <v>4358</v>
      </c>
      <c r="G3514" t="s">
        <v>2907</v>
      </c>
      <c r="H3514" t="s">
        <v>4338</v>
      </c>
      <c r="I3514" t="s">
        <v>374</v>
      </c>
      <c r="J3514" t="s">
        <v>4339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4359</v>
      </c>
      <c r="B3515" t="s">
        <v>4360</v>
      </c>
      <c r="C3515" t="s">
        <v>2971</v>
      </c>
      <c r="D3515" t="s">
        <v>4359</v>
      </c>
      <c r="E3515">
        <v>100558</v>
      </c>
      <c r="F3515" t="s">
        <v>4361</v>
      </c>
      <c r="G3515" t="s">
        <v>2989</v>
      </c>
      <c r="H3515" t="s">
        <v>4362</v>
      </c>
      <c r="I3515" t="s">
        <v>2976</v>
      </c>
      <c r="J3515" t="s">
        <v>2983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4359</v>
      </c>
      <c r="B3516" t="s">
        <v>4363</v>
      </c>
      <c r="C3516" t="s">
        <v>2971</v>
      </c>
      <c r="D3516" t="s">
        <v>4359</v>
      </c>
      <c r="E3516">
        <v>100567</v>
      </c>
      <c r="F3516" t="s">
        <v>4361</v>
      </c>
      <c r="G3516" t="s">
        <v>2989</v>
      </c>
      <c r="H3516" t="s">
        <v>4362</v>
      </c>
      <c r="I3516" t="s">
        <v>2976</v>
      </c>
      <c r="J3516" t="s">
        <v>2980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4359</v>
      </c>
      <c r="B3517" t="s">
        <v>4364</v>
      </c>
      <c r="C3517" t="s">
        <v>2971</v>
      </c>
      <c r="D3517" t="s">
        <v>4359</v>
      </c>
      <c r="E3517">
        <v>100576</v>
      </c>
      <c r="F3517" t="s">
        <v>4361</v>
      </c>
      <c r="G3517" t="s">
        <v>2989</v>
      </c>
      <c r="H3517" t="s">
        <v>4362</v>
      </c>
      <c r="I3517" t="s">
        <v>2976</v>
      </c>
      <c r="J3517" t="s">
        <v>2986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4359</v>
      </c>
      <c r="B3518" t="s">
        <v>4365</v>
      </c>
      <c r="C3518" t="s">
        <v>2971</v>
      </c>
      <c r="D3518" t="s">
        <v>4359</v>
      </c>
      <c r="E3518">
        <v>100585</v>
      </c>
      <c r="F3518" t="s">
        <v>4361</v>
      </c>
      <c r="G3518" t="s">
        <v>2989</v>
      </c>
      <c r="H3518" t="s">
        <v>4362</v>
      </c>
      <c r="I3518" t="s">
        <v>2976</v>
      </c>
      <c r="J3518" t="s">
        <v>2977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4359</v>
      </c>
      <c r="B3519" t="s">
        <v>4360</v>
      </c>
      <c r="C3519" t="s">
        <v>2971</v>
      </c>
      <c r="D3519" t="s">
        <v>4359</v>
      </c>
      <c r="E3519">
        <v>100610</v>
      </c>
      <c r="F3519" t="s">
        <v>4366</v>
      </c>
      <c r="G3519" t="s">
        <v>2995</v>
      </c>
      <c r="H3519" t="s">
        <v>4362</v>
      </c>
      <c r="I3519" t="s">
        <v>3021</v>
      </c>
      <c r="J3519" t="s">
        <v>2983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4359</v>
      </c>
      <c r="B3520" t="s">
        <v>4363</v>
      </c>
      <c r="C3520" t="s">
        <v>2971</v>
      </c>
      <c r="D3520" t="s">
        <v>4359</v>
      </c>
      <c r="E3520">
        <v>100616</v>
      </c>
      <c r="F3520" t="s">
        <v>4366</v>
      </c>
      <c r="G3520" t="s">
        <v>2995</v>
      </c>
      <c r="H3520" t="s">
        <v>4362</v>
      </c>
      <c r="I3520" t="s">
        <v>3021</v>
      </c>
      <c r="J3520" t="s">
        <v>2980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4359</v>
      </c>
      <c r="B3521" t="s">
        <v>4364</v>
      </c>
      <c r="C3521" t="s">
        <v>2971</v>
      </c>
      <c r="D3521" t="s">
        <v>4359</v>
      </c>
      <c r="E3521">
        <v>100622</v>
      </c>
      <c r="F3521" t="s">
        <v>4366</v>
      </c>
      <c r="G3521" t="s">
        <v>2995</v>
      </c>
      <c r="H3521" t="s">
        <v>4362</v>
      </c>
      <c r="I3521" t="s">
        <v>3021</v>
      </c>
      <c r="J3521" t="s">
        <v>2986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4359</v>
      </c>
      <c r="B3522" t="s">
        <v>4365</v>
      </c>
      <c r="C3522" t="s">
        <v>2971</v>
      </c>
      <c r="D3522" t="s">
        <v>4359</v>
      </c>
      <c r="E3522">
        <v>100628</v>
      </c>
      <c r="F3522" t="s">
        <v>4366</v>
      </c>
      <c r="G3522" t="s">
        <v>2995</v>
      </c>
      <c r="H3522" t="s">
        <v>4362</v>
      </c>
      <c r="I3522" t="s">
        <v>3021</v>
      </c>
      <c r="J3522" t="s">
        <v>2977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4359</v>
      </c>
      <c r="B3523" t="s">
        <v>4360</v>
      </c>
      <c r="C3523" t="s">
        <v>2971</v>
      </c>
      <c r="D3523" t="s">
        <v>4359</v>
      </c>
      <c r="E3523">
        <v>100550</v>
      </c>
      <c r="F3523" t="s">
        <v>4367</v>
      </c>
      <c r="G3523" t="s">
        <v>2995</v>
      </c>
      <c r="H3523" t="s">
        <v>4362</v>
      </c>
      <c r="I3523" t="s">
        <v>2976</v>
      </c>
      <c r="J3523" t="s">
        <v>2983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4359</v>
      </c>
      <c r="B3524" t="s">
        <v>4363</v>
      </c>
      <c r="C3524" t="s">
        <v>2971</v>
      </c>
      <c r="D3524" t="s">
        <v>4359</v>
      </c>
      <c r="E3524">
        <v>100559</v>
      </c>
      <c r="F3524" t="s">
        <v>4367</v>
      </c>
      <c r="G3524" t="s">
        <v>2995</v>
      </c>
      <c r="H3524" t="s">
        <v>4362</v>
      </c>
      <c r="I3524" t="s">
        <v>2976</v>
      </c>
      <c r="J3524" t="s">
        <v>2980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4359</v>
      </c>
      <c r="B3525" t="s">
        <v>4364</v>
      </c>
      <c r="C3525" t="s">
        <v>2971</v>
      </c>
      <c r="D3525" t="s">
        <v>4359</v>
      </c>
      <c r="E3525">
        <v>100568</v>
      </c>
      <c r="F3525" t="s">
        <v>4367</v>
      </c>
      <c r="G3525" t="s">
        <v>2995</v>
      </c>
      <c r="H3525" t="s">
        <v>4362</v>
      </c>
      <c r="I3525" t="s">
        <v>2976</v>
      </c>
      <c r="J3525" t="s">
        <v>2986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4359</v>
      </c>
      <c r="B3526" t="s">
        <v>4365</v>
      </c>
      <c r="C3526" t="s">
        <v>2971</v>
      </c>
      <c r="D3526" t="s">
        <v>4359</v>
      </c>
      <c r="E3526">
        <v>100577</v>
      </c>
      <c r="F3526" t="s">
        <v>4367</v>
      </c>
      <c r="G3526" t="s">
        <v>2995</v>
      </c>
      <c r="H3526" t="s">
        <v>4362</v>
      </c>
      <c r="I3526" t="s">
        <v>2976</v>
      </c>
      <c r="J3526" t="s">
        <v>2977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4359</v>
      </c>
      <c r="B3527" t="s">
        <v>4360</v>
      </c>
      <c r="C3527" t="s">
        <v>2971</v>
      </c>
      <c r="D3527" t="s">
        <v>4359</v>
      </c>
      <c r="E3527">
        <v>100586</v>
      </c>
      <c r="F3527" t="s">
        <v>4368</v>
      </c>
      <c r="G3527" t="s">
        <v>2995</v>
      </c>
      <c r="H3527" t="s">
        <v>4369</v>
      </c>
      <c r="I3527" t="s">
        <v>374</v>
      </c>
      <c r="J3527" t="s">
        <v>2983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4359</v>
      </c>
      <c r="B3528" t="s">
        <v>4363</v>
      </c>
      <c r="C3528" t="s">
        <v>2971</v>
      </c>
      <c r="D3528" t="s">
        <v>4359</v>
      </c>
      <c r="E3528">
        <v>100590</v>
      </c>
      <c r="F3528" t="s">
        <v>4368</v>
      </c>
      <c r="G3528" t="s">
        <v>2995</v>
      </c>
      <c r="H3528" t="s">
        <v>4369</v>
      </c>
      <c r="I3528" t="s">
        <v>374</v>
      </c>
      <c r="J3528" t="s">
        <v>2980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4359</v>
      </c>
      <c r="B3529" t="s">
        <v>4364</v>
      </c>
      <c r="C3529" t="s">
        <v>2971</v>
      </c>
      <c r="D3529" t="s">
        <v>4359</v>
      </c>
      <c r="E3529">
        <v>100594</v>
      </c>
      <c r="F3529" t="s">
        <v>4368</v>
      </c>
      <c r="G3529" t="s">
        <v>2995</v>
      </c>
      <c r="H3529" t="s">
        <v>4369</v>
      </c>
      <c r="I3529" t="s">
        <v>374</v>
      </c>
      <c r="J3529" t="s">
        <v>2986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4359</v>
      </c>
      <c r="B3530" t="s">
        <v>4365</v>
      </c>
      <c r="C3530" t="s">
        <v>2971</v>
      </c>
      <c r="D3530" t="s">
        <v>4359</v>
      </c>
      <c r="E3530">
        <v>100598</v>
      </c>
      <c r="F3530" t="s">
        <v>4368</v>
      </c>
      <c r="G3530" t="s">
        <v>2995</v>
      </c>
      <c r="H3530" t="s">
        <v>4369</v>
      </c>
      <c r="I3530" t="s">
        <v>374</v>
      </c>
      <c r="J3530" t="s">
        <v>2977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4359</v>
      </c>
      <c r="B3531" t="s">
        <v>4360</v>
      </c>
      <c r="C3531" t="s">
        <v>2971</v>
      </c>
      <c r="D3531" t="s">
        <v>4359</v>
      </c>
      <c r="E3531">
        <v>100551</v>
      </c>
      <c r="F3531" t="s">
        <v>4370</v>
      </c>
      <c r="G3531" t="s">
        <v>3007</v>
      </c>
      <c r="H3531" t="s">
        <v>4362</v>
      </c>
      <c r="I3531" t="s">
        <v>2976</v>
      </c>
      <c r="J3531" t="s">
        <v>2983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4359</v>
      </c>
      <c r="B3532" t="s">
        <v>4363</v>
      </c>
      <c r="C3532" t="s">
        <v>2971</v>
      </c>
      <c r="D3532" t="s">
        <v>4359</v>
      </c>
      <c r="E3532">
        <v>100560</v>
      </c>
      <c r="F3532" t="s">
        <v>4370</v>
      </c>
      <c r="G3532" t="s">
        <v>3007</v>
      </c>
      <c r="H3532" t="s">
        <v>4362</v>
      </c>
      <c r="I3532" t="s">
        <v>2976</v>
      </c>
      <c r="J3532" t="s">
        <v>2980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4359</v>
      </c>
      <c r="B3533" t="s">
        <v>4364</v>
      </c>
      <c r="C3533" t="s">
        <v>2971</v>
      </c>
      <c r="D3533" t="s">
        <v>4359</v>
      </c>
      <c r="E3533">
        <v>100569</v>
      </c>
      <c r="F3533" t="s">
        <v>4370</v>
      </c>
      <c r="G3533" t="s">
        <v>3007</v>
      </c>
      <c r="H3533" t="s">
        <v>4362</v>
      </c>
      <c r="I3533" t="s">
        <v>2976</v>
      </c>
      <c r="J3533" t="s">
        <v>2986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4359</v>
      </c>
      <c r="B3534" t="s">
        <v>4365</v>
      </c>
      <c r="C3534" t="s">
        <v>2971</v>
      </c>
      <c r="D3534" t="s">
        <v>4359</v>
      </c>
      <c r="E3534">
        <v>100578</v>
      </c>
      <c r="F3534" t="s">
        <v>4370</v>
      </c>
      <c r="G3534" t="s">
        <v>3007</v>
      </c>
      <c r="H3534" t="s">
        <v>4362</v>
      </c>
      <c r="I3534" t="s">
        <v>2976</v>
      </c>
      <c r="J3534" t="s">
        <v>2977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4359</v>
      </c>
      <c r="B3535" t="s">
        <v>4360</v>
      </c>
      <c r="C3535" t="s">
        <v>2971</v>
      </c>
      <c r="D3535" t="s">
        <v>4359</v>
      </c>
      <c r="E3535">
        <v>100587</v>
      </c>
      <c r="F3535" t="s">
        <v>4371</v>
      </c>
      <c r="G3535" t="s">
        <v>3007</v>
      </c>
      <c r="H3535" t="s">
        <v>4369</v>
      </c>
      <c r="I3535" t="s">
        <v>374</v>
      </c>
      <c r="J3535" t="s">
        <v>2983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4359</v>
      </c>
      <c r="B3536" t="s">
        <v>4363</v>
      </c>
      <c r="C3536" t="s">
        <v>2971</v>
      </c>
      <c r="D3536" t="s">
        <v>4359</v>
      </c>
      <c r="E3536">
        <v>100591</v>
      </c>
      <c r="F3536" t="s">
        <v>4371</v>
      </c>
      <c r="G3536" t="s">
        <v>3007</v>
      </c>
      <c r="H3536" t="s">
        <v>4369</v>
      </c>
      <c r="I3536" t="s">
        <v>374</v>
      </c>
      <c r="J3536" t="s">
        <v>2980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4359</v>
      </c>
      <c r="B3537" t="s">
        <v>4364</v>
      </c>
      <c r="C3537" t="s">
        <v>2971</v>
      </c>
      <c r="D3537" t="s">
        <v>4359</v>
      </c>
      <c r="E3537">
        <v>100595</v>
      </c>
      <c r="F3537" t="s">
        <v>4371</v>
      </c>
      <c r="G3537" t="s">
        <v>3007</v>
      </c>
      <c r="H3537" t="s">
        <v>4369</v>
      </c>
      <c r="I3537" t="s">
        <v>374</v>
      </c>
      <c r="J3537" t="s">
        <v>2986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4359</v>
      </c>
      <c r="B3538" t="s">
        <v>4365</v>
      </c>
      <c r="C3538" t="s">
        <v>2971</v>
      </c>
      <c r="D3538" t="s">
        <v>4359</v>
      </c>
      <c r="E3538">
        <v>100599</v>
      </c>
      <c r="F3538" t="s">
        <v>4371</v>
      </c>
      <c r="G3538" t="s">
        <v>3007</v>
      </c>
      <c r="H3538" t="s">
        <v>4369</v>
      </c>
      <c r="I3538" t="s">
        <v>374</v>
      </c>
      <c r="J3538" t="s">
        <v>2977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4359</v>
      </c>
      <c r="B3539" t="s">
        <v>4360</v>
      </c>
      <c r="C3539" t="s">
        <v>2971</v>
      </c>
      <c r="D3539" t="s">
        <v>4359</v>
      </c>
      <c r="E3539">
        <v>100552</v>
      </c>
      <c r="F3539" t="s">
        <v>4372</v>
      </c>
      <c r="G3539" t="s">
        <v>3020</v>
      </c>
      <c r="H3539" t="s">
        <v>4362</v>
      </c>
      <c r="I3539" t="s">
        <v>3021</v>
      </c>
      <c r="J3539" t="s">
        <v>2983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4359</v>
      </c>
      <c r="B3540" t="s">
        <v>4363</v>
      </c>
      <c r="C3540" t="s">
        <v>2971</v>
      </c>
      <c r="D3540" t="s">
        <v>4359</v>
      </c>
      <c r="E3540">
        <v>100561</v>
      </c>
      <c r="F3540" t="s">
        <v>4372</v>
      </c>
      <c r="G3540" t="s">
        <v>3020</v>
      </c>
      <c r="H3540" t="s">
        <v>4362</v>
      </c>
      <c r="I3540" t="s">
        <v>3021</v>
      </c>
      <c r="J3540" t="s">
        <v>2980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4359</v>
      </c>
      <c r="B3541" t="s">
        <v>4364</v>
      </c>
      <c r="C3541" t="s">
        <v>2971</v>
      </c>
      <c r="D3541" t="s">
        <v>4359</v>
      </c>
      <c r="E3541">
        <v>100570</v>
      </c>
      <c r="F3541" t="s">
        <v>4372</v>
      </c>
      <c r="G3541" t="s">
        <v>3020</v>
      </c>
      <c r="H3541" t="s">
        <v>4362</v>
      </c>
      <c r="I3541" t="s">
        <v>3021</v>
      </c>
      <c r="J3541" t="s">
        <v>2986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4359</v>
      </c>
      <c r="B3542" t="s">
        <v>4365</v>
      </c>
      <c r="C3542" t="s">
        <v>2971</v>
      </c>
      <c r="D3542" t="s">
        <v>4359</v>
      </c>
      <c r="E3542">
        <v>100579</v>
      </c>
      <c r="F3542" t="s">
        <v>4372</v>
      </c>
      <c r="G3542" t="s">
        <v>3020</v>
      </c>
      <c r="H3542" t="s">
        <v>4362</v>
      </c>
      <c r="I3542" t="s">
        <v>3021</v>
      </c>
      <c r="J3542" t="s">
        <v>2977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4359</v>
      </c>
      <c r="B3543" t="s">
        <v>4360</v>
      </c>
      <c r="C3543" t="s">
        <v>2971</v>
      </c>
      <c r="D3543" t="s">
        <v>4359</v>
      </c>
      <c r="E3543">
        <v>100611</v>
      </c>
      <c r="F3543" t="s">
        <v>4373</v>
      </c>
      <c r="G3543" t="s">
        <v>2665</v>
      </c>
      <c r="H3543" t="s">
        <v>4362</v>
      </c>
      <c r="I3543" t="s">
        <v>3021</v>
      </c>
      <c r="J3543" t="s">
        <v>2983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4359</v>
      </c>
      <c r="B3544" t="s">
        <v>4363</v>
      </c>
      <c r="C3544" t="s">
        <v>2971</v>
      </c>
      <c r="D3544" t="s">
        <v>4359</v>
      </c>
      <c r="E3544">
        <v>100617</v>
      </c>
      <c r="F3544" t="s">
        <v>4373</v>
      </c>
      <c r="G3544" t="s">
        <v>2665</v>
      </c>
      <c r="H3544" t="s">
        <v>4362</v>
      </c>
      <c r="I3544" t="s">
        <v>3021</v>
      </c>
      <c r="J3544" t="s">
        <v>2980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4359</v>
      </c>
      <c r="B3545" t="s">
        <v>4364</v>
      </c>
      <c r="C3545" t="s">
        <v>2971</v>
      </c>
      <c r="D3545" t="s">
        <v>4359</v>
      </c>
      <c r="E3545">
        <v>100623</v>
      </c>
      <c r="F3545" t="s">
        <v>4373</v>
      </c>
      <c r="G3545" t="s">
        <v>2665</v>
      </c>
      <c r="H3545" t="s">
        <v>4362</v>
      </c>
      <c r="I3545" t="s">
        <v>3021</v>
      </c>
      <c r="J3545" t="s">
        <v>2986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4359</v>
      </c>
      <c r="B3546" t="s">
        <v>4365</v>
      </c>
      <c r="C3546" t="s">
        <v>2971</v>
      </c>
      <c r="D3546" t="s">
        <v>4359</v>
      </c>
      <c r="E3546">
        <v>100629</v>
      </c>
      <c r="F3546" t="s">
        <v>4373</v>
      </c>
      <c r="G3546" t="s">
        <v>2665</v>
      </c>
      <c r="H3546" t="s">
        <v>4362</v>
      </c>
      <c r="I3546" t="s">
        <v>3021</v>
      </c>
      <c r="J3546" t="s">
        <v>2977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4359</v>
      </c>
      <c r="B3547" t="s">
        <v>4360</v>
      </c>
      <c r="C3547" t="s">
        <v>2971</v>
      </c>
      <c r="D3547" t="s">
        <v>4359</v>
      </c>
      <c r="E3547">
        <v>100553</v>
      </c>
      <c r="F3547" t="s">
        <v>4374</v>
      </c>
      <c r="G3547" t="s">
        <v>2665</v>
      </c>
      <c r="H3547" t="s">
        <v>4362</v>
      </c>
      <c r="I3547" t="s">
        <v>2976</v>
      </c>
      <c r="J3547" t="s">
        <v>2983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4359</v>
      </c>
      <c r="B3548" t="s">
        <v>4363</v>
      </c>
      <c r="C3548" t="s">
        <v>2971</v>
      </c>
      <c r="D3548" t="s">
        <v>4359</v>
      </c>
      <c r="E3548">
        <v>100562</v>
      </c>
      <c r="F3548" t="s">
        <v>4374</v>
      </c>
      <c r="G3548" t="s">
        <v>2665</v>
      </c>
      <c r="H3548" t="s">
        <v>4362</v>
      </c>
      <c r="I3548" t="s">
        <v>2976</v>
      </c>
      <c r="J3548" t="s">
        <v>2980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4359</v>
      </c>
      <c r="B3549" t="s">
        <v>4364</v>
      </c>
      <c r="C3549" t="s">
        <v>2971</v>
      </c>
      <c r="D3549" t="s">
        <v>4359</v>
      </c>
      <c r="E3549">
        <v>100571</v>
      </c>
      <c r="F3549" t="s">
        <v>4374</v>
      </c>
      <c r="G3549" t="s">
        <v>2665</v>
      </c>
      <c r="H3549" t="s">
        <v>4362</v>
      </c>
      <c r="I3549" t="s">
        <v>2976</v>
      </c>
      <c r="J3549" t="s">
        <v>2986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4359</v>
      </c>
      <c r="B3550" t="s">
        <v>4365</v>
      </c>
      <c r="C3550" t="s">
        <v>2971</v>
      </c>
      <c r="D3550" t="s">
        <v>4359</v>
      </c>
      <c r="E3550">
        <v>100580</v>
      </c>
      <c r="F3550" t="s">
        <v>4374</v>
      </c>
      <c r="G3550" t="s">
        <v>2665</v>
      </c>
      <c r="H3550" t="s">
        <v>4362</v>
      </c>
      <c r="I3550" t="s">
        <v>2976</v>
      </c>
      <c r="J3550" t="s">
        <v>2977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4359</v>
      </c>
      <c r="B3551" t="s">
        <v>4360</v>
      </c>
      <c r="C3551" t="s">
        <v>2971</v>
      </c>
      <c r="D3551" t="s">
        <v>4359</v>
      </c>
      <c r="E3551">
        <v>100612</v>
      </c>
      <c r="F3551" t="s">
        <v>4375</v>
      </c>
      <c r="G3551" t="s">
        <v>2822</v>
      </c>
      <c r="H3551" t="s">
        <v>4362</v>
      </c>
      <c r="I3551" t="s">
        <v>3021</v>
      </c>
      <c r="J3551" t="s">
        <v>2983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4359</v>
      </c>
      <c r="B3552" t="s">
        <v>4363</v>
      </c>
      <c r="C3552" t="s">
        <v>2971</v>
      </c>
      <c r="D3552" t="s">
        <v>4359</v>
      </c>
      <c r="E3552">
        <v>100618</v>
      </c>
      <c r="F3552" t="s">
        <v>4375</v>
      </c>
      <c r="G3552" t="s">
        <v>2822</v>
      </c>
      <c r="H3552" t="s">
        <v>4362</v>
      </c>
      <c r="I3552" t="s">
        <v>3021</v>
      </c>
      <c r="J3552" t="s">
        <v>2980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4359</v>
      </c>
      <c r="B3553" t="s">
        <v>4364</v>
      </c>
      <c r="C3553" t="s">
        <v>2971</v>
      </c>
      <c r="D3553" t="s">
        <v>4359</v>
      </c>
      <c r="E3553">
        <v>100624</v>
      </c>
      <c r="F3553" t="s">
        <v>4375</v>
      </c>
      <c r="G3553" t="s">
        <v>2822</v>
      </c>
      <c r="H3553" t="s">
        <v>4362</v>
      </c>
      <c r="I3553" t="s">
        <v>3021</v>
      </c>
      <c r="J3553" t="s">
        <v>2986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4359</v>
      </c>
      <c r="B3554" t="s">
        <v>4365</v>
      </c>
      <c r="C3554" t="s">
        <v>2971</v>
      </c>
      <c r="D3554" t="s">
        <v>4359</v>
      </c>
      <c r="E3554">
        <v>100630</v>
      </c>
      <c r="F3554" t="s">
        <v>4375</v>
      </c>
      <c r="G3554" t="s">
        <v>2822</v>
      </c>
      <c r="H3554" t="s">
        <v>4362</v>
      </c>
      <c r="I3554" t="s">
        <v>3021</v>
      </c>
      <c r="J3554" t="s">
        <v>2977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4359</v>
      </c>
      <c r="B3555" t="s">
        <v>4360</v>
      </c>
      <c r="C3555" t="s">
        <v>2971</v>
      </c>
      <c r="D3555" t="s">
        <v>4359</v>
      </c>
      <c r="E3555">
        <v>100554</v>
      </c>
      <c r="F3555" t="s">
        <v>4376</v>
      </c>
      <c r="G3555" t="s">
        <v>2822</v>
      </c>
      <c r="H3555" t="s">
        <v>4362</v>
      </c>
      <c r="I3555" t="s">
        <v>2976</v>
      </c>
      <c r="J3555" t="s">
        <v>2983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4359</v>
      </c>
      <c r="B3556" t="s">
        <v>4363</v>
      </c>
      <c r="C3556" t="s">
        <v>2971</v>
      </c>
      <c r="D3556" t="s">
        <v>4359</v>
      </c>
      <c r="E3556">
        <v>100563</v>
      </c>
      <c r="F3556" t="s">
        <v>4376</v>
      </c>
      <c r="G3556" t="s">
        <v>2822</v>
      </c>
      <c r="H3556" t="s">
        <v>4362</v>
      </c>
      <c r="I3556" t="s">
        <v>2976</v>
      </c>
      <c r="J3556" t="s">
        <v>2980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4359</v>
      </c>
      <c r="B3557" t="s">
        <v>4364</v>
      </c>
      <c r="C3557" t="s">
        <v>2971</v>
      </c>
      <c r="D3557" t="s">
        <v>4359</v>
      </c>
      <c r="E3557">
        <v>100572</v>
      </c>
      <c r="F3557" t="s">
        <v>4376</v>
      </c>
      <c r="G3557" t="s">
        <v>2822</v>
      </c>
      <c r="H3557" t="s">
        <v>4362</v>
      </c>
      <c r="I3557" t="s">
        <v>2976</v>
      </c>
      <c r="J3557" t="s">
        <v>2986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4359</v>
      </c>
      <c r="B3558" t="s">
        <v>4365</v>
      </c>
      <c r="C3558" t="s">
        <v>2971</v>
      </c>
      <c r="D3558" t="s">
        <v>4359</v>
      </c>
      <c r="E3558">
        <v>100581</v>
      </c>
      <c r="F3558" t="s">
        <v>4376</v>
      </c>
      <c r="G3558" t="s">
        <v>2822</v>
      </c>
      <c r="H3558" t="s">
        <v>4362</v>
      </c>
      <c r="I3558" t="s">
        <v>2976</v>
      </c>
      <c r="J3558" t="s">
        <v>2977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4359</v>
      </c>
      <c r="B3559" t="s">
        <v>4363</v>
      </c>
      <c r="C3559" t="s">
        <v>2971</v>
      </c>
      <c r="D3559" t="s">
        <v>4359</v>
      </c>
      <c r="E3559">
        <v>100646</v>
      </c>
      <c r="F3559" t="s">
        <v>4377</v>
      </c>
      <c r="G3559" t="s">
        <v>3056</v>
      </c>
      <c r="H3559" t="s">
        <v>4362</v>
      </c>
      <c r="I3559" t="s">
        <v>2976</v>
      </c>
      <c r="J3559" t="s">
        <v>2980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4359</v>
      </c>
      <c r="B3560" t="s">
        <v>4378</v>
      </c>
      <c r="C3560" t="s">
        <v>2853</v>
      </c>
      <c r="D3560" t="s">
        <v>4359</v>
      </c>
      <c r="E3560">
        <v>100200</v>
      </c>
      <c r="F3560" t="s">
        <v>4379</v>
      </c>
      <c r="G3560" t="s">
        <v>4380</v>
      </c>
      <c r="H3560" t="s">
        <v>4381</v>
      </c>
      <c r="I3560" t="s">
        <v>374</v>
      </c>
      <c r="J3560" t="s">
        <v>2848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4359</v>
      </c>
      <c r="B3561" t="s">
        <v>4360</v>
      </c>
      <c r="C3561" t="s">
        <v>2971</v>
      </c>
      <c r="D3561" t="s">
        <v>4359</v>
      </c>
      <c r="E3561">
        <v>100588</v>
      </c>
      <c r="F3561" t="s">
        <v>4382</v>
      </c>
      <c r="G3561" t="s">
        <v>3114</v>
      </c>
      <c r="H3561" t="s">
        <v>4369</v>
      </c>
      <c r="I3561" t="s">
        <v>374</v>
      </c>
      <c r="J3561" t="s">
        <v>2983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4359</v>
      </c>
      <c r="B3562" t="s">
        <v>4364</v>
      </c>
      <c r="C3562" t="s">
        <v>2971</v>
      </c>
      <c r="D3562" t="s">
        <v>4359</v>
      </c>
      <c r="E3562">
        <v>100596</v>
      </c>
      <c r="F3562" t="s">
        <v>4382</v>
      </c>
      <c r="G3562" t="s">
        <v>3114</v>
      </c>
      <c r="H3562" t="s">
        <v>4369</v>
      </c>
      <c r="I3562" t="s">
        <v>374</v>
      </c>
      <c r="J3562" t="s">
        <v>2986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4359</v>
      </c>
      <c r="B3563" t="s">
        <v>4365</v>
      </c>
      <c r="C3563" t="s">
        <v>2971</v>
      </c>
      <c r="D3563" t="s">
        <v>4359</v>
      </c>
      <c r="E3563">
        <v>100600</v>
      </c>
      <c r="F3563" t="s">
        <v>4382</v>
      </c>
      <c r="G3563" t="s">
        <v>3114</v>
      </c>
      <c r="H3563" t="s">
        <v>4369</v>
      </c>
      <c r="I3563" t="s">
        <v>374</v>
      </c>
      <c r="J3563" t="s">
        <v>2977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4359</v>
      </c>
      <c r="B3564" t="s">
        <v>4360</v>
      </c>
      <c r="C3564" t="s">
        <v>2971</v>
      </c>
      <c r="D3564" t="s">
        <v>4359</v>
      </c>
      <c r="E3564">
        <v>100613</v>
      </c>
      <c r="F3564" t="s">
        <v>4383</v>
      </c>
      <c r="G3564" t="s">
        <v>2863</v>
      </c>
      <c r="H3564" t="s">
        <v>4362</v>
      </c>
      <c r="I3564" t="s">
        <v>3021</v>
      </c>
      <c r="J3564" t="s">
        <v>2983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4359</v>
      </c>
      <c r="B3565" t="s">
        <v>4363</v>
      </c>
      <c r="C3565" t="s">
        <v>2971</v>
      </c>
      <c r="D3565" t="s">
        <v>4359</v>
      </c>
      <c r="E3565">
        <v>100619</v>
      </c>
      <c r="F3565" t="s">
        <v>4383</v>
      </c>
      <c r="G3565" t="s">
        <v>2863</v>
      </c>
      <c r="H3565" t="s">
        <v>4362</v>
      </c>
      <c r="I3565" t="s">
        <v>3021</v>
      </c>
      <c r="J3565" t="s">
        <v>2980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4359</v>
      </c>
      <c r="B3566" t="s">
        <v>4364</v>
      </c>
      <c r="C3566" t="s">
        <v>2971</v>
      </c>
      <c r="D3566" t="s">
        <v>4359</v>
      </c>
      <c r="E3566">
        <v>100625</v>
      </c>
      <c r="F3566" t="s">
        <v>4383</v>
      </c>
      <c r="G3566" t="s">
        <v>2863</v>
      </c>
      <c r="H3566" t="s">
        <v>4362</v>
      </c>
      <c r="I3566" t="s">
        <v>3021</v>
      </c>
      <c r="J3566" t="s">
        <v>2986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4359</v>
      </c>
      <c r="B3567" t="s">
        <v>4365</v>
      </c>
      <c r="C3567" t="s">
        <v>2971</v>
      </c>
      <c r="D3567" t="s">
        <v>4359</v>
      </c>
      <c r="E3567">
        <v>100631</v>
      </c>
      <c r="F3567" t="s">
        <v>4383</v>
      </c>
      <c r="G3567" t="s">
        <v>2863</v>
      </c>
      <c r="H3567" t="s">
        <v>4362</v>
      </c>
      <c r="I3567" t="s">
        <v>3021</v>
      </c>
      <c r="J3567" t="s">
        <v>2977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4359</v>
      </c>
      <c r="B3568" t="s">
        <v>4360</v>
      </c>
      <c r="C3568" t="s">
        <v>2971</v>
      </c>
      <c r="D3568" t="s">
        <v>4359</v>
      </c>
      <c r="E3568">
        <v>100555</v>
      </c>
      <c r="F3568" t="s">
        <v>4384</v>
      </c>
      <c r="G3568" t="s">
        <v>2863</v>
      </c>
      <c r="H3568" t="s">
        <v>4362</v>
      </c>
      <c r="I3568" t="s">
        <v>2976</v>
      </c>
      <c r="J3568" t="s">
        <v>2983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4359</v>
      </c>
      <c r="B3569" t="s">
        <v>4363</v>
      </c>
      <c r="C3569" t="s">
        <v>2971</v>
      </c>
      <c r="D3569" t="s">
        <v>4359</v>
      </c>
      <c r="E3569">
        <v>100564</v>
      </c>
      <c r="F3569" t="s">
        <v>4384</v>
      </c>
      <c r="G3569" t="s">
        <v>2863</v>
      </c>
      <c r="H3569" t="s">
        <v>4362</v>
      </c>
      <c r="I3569" t="s">
        <v>2976</v>
      </c>
      <c r="J3569" t="s">
        <v>2980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4359</v>
      </c>
      <c r="B3570" t="s">
        <v>4364</v>
      </c>
      <c r="C3570" t="s">
        <v>2971</v>
      </c>
      <c r="D3570" t="s">
        <v>4359</v>
      </c>
      <c r="E3570">
        <v>100573</v>
      </c>
      <c r="F3570" t="s">
        <v>4384</v>
      </c>
      <c r="G3570" t="s">
        <v>2863</v>
      </c>
      <c r="H3570" t="s">
        <v>4362</v>
      </c>
      <c r="I3570" t="s">
        <v>2976</v>
      </c>
      <c r="J3570" t="s">
        <v>2986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4359</v>
      </c>
      <c r="B3571" t="s">
        <v>4365</v>
      </c>
      <c r="C3571" t="s">
        <v>2971</v>
      </c>
      <c r="D3571" t="s">
        <v>4359</v>
      </c>
      <c r="E3571">
        <v>100582</v>
      </c>
      <c r="F3571" t="s">
        <v>4384</v>
      </c>
      <c r="G3571" t="s">
        <v>2863</v>
      </c>
      <c r="H3571" t="s">
        <v>4362</v>
      </c>
      <c r="I3571" t="s">
        <v>2976</v>
      </c>
      <c r="J3571" t="s">
        <v>2977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4359</v>
      </c>
      <c r="B3572" t="s">
        <v>4360</v>
      </c>
      <c r="C3572" t="s">
        <v>2971</v>
      </c>
      <c r="D3572" t="s">
        <v>4359</v>
      </c>
      <c r="E3572">
        <v>100589</v>
      </c>
      <c r="F3572" t="s">
        <v>4385</v>
      </c>
      <c r="G3572" t="s">
        <v>2863</v>
      </c>
      <c r="H3572" t="s">
        <v>4369</v>
      </c>
      <c r="I3572" t="s">
        <v>374</v>
      </c>
      <c r="J3572" t="s">
        <v>2983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4359</v>
      </c>
      <c r="B3573" t="s">
        <v>4363</v>
      </c>
      <c r="C3573" t="s">
        <v>2971</v>
      </c>
      <c r="D3573" t="s">
        <v>4359</v>
      </c>
      <c r="E3573">
        <v>100593</v>
      </c>
      <c r="F3573" t="s">
        <v>4385</v>
      </c>
      <c r="G3573" t="s">
        <v>2863</v>
      </c>
      <c r="H3573" t="s">
        <v>4369</v>
      </c>
      <c r="I3573" t="s">
        <v>374</v>
      </c>
      <c r="J3573" t="s">
        <v>2980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4359</v>
      </c>
      <c r="B3574" t="s">
        <v>4364</v>
      </c>
      <c r="C3574" t="s">
        <v>2971</v>
      </c>
      <c r="D3574" t="s">
        <v>4359</v>
      </c>
      <c r="E3574">
        <v>100597</v>
      </c>
      <c r="F3574" t="s">
        <v>4385</v>
      </c>
      <c r="G3574" t="s">
        <v>2863</v>
      </c>
      <c r="H3574" t="s">
        <v>4369</v>
      </c>
      <c r="I3574" t="s">
        <v>374</v>
      </c>
      <c r="J3574" t="s">
        <v>2986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4359</v>
      </c>
      <c r="B3575" t="s">
        <v>4365</v>
      </c>
      <c r="C3575" t="s">
        <v>2971</v>
      </c>
      <c r="D3575" t="s">
        <v>4359</v>
      </c>
      <c r="E3575">
        <v>100601</v>
      </c>
      <c r="F3575" t="s">
        <v>4385</v>
      </c>
      <c r="G3575" t="s">
        <v>2863</v>
      </c>
      <c r="H3575" t="s">
        <v>4369</v>
      </c>
      <c r="I3575" t="s">
        <v>374</v>
      </c>
      <c r="J3575" t="s">
        <v>2977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4359</v>
      </c>
      <c r="B3576" t="s">
        <v>4363</v>
      </c>
      <c r="C3576" t="s">
        <v>2971</v>
      </c>
      <c r="D3576" t="s">
        <v>4359</v>
      </c>
      <c r="E3576">
        <v>100592</v>
      </c>
      <c r="F3576" t="s">
        <v>4386</v>
      </c>
      <c r="G3576" t="s">
        <v>3129</v>
      </c>
      <c r="H3576" t="s">
        <v>4369</v>
      </c>
      <c r="I3576" t="s">
        <v>374</v>
      </c>
      <c r="J3576" t="s">
        <v>2980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4359</v>
      </c>
      <c r="B3577" t="s">
        <v>4360</v>
      </c>
      <c r="C3577" t="s">
        <v>2971</v>
      </c>
      <c r="D3577" t="s">
        <v>4359</v>
      </c>
      <c r="E3577">
        <v>100614</v>
      </c>
      <c r="F3577" t="s">
        <v>4387</v>
      </c>
      <c r="G3577" t="s">
        <v>3132</v>
      </c>
      <c r="H3577" t="s">
        <v>4362</v>
      </c>
      <c r="I3577" t="s">
        <v>3021</v>
      </c>
      <c r="J3577" t="s">
        <v>2983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4359</v>
      </c>
      <c r="B3578" t="s">
        <v>4363</v>
      </c>
      <c r="C3578" t="s">
        <v>2971</v>
      </c>
      <c r="D3578" t="s">
        <v>4359</v>
      </c>
      <c r="E3578">
        <v>100620</v>
      </c>
      <c r="F3578" t="s">
        <v>4387</v>
      </c>
      <c r="G3578" t="s">
        <v>3132</v>
      </c>
      <c r="H3578" t="s">
        <v>4362</v>
      </c>
      <c r="I3578" t="s">
        <v>3021</v>
      </c>
      <c r="J3578" t="s">
        <v>2980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4359</v>
      </c>
      <c r="B3579" t="s">
        <v>4364</v>
      </c>
      <c r="C3579" t="s">
        <v>2971</v>
      </c>
      <c r="D3579" t="s">
        <v>4359</v>
      </c>
      <c r="E3579">
        <v>100626</v>
      </c>
      <c r="F3579" t="s">
        <v>4387</v>
      </c>
      <c r="G3579" t="s">
        <v>3132</v>
      </c>
      <c r="H3579" t="s">
        <v>4362</v>
      </c>
      <c r="I3579" t="s">
        <v>3021</v>
      </c>
      <c r="J3579" t="s">
        <v>2986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4359</v>
      </c>
      <c r="B3580" t="s">
        <v>4365</v>
      </c>
      <c r="C3580" t="s">
        <v>2971</v>
      </c>
      <c r="D3580" t="s">
        <v>4359</v>
      </c>
      <c r="E3580">
        <v>100632</v>
      </c>
      <c r="F3580" t="s">
        <v>4387</v>
      </c>
      <c r="G3580" t="s">
        <v>3132</v>
      </c>
      <c r="H3580" t="s">
        <v>4362</v>
      </c>
      <c r="I3580" t="s">
        <v>3021</v>
      </c>
      <c r="J3580" t="s">
        <v>2977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4359</v>
      </c>
      <c r="B3581" t="s">
        <v>4360</v>
      </c>
      <c r="C3581" t="s">
        <v>2971</v>
      </c>
      <c r="D3581" t="s">
        <v>4359</v>
      </c>
      <c r="E3581">
        <v>100556</v>
      </c>
      <c r="F3581" t="s">
        <v>4388</v>
      </c>
      <c r="G3581" t="s">
        <v>3132</v>
      </c>
      <c r="H3581" t="s">
        <v>4362</v>
      </c>
      <c r="I3581" t="s">
        <v>2976</v>
      </c>
      <c r="J3581" t="s">
        <v>2983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4359</v>
      </c>
      <c r="B3582" t="s">
        <v>4363</v>
      </c>
      <c r="C3582" t="s">
        <v>2971</v>
      </c>
      <c r="D3582" t="s">
        <v>4359</v>
      </c>
      <c r="E3582">
        <v>100565</v>
      </c>
      <c r="F3582" t="s">
        <v>4388</v>
      </c>
      <c r="G3582" t="s">
        <v>3132</v>
      </c>
      <c r="H3582" t="s">
        <v>4362</v>
      </c>
      <c r="I3582" t="s">
        <v>2976</v>
      </c>
      <c r="J3582" t="s">
        <v>2980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4359</v>
      </c>
      <c r="B3583" t="s">
        <v>4364</v>
      </c>
      <c r="C3583" t="s">
        <v>2971</v>
      </c>
      <c r="D3583" t="s">
        <v>4359</v>
      </c>
      <c r="E3583">
        <v>100574</v>
      </c>
      <c r="F3583" t="s">
        <v>4388</v>
      </c>
      <c r="G3583" t="s">
        <v>3132</v>
      </c>
      <c r="H3583" t="s">
        <v>4362</v>
      </c>
      <c r="I3583" t="s">
        <v>2976</v>
      </c>
      <c r="J3583" t="s">
        <v>2986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4359</v>
      </c>
      <c r="B3584" t="s">
        <v>4365</v>
      </c>
      <c r="C3584" t="s">
        <v>2971</v>
      </c>
      <c r="D3584" t="s">
        <v>4359</v>
      </c>
      <c r="E3584">
        <v>100583</v>
      </c>
      <c r="F3584" t="s">
        <v>4388</v>
      </c>
      <c r="G3584" t="s">
        <v>3132</v>
      </c>
      <c r="H3584" t="s">
        <v>4362</v>
      </c>
      <c r="I3584" t="s">
        <v>2976</v>
      </c>
      <c r="J3584" t="s">
        <v>2977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4359</v>
      </c>
      <c r="B3585" t="s">
        <v>4360</v>
      </c>
      <c r="C3585" t="s">
        <v>2971</v>
      </c>
      <c r="D3585" t="s">
        <v>4359</v>
      </c>
      <c r="E3585">
        <v>100615</v>
      </c>
      <c r="F3585" t="s">
        <v>4389</v>
      </c>
      <c r="G3585" t="s">
        <v>3138</v>
      </c>
      <c r="H3585" t="s">
        <v>4362</v>
      </c>
      <c r="I3585" t="s">
        <v>3021</v>
      </c>
      <c r="J3585" t="s">
        <v>2983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4359</v>
      </c>
      <c r="B3586" t="s">
        <v>4363</v>
      </c>
      <c r="C3586" t="s">
        <v>2971</v>
      </c>
      <c r="D3586" t="s">
        <v>4359</v>
      </c>
      <c r="E3586">
        <v>100621</v>
      </c>
      <c r="F3586" t="s">
        <v>4389</v>
      </c>
      <c r="G3586" t="s">
        <v>3138</v>
      </c>
      <c r="H3586" t="s">
        <v>4362</v>
      </c>
      <c r="I3586" t="s">
        <v>3021</v>
      </c>
      <c r="J3586" t="s">
        <v>2980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4359</v>
      </c>
      <c r="B3587" t="s">
        <v>4364</v>
      </c>
      <c r="C3587" t="s">
        <v>2971</v>
      </c>
      <c r="D3587" t="s">
        <v>4359</v>
      </c>
      <c r="E3587">
        <v>100627</v>
      </c>
      <c r="F3587" t="s">
        <v>4389</v>
      </c>
      <c r="G3587" t="s">
        <v>3138</v>
      </c>
      <c r="H3587" t="s">
        <v>4362</v>
      </c>
      <c r="I3587" t="s">
        <v>3021</v>
      </c>
      <c r="J3587" t="s">
        <v>2986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4359</v>
      </c>
      <c r="B3588" t="s">
        <v>4365</v>
      </c>
      <c r="C3588" t="s">
        <v>2971</v>
      </c>
      <c r="D3588" t="s">
        <v>4359</v>
      </c>
      <c r="E3588">
        <v>100633</v>
      </c>
      <c r="F3588" t="s">
        <v>4389</v>
      </c>
      <c r="G3588" t="s">
        <v>3138</v>
      </c>
      <c r="H3588" t="s">
        <v>4362</v>
      </c>
      <c r="I3588" t="s">
        <v>3021</v>
      </c>
      <c r="J3588" t="s">
        <v>2977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4359</v>
      </c>
      <c r="B3589" t="s">
        <v>4360</v>
      </c>
      <c r="C3589" t="s">
        <v>2971</v>
      </c>
      <c r="D3589" t="s">
        <v>4359</v>
      </c>
      <c r="E3589">
        <v>100557</v>
      </c>
      <c r="F3589" t="s">
        <v>4390</v>
      </c>
      <c r="G3589" t="s">
        <v>3138</v>
      </c>
      <c r="H3589" t="s">
        <v>4362</v>
      </c>
      <c r="I3589" t="s">
        <v>2976</v>
      </c>
      <c r="J3589" t="s">
        <v>2983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4359</v>
      </c>
      <c r="B3590" t="s">
        <v>4363</v>
      </c>
      <c r="C3590" t="s">
        <v>2971</v>
      </c>
      <c r="D3590" t="s">
        <v>4359</v>
      </c>
      <c r="E3590">
        <v>100566</v>
      </c>
      <c r="F3590" t="s">
        <v>4390</v>
      </c>
      <c r="G3590" t="s">
        <v>3138</v>
      </c>
      <c r="H3590" t="s">
        <v>4362</v>
      </c>
      <c r="I3590" t="s">
        <v>2976</v>
      </c>
      <c r="J3590" t="s">
        <v>2980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4359</v>
      </c>
      <c r="B3591" t="s">
        <v>4364</v>
      </c>
      <c r="C3591" t="s">
        <v>2971</v>
      </c>
      <c r="D3591" t="s">
        <v>4359</v>
      </c>
      <c r="E3591">
        <v>100575</v>
      </c>
      <c r="F3591" t="s">
        <v>4390</v>
      </c>
      <c r="G3591" t="s">
        <v>3138</v>
      </c>
      <c r="H3591" t="s">
        <v>4362</v>
      </c>
      <c r="I3591" t="s">
        <v>2976</v>
      </c>
      <c r="J3591" t="s">
        <v>2986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4359</v>
      </c>
      <c r="B3592" t="s">
        <v>4365</v>
      </c>
      <c r="C3592" t="s">
        <v>2971</v>
      </c>
      <c r="D3592" t="s">
        <v>4359</v>
      </c>
      <c r="E3592">
        <v>100584</v>
      </c>
      <c r="F3592" t="s">
        <v>4390</v>
      </c>
      <c r="G3592" t="s">
        <v>3138</v>
      </c>
      <c r="H3592" t="s">
        <v>4362</v>
      </c>
      <c r="I3592" t="s">
        <v>2976</v>
      </c>
      <c r="J3592" t="s">
        <v>2977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4391</v>
      </c>
      <c r="B3593" t="s">
        <v>4392</v>
      </c>
      <c r="C3593" t="s">
        <v>2971</v>
      </c>
      <c r="D3593" t="s">
        <v>4391</v>
      </c>
      <c r="E3593" t="s">
        <v>4393</v>
      </c>
      <c r="F3593" t="s">
        <v>4394</v>
      </c>
      <c r="G3593" t="s">
        <v>4395</v>
      </c>
      <c r="H3593" t="s">
        <v>4396</v>
      </c>
      <c r="I3593" t="s">
        <v>374</v>
      </c>
      <c r="J3593" t="s">
        <v>4397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4391</v>
      </c>
      <c r="B3594" t="s">
        <v>4392</v>
      </c>
      <c r="C3594" t="s">
        <v>2971</v>
      </c>
      <c r="D3594" t="s">
        <v>4391</v>
      </c>
      <c r="E3594" t="s">
        <v>4398</v>
      </c>
      <c r="F3594" t="s">
        <v>4399</v>
      </c>
      <c r="G3594" t="s">
        <v>4400</v>
      </c>
      <c r="H3594" t="s">
        <v>4401</v>
      </c>
      <c r="I3594" t="s">
        <v>374</v>
      </c>
      <c r="J3594" t="s">
        <v>4397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4402</v>
      </c>
      <c r="B3595" t="s">
        <v>4403</v>
      </c>
      <c r="C3595" t="s">
        <v>4404</v>
      </c>
      <c r="D3595" t="s">
        <v>4402</v>
      </c>
      <c r="E3595" t="s">
        <v>4405</v>
      </c>
      <c r="F3595" t="s">
        <v>4406</v>
      </c>
      <c r="G3595" t="s">
        <v>4403</v>
      </c>
      <c r="H3595" t="s">
        <v>4402</v>
      </c>
      <c r="I3595" t="s">
        <v>374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4402</v>
      </c>
      <c r="B3596" t="s">
        <v>4403</v>
      </c>
      <c r="C3596" t="s">
        <v>4407</v>
      </c>
      <c r="D3596" t="s">
        <v>4402</v>
      </c>
      <c r="E3596" t="s">
        <v>4408</v>
      </c>
      <c r="F3596" t="s">
        <v>4409</v>
      </c>
      <c r="G3596" t="s">
        <v>4410</v>
      </c>
      <c r="H3596" t="s">
        <v>4402</v>
      </c>
      <c r="I3596" t="s">
        <v>374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4402</v>
      </c>
      <c r="B3597" t="s">
        <v>4403</v>
      </c>
      <c r="C3597" t="s">
        <v>4407</v>
      </c>
      <c r="D3597" t="s">
        <v>4402</v>
      </c>
      <c r="E3597" t="s">
        <v>4411</v>
      </c>
      <c r="F3597" t="s">
        <v>4412</v>
      </c>
      <c r="G3597" t="s">
        <v>4410</v>
      </c>
      <c r="H3597" t="s">
        <v>4413</v>
      </c>
      <c r="I3597" t="s">
        <v>374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4402</v>
      </c>
      <c r="B3598" t="s">
        <v>4414</v>
      </c>
      <c r="C3598" t="s">
        <v>4404</v>
      </c>
      <c r="D3598" t="s">
        <v>4402</v>
      </c>
      <c r="E3598" t="s">
        <v>4415</v>
      </c>
      <c r="F3598" t="s">
        <v>4416</v>
      </c>
      <c r="G3598" t="s">
        <v>4417</v>
      </c>
      <c r="H3598" t="s">
        <v>4418</v>
      </c>
      <c r="I3598" t="s">
        <v>374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4402</v>
      </c>
      <c r="B3599" t="s">
        <v>4402</v>
      </c>
      <c r="C3599" t="s">
        <v>4404</v>
      </c>
      <c r="D3599" t="s">
        <v>4402</v>
      </c>
      <c r="E3599" t="s">
        <v>4419</v>
      </c>
      <c r="F3599" t="s">
        <v>4420</v>
      </c>
      <c r="G3599" t="s">
        <v>4421</v>
      </c>
      <c r="H3599" t="s">
        <v>4402</v>
      </c>
      <c r="I3599" t="s">
        <v>374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4402</v>
      </c>
      <c r="B3600" t="s">
        <v>1428</v>
      </c>
      <c r="C3600" t="s">
        <v>4422</v>
      </c>
      <c r="D3600" t="s">
        <v>4402</v>
      </c>
      <c r="E3600" t="s">
        <v>4423</v>
      </c>
      <c r="F3600" t="s">
        <v>4424</v>
      </c>
      <c r="G3600" t="s">
        <v>4422</v>
      </c>
      <c r="H3600" t="s">
        <v>4425</v>
      </c>
      <c r="I3600" t="s">
        <v>374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4402</v>
      </c>
      <c r="B3601" t="s">
        <v>1428</v>
      </c>
      <c r="C3601" t="s">
        <v>4422</v>
      </c>
      <c r="D3601" t="s">
        <v>4402</v>
      </c>
      <c r="E3601" t="s">
        <v>4426</v>
      </c>
      <c r="F3601" t="s">
        <v>4424</v>
      </c>
      <c r="G3601" t="s">
        <v>4422</v>
      </c>
      <c r="H3601" t="s">
        <v>4425</v>
      </c>
      <c r="I3601" t="s">
        <v>374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4402</v>
      </c>
      <c r="B3602" t="s">
        <v>1428</v>
      </c>
      <c r="C3602" t="s">
        <v>4427</v>
      </c>
      <c r="D3602" t="s">
        <v>4402</v>
      </c>
      <c r="E3602" t="s">
        <v>4428</v>
      </c>
      <c r="F3602" t="s">
        <v>4429</v>
      </c>
      <c r="G3602" t="s">
        <v>4427</v>
      </c>
      <c r="H3602" t="s">
        <v>4425</v>
      </c>
      <c r="I3602" t="s">
        <v>374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4402</v>
      </c>
      <c r="B3603" t="s">
        <v>4402</v>
      </c>
      <c r="C3603" t="s">
        <v>4404</v>
      </c>
      <c r="D3603" t="s">
        <v>4402</v>
      </c>
      <c r="E3603" t="s">
        <v>4430</v>
      </c>
      <c r="F3603" t="s">
        <v>4431</v>
      </c>
      <c r="G3603" t="s">
        <v>4402</v>
      </c>
      <c r="H3603">
        <v>1</v>
      </c>
      <c r="I3603" t="s">
        <v>374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4402</v>
      </c>
      <c r="B3604" t="s">
        <v>4402</v>
      </c>
      <c r="C3604" t="s">
        <v>4404</v>
      </c>
      <c r="D3604" t="s">
        <v>4402</v>
      </c>
      <c r="E3604" t="s">
        <v>4432</v>
      </c>
      <c r="F3604" t="s">
        <v>4433</v>
      </c>
      <c r="G3604" t="s">
        <v>4402</v>
      </c>
      <c r="H3604">
        <v>2</v>
      </c>
      <c r="I3604" t="s">
        <v>374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4239</v>
      </c>
      <c r="B3605" t="s">
        <v>4302</v>
      </c>
      <c r="C3605" t="s">
        <v>368</v>
      </c>
      <c r="D3605" t="s">
        <v>3129</v>
      </c>
      <c r="E3605" t="s">
        <v>4434</v>
      </c>
      <c r="F3605" t="s">
        <v>4435</v>
      </c>
      <c r="G3605" t="s">
        <v>4243</v>
      </c>
      <c r="H3605" t="s">
        <v>3723</v>
      </c>
      <c r="I3605" t="s">
        <v>374</v>
      </c>
      <c r="J3605" t="s">
        <v>4305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4239</v>
      </c>
      <c r="B3606" t="s">
        <v>4302</v>
      </c>
      <c r="C3606" t="s">
        <v>368</v>
      </c>
      <c r="D3606" t="s">
        <v>3129</v>
      </c>
      <c r="E3606" t="s">
        <v>4436</v>
      </c>
      <c r="F3606" t="s">
        <v>4435</v>
      </c>
      <c r="G3606" t="s">
        <v>4243</v>
      </c>
      <c r="H3606" t="s">
        <v>3723</v>
      </c>
      <c r="I3606" t="s">
        <v>374</v>
      </c>
      <c r="J3606" t="s">
        <v>4305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4239</v>
      </c>
      <c r="B3607" t="s">
        <v>4302</v>
      </c>
      <c r="C3607" t="s">
        <v>368</v>
      </c>
      <c r="D3607" t="s">
        <v>3129</v>
      </c>
      <c r="E3607" t="s">
        <v>4437</v>
      </c>
      <c r="F3607" t="s">
        <v>4435</v>
      </c>
      <c r="G3607" t="s">
        <v>4243</v>
      </c>
      <c r="H3607" t="s">
        <v>3723</v>
      </c>
      <c r="I3607" t="s">
        <v>374</v>
      </c>
      <c r="J3607" t="s">
        <v>4305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4239</v>
      </c>
      <c r="B3608" t="s">
        <v>4302</v>
      </c>
      <c r="C3608" t="s">
        <v>368</v>
      </c>
      <c r="D3608" t="s">
        <v>3129</v>
      </c>
      <c r="E3608" t="s">
        <v>4438</v>
      </c>
      <c r="F3608" t="s">
        <v>4435</v>
      </c>
      <c r="G3608" t="s">
        <v>4243</v>
      </c>
      <c r="H3608" t="s">
        <v>3723</v>
      </c>
      <c r="I3608" t="s">
        <v>374</v>
      </c>
      <c r="J3608" t="s">
        <v>4305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4239</v>
      </c>
      <c r="B3609" t="s">
        <v>4302</v>
      </c>
      <c r="C3609" t="s">
        <v>368</v>
      </c>
      <c r="D3609" t="s">
        <v>3129</v>
      </c>
      <c r="E3609" t="s">
        <v>4439</v>
      </c>
      <c r="F3609" t="s">
        <v>4435</v>
      </c>
      <c r="G3609" t="s">
        <v>4243</v>
      </c>
      <c r="H3609" t="s">
        <v>3723</v>
      </c>
      <c r="I3609" t="s">
        <v>374</v>
      </c>
      <c r="J3609" t="s">
        <v>4305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4239</v>
      </c>
      <c r="B3610" t="s">
        <v>4302</v>
      </c>
      <c r="C3610" t="s">
        <v>368</v>
      </c>
      <c r="D3610" t="s">
        <v>3129</v>
      </c>
      <c r="E3610" t="s">
        <v>4440</v>
      </c>
      <c r="F3610" t="s">
        <v>4435</v>
      </c>
      <c r="G3610" t="s">
        <v>4243</v>
      </c>
      <c r="H3610" t="s">
        <v>3723</v>
      </c>
      <c r="I3610" t="s">
        <v>374</v>
      </c>
      <c r="J3610" t="s">
        <v>4305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4239</v>
      </c>
      <c r="B3611" t="s">
        <v>4302</v>
      </c>
      <c r="C3611" t="s">
        <v>368</v>
      </c>
      <c r="D3611" t="s">
        <v>3129</v>
      </c>
      <c r="E3611" t="s">
        <v>4441</v>
      </c>
      <c r="F3611" t="s">
        <v>4435</v>
      </c>
      <c r="G3611" t="s">
        <v>4243</v>
      </c>
      <c r="H3611" t="s">
        <v>3723</v>
      </c>
      <c r="I3611" t="s">
        <v>374</v>
      </c>
      <c r="J3611" t="s">
        <v>4305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4239</v>
      </c>
      <c r="B3612" t="s">
        <v>4302</v>
      </c>
      <c r="C3612" t="s">
        <v>368</v>
      </c>
      <c r="D3612" t="s">
        <v>3129</v>
      </c>
      <c r="E3612" t="s">
        <v>4442</v>
      </c>
      <c r="F3612" t="s">
        <v>4435</v>
      </c>
      <c r="G3612" t="s">
        <v>4243</v>
      </c>
      <c r="H3612" t="s">
        <v>3723</v>
      </c>
      <c r="I3612" t="s">
        <v>374</v>
      </c>
      <c r="J3612" t="s">
        <v>4305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4239</v>
      </c>
      <c r="B3613" t="s">
        <v>4302</v>
      </c>
      <c r="C3613" t="s">
        <v>368</v>
      </c>
      <c r="D3613" t="s">
        <v>3129</v>
      </c>
      <c r="E3613" t="s">
        <v>4443</v>
      </c>
      <c r="F3613" t="s">
        <v>4435</v>
      </c>
      <c r="G3613" t="s">
        <v>4243</v>
      </c>
      <c r="H3613" t="s">
        <v>3723</v>
      </c>
      <c r="I3613" t="s">
        <v>374</v>
      </c>
      <c r="J3613" t="s">
        <v>4305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4239</v>
      </c>
      <c r="B3614" t="s">
        <v>4302</v>
      </c>
      <c r="C3614" t="s">
        <v>609</v>
      </c>
      <c r="D3614" t="s">
        <v>3129</v>
      </c>
      <c r="E3614" t="s">
        <v>4444</v>
      </c>
      <c r="F3614" t="s">
        <v>4435</v>
      </c>
      <c r="G3614" t="s">
        <v>4243</v>
      </c>
      <c r="H3614" t="s">
        <v>3723</v>
      </c>
      <c r="I3614" t="s">
        <v>374</v>
      </c>
      <c r="J3614" t="s">
        <v>4305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4239</v>
      </c>
      <c r="B3615" t="s">
        <v>4302</v>
      </c>
      <c r="C3615" t="s">
        <v>609</v>
      </c>
      <c r="D3615" t="s">
        <v>3129</v>
      </c>
      <c r="E3615" t="s">
        <v>4445</v>
      </c>
      <c r="F3615" t="s">
        <v>4435</v>
      </c>
      <c r="G3615" t="s">
        <v>4243</v>
      </c>
      <c r="H3615" t="s">
        <v>3723</v>
      </c>
      <c r="I3615" t="s">
        <v>374</v>
      </c>
      <c r="J3615" t="s">
        <v>4305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4239</v>
      </c>
      <c r="B3616" t="s">
        <v>4302</v>
      </c>
      <c r="C3616" t="s">
        <v>609</v>
      </c>
      <c r="D3616" t="s">
        <v>3129</v>
      </c>
      <c r="E3616" t="s">
        <v>4446</v>
      </c>
      <c r="F3616" t="s">
        <v>4435</v>
      </c>
      <c r="G3616" t="s">
        <v>4243</v>
      </c>
      <c r="H3616" t="s">
        <v>3723</v>
      </c>
      <c r="I3616" t="s">
        <v>374</v>
      </c>
      <c r="J3616" t="s">
        <v>4305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4239</v>
      </c>
      <c r="B3617" t="s">
        <v>4302</v>
      </c>
      <c r="C3617" t="s">
        <v>609</v>
      </c>
      <c r="D3617" t="s">
        <v>3129</v>
      </c>
      <c r="E3617" t="s">
        <v>4447</v>
      </c>
      <c r="F3617" t="s">
        <v>4435</v>
      </c>
      <c r="G3617" t="s">
        <v>4243</v>
      </c>
      <c r="H3617" t="s">
        <v>3723</v>
      </c>
      <c r="I3617" t="s">
        <v>374</v>
      </c>
      <c r="J3617" t="s">
        <v>4305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4239</v>
      </c>
      <c r="B3618" t="s">
        <v>4302</v>
      </c>
      <c r="C3618" t="s">
        <v>368</v>
      </c>
      <c r="D3618" t="s">
        <v>3129</v>
      </c>
      <c r="E3618" t="s">
        <v>4448</v>
      </c>
      <c r="F3618" t="s">
        <v>4435</v>
      </c>
      <c r="G3618" t="s">
        <v>4243</v>
      </c>
      <c r="H3618" t="s">
        <v>3723</v>
      </c>
      <c r="I3618" t="s">
        <v>374</v>
      </c>
      <c r="J3618" t="s">
        <v>4305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4239</v>
      </c>
      <c r="B3619" t="s">
        <v>4302</v>
      </c>
      <c r="C3619" t="s">
        <v>368</v>
      </c>
      <c r="D3619" t="s">
        <v>3129</v>
      </c>
      <c r="E3619" t="s">
        <v>4449</v>
      </c>
      <c r="F3619" t="s">
        <v>4435</v>
      </c>
      <c r="G3619" t="s">
        <v>4243</v>
      </c>
      <c r="H3619" t="s">
        <v>3723</v>
      </c>
      <c r="I3619" t="s">
        <v>374</v>
      </c>
      <c r="J3619" t="s">
        <v>4305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3499</v>
      </c>
      <c r="B3620" t="s">
        <v>3704</v>
      </c>
      <c r="C3620" t="s">
        <v>368</v>
      </c>
      <c r="D3620" t="s">
        <v>3129</v>
      </c>
      <c r="E3620" t="s">
        <v>4450</v>
      </c>
      <c r="F3620" t="s">
        <v>4451</v>
      </c>
      <c r="G3620" t="s">
        <v>3503</v>
      </c>
      <c r="H3620" t="s">
        <v>373</v>
      </c>
      <c r="I3620" t="s">
        <v>374</v>
      </c>
      <c r="J3620" t="s">
        <v>386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3499</v>
      </c>
      <c r="B3621" t="s">
        <v>3704</v>
      </c>
      <c r="C3621" t="s">
        <v>368</v>
      </c>
      <c r="D3621" t="s">
        <v>3129</v>
      </c>
      <c r="E3621" t="s">
        <v>4452</v>
      </c>
      <c r="F3621" t="s">
        <v>4451</v>
      </c>
      <c r="G3621" t="s">
        <v>3503</v>
      </c>
      <c r="H3621" t="s">
        <v>373</v>
      </c>
      <c r="I3621" t="s">
        <v>374</v>
      </c>
      <c r="J3621" t="s">
        <v>386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3499</v>
      </c>
      <c r="B3622" t="s">
        <v>3704</v>
      </c>
      <c r="C3622" t="s">
        <v>368</v>
      </c>
      <c r="D3622" t="s">
        <v>3129</v>
      </c>
      <c r="E3622" t="s">
        <v>4453</v>
      </c>
      <c r="F3622" t="s">
        <v>4451</v>
      </c>
      <c r="G3622" t="s">
        <v>3503</v>
      </c>
      <c r="H3622" t="s">
        <v>373</v>
      </c>
      <c r="I3622" t="s">
        <v>374</v>
      </c>
      <c r="J3622" t="s">
        <v>386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3499</v>
      </c>
      <c r="B3623" t="s">
        <v>3704</v>
      </c>
      <c r="C3623" t="s">
        <v>368</v>
      </c>
      <c r="D3623" t="s">
        <v>3129</v>
      </c>
      <c r="E3623" t="s">
        <v>4454</v>
      </c>
      <c r="F3623" t="s">
        <v>4451</v>
      </c>
      <c r="G3623" t="s">
        <v>3503</v>
      </c>
      <c r="H3623" t="s">
        <v>373</v>
      </c>
      <c r="I3623" t="s">
        <v>374</v>
      </c>
      <c r="J3623" t="s">
        <v>386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3499</v>
      </c>
      <c r="B3624" t="s">
        <v>3704</v>
      </c>
      <c r="C3624" t="s">
        <v>368</v>
      </c>
      <c r="D3624" t="s">
        <v>3129</v>
      </c>
      <c r="E3624" t="s">
        <v>4455</v>
      </c>
      <c r="F3624" t="s">
        <v>4451</v>
      </c>
      <c r="G3624" t="s">
        <v>3503</v>
      </c>
      <c r="H3624" t="s">
        <v>373</v>
      </c>
      <c r="I3624" t="s">
        <v>374</v>
      </c>
      <c r="J3624" t="s">
        <v>386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3499</v>
      </c>
      <c r="B3625" t="s">
        <v>3704</v>
      </c>
      <c r="C3625" t="s">
        <v>368</v>
      </c>
      <c r="D3625" t="s">
        <v>3129</v>
      </c>
      <c r="E3625" t="s">
        <v>4456</v>
      </c>
      <c r="F3625" t="s">
        <v>4451</v>
      </c>
      <c r="G3625" t="s">
        <v>3503</v>
      </c>
      <c r="H3625" t="s">
        <v>373</v>
      </c>
      <c r="I3625" t="s">
        <v>374</v>
      </c>
      <c r="J3625" t="s">
        <v>386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3499</v>
      </c>
      <c r="B3626" t="s">
        <v>3704</v>
      </c>
      <c r="C3626" t="s">
        <v>368</v>
      </c>
      <c r="D3626" t="s">
        <v>3129</v>
      </c>
      <c r="E3626" t="s">
        <v>4457</v>
      </c>
      <c r="F3626" t="s">
        <v>4451</v>
      </c>
      <c r="G3626" t="s">
        <v>3503</v>
      </c>
      <c r="H3626" t="s">
        <v>373</v>
      </c>
      <c r="I3626" t="s">
        <v>374</v>
      </c>
      <c r="J3626" t="s">
        <v>386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3499</v>
      </c>
      <c r="B3627" t="s">
        <v>3704</v>
      </c>
      <c r="C3627" t="s">
        <v>368</v>
      </c>
      <c r="D3627" t="s">
        <v>3129</v>
      </c>
      <c r="E3627" t="s">
        <v>4458</v>
      </c>
      <c r="F3627" t="s">
        <v>4451</v>
      </c>
      <c r="G3627" t="s">
        <v>3503</v>
      </c>
      <c r="H3627" t="s">
        <v>373</v>
      </c>
      <c r="I3627" t="s">
        <v>374</v>
      </c>
      <c r="J3627" t="s">
        <v>386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3499</v>
      </c>
      <c r="B3628" t="s">
        <v>3704</v>
      </c>
      <c r="C3628" t="s">
        <v>368</v>
      </c>
      <c r="D3628" t="s">
        <v>3129</v>
      </c>
      <c r="E3628" t="s">
        <v>4459</v>
      </c>
      <c r="F3628" t="s">
        <v>4451</v>
      </c>
      <c r="G3628" t="s">
        <v>3503</v>
      </c>
      <c r="H3628" t="s">
        <v>373</v>
      </c>
      <c r="I3628" t="s">
        <v>374</v>
      </c>
      <c r="J3628" t="s">
        <v>386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3499</v>
      </c>
      <c r="B3629" t="s">
        <v>3704</v>
      </c>
      <c r="C3629" t="s">
        <v>609</v>
      </c>
      <c r="D3629" t="s">
        <v>3129</v>
      </c>
      <c r="E3629" t="s">
        <v>4460</v>
      </c>
      <c r="F3629" t="s">
        <v>4451</v>
      </c>
      <c r="G3629" t="s">
        <v>3503</v>
      </c>
      <c r="H3629" t="s">
        <v>373</v>
      </c>
      <c r="I3629" t="s">
        <v>374</v>
      </c>
      <c r="J3629" t="s">
        <v>386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3499</v>
      </c>
      <c r="B3630" t="s">
        <v>3704</v>
      </c>
      <c r="C3630" t="s">
        <v>609</v>
      </c>
      <c r="D3630" t="s">
        <v>3129</v>
      </c>
      <c r="E3630" t="s">
        <v>4461</v>
      </c>
      <c r="F3630" t="s">
        <v>4451</v>
      </c>
      <c r="G3630" t="s">
        <v>3503</v>
      </c>
      <c r="H3630" t="s">
        <v>373</v>
      </c>
      <c r="I3630" t="s">
        <v>374</v>
      </c>
      <c r="J3630" t="s">
        <v>386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3499</v>
      </c>
      <c r="B3631" t="s">
        <v>3704</v>
      </c>
      <c r="C3631" t="s">
        <v>609</v>
      </c>
      <c r="D3631" t="s">
        <v>3129</v>
      </c>
      <c r="E3631" t="s">
        <v>4462</v>
      </c>
      <c r="F3631" t="s">
        <v>4451</v>
      </c>
      <c r="G3631" t="s">
        <v>3503</v>
      </c>
      <c r="H3631" t="s">
        <v>373</v>
      </c>
      <c r="I3631" t="s">
        <v>374</v>
      </c>
      <c r="J3631" t="s">
        <v>386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3499</v>
      </c>
      <c r="B3632" t="s">
        <v>3704</v>
      </c>
      <c r="C3632" t="s">
        <v>609</v>
      </c>
      <c r="D3632" t="s">
        <v>3129</v>
      </c>
      <c r="E3632" t="s">
        <v>4463</v>
      </c>
      <c r="F3632" t="s">
        <v>4451</v>
      </c>
      <c r="G3632" t="s">
        <v>3503</v>
      </c>
      <c r="H3632" t="s">
        <v>373</v>
      </c>
      <c r="I3632" t="s">
        <v>374</v>
      </c>
      <c r="J3632" t="s">
        <v>386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3499</v>
      </c>
      <c r="B3633" t="s">
        <v>3704</v>
      </c>
      <c r="C3633" t="s">
        <v>368</v>
      </c>
      <c r="D3633" t="s">
        <v>3129</v>
      </c>
      <c r="E3633" t="s">
        <v>4464</v>
      </c>
      <c r="F3633" t="s">
        <v>4451</v>
      </c>
      <c r="G3633" t="s">
        <v>3503</v>
      </c>
      <c r="H3633" t="s">
        <v>373</v>
      </c>
      <c r="I3633" t="s">
        <v>374</v>
      </c>
      <c r="J3633" t="s">
        <v>386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3499</v>
      </c>
      <c r="B3634" t="s">
        <v>3704</v>
      </c>
      <c r="C3634" t="s">
        <v>368</v>
      </c>
      <c r="D3634" t="s">
        <v>3129</v>
      </c>
      <c r="E3634" t="s">
        <v>4465</v>
      </c>
      <c r="F3634" t="s">
        <v>4451</v>
      </c>
      <c r="G3634" t="s">
        <v>3503</v>
      </c>
      <c r="H3634" t="s">
        <v>373</v>
      </c>
      <c r="I3634" t="s">
        <v>374</v>
      </c>
      <c r="J3634" t="s">
        <v>386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3499</v>
      </c>
      <c r="B3635" t="s">
        <v>3704</v>
      </c>
      <c r="C3635" t="s">
        <v>368</v>
      </c>
      <c r="D3635" t="s">
        <v>3129</v>
      </c>
      <c r="E3635" t="s">
        <v>4466</v>
      </c>
      <c r="F3635" t="s">
        <v>4451</v>
      </c>
      <c r="G3635" t="s">
        <v>3503</v>
      </c>
      <c r="H3635" t="s">
        <v>373</v>
      </c>
      <c r="I3635" t="s">
        <v>374</v>
      </c>
      <c r="J3635" t="s">
        <v>386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4467</v>
      </c>
      <c r="B3636" t="s">
        <v>4468</v>
      </c>
      <c r="C3636" t="s">
        <v>368</v>
      </c>
      <c r="D3636" t="s">
        <v>523</v>
      </c>
      <c r="E3636" t="s">
        <v>4469</v>
      </c>
      <c r="F3636" t="s">
        <v>4470</v>
      </c>
      <c r="G3636" t="s">
        <v>4467</v>
      </c>
      <c r="H3636" t="s">
        <v>458</v>
      </c>
      <c r="I3636" t="s">
        <v>374</v>
      </c>
      <c r="J3636" t="s">
        <v>386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4467</v>
      </c>
      <c r="B3637" t="s">
        <v>4468</v>
      </c>
      <c r="C3637" t="s">
        <v>368</v>
      </c>
      <c r="D3637" t="s">
        <v>523</v>
      </c>
      <c r="E3637" t="s">
        <v>4471</v>
      </c>
      <c r="F3637" t="s">
        <v>4470</v>
      </c>
      <c r="G3637" t="s">
        <v>4467</v>
      </c>
      <c r="H3637" t="s">
        <v>458</v>
      </c>
      <c r="I3637" t="s">
        <v>374</v>
      </c>
      <c r="J3637" t="s">
        <v>386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4467</v>
      </c>
      <c r="B3638" t="s">
        <v>4468</v>
      </c>
      <c r="C3638" t="s">
        <v>368</v>
      </c>
      <c r="D3638" t="s">
        <v>523</v>
      </c>
      <c r="E3638" t="s">
        <v>4472</v>
      </c>
      <c r="F3638" t="s">
        <v>4470</v>
      </c>
      <c r="G3638" t="s">
        <v>4467</v>
      </c>
      <c r="H3638" t="s">
        <v>458</v>
      </c>
      <c r="I3638" t="s">
        <v>374</v>
      </c>
      <c r="J3638" t="s">
        <v>386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4467</v>
      </c>
      <c r="B3639" t="s">
        <v>4468</v>
      </c>
      <c r="C3639" t="s">
        <v>368</v>
      </c>
      <c r="D3639" t="s">
        <v>523</v>
      </c>
      <c r="E3639" t="s">
        <v>4473</v>
      </c>
      <c r="F3639" t="s">
        <v>4470</v>
      </c>
      <c r="G3639" t="s">
        <v>4467</v>
      </c>
      <c r="H3639" t="s">
        <v>458</v>
      </c>
      <c r="I3639" t="s">
        <v>374</v>
      </c>
      <c r="J3639" t="s">
        <v>386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4467</v>
      </c>
      <c r="B3640" t="s">
        <v>4468</v>
      </c>
      <c r="C3640" t="s">
        <v>368</v>
      </c>
      <c r="D3640" t="s">
        <v>523</v>
      </c>
      <c r="E3640" t="s">
        <v>4474</v>
      </c>
      <c r="F3640" t="s">
        <v>4470</v>
      </c>
      <c r="G3640" t="s">
        <v>4467</v>
      </c>
      <c r="H3640" t="s">
        <v>458</v>
      </c>
      <c r="I3640" t="s">
        <v>374</v>
      </c>
      <c r="J3640" t="s">
        <v>386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4467</v>
      </c>
      <c r="B3641" t="s">
        <v>4468</v>
      </c>
      <c r="C3641" t="s">
        <v>368</v>
      </c>
      <c r="D3641" t="s">
        <v>523</v>
      </c>
      <c r="E3641" t="s">
        <v>4475</v>
      </c>
      <c r="F3641" t="s">
        <v>4470</v>
      </c>
      <c r="G3641" t="s">
        <v>4467</v>
      </c>
      <c r="H3641" t="s">
        <v>458</v>
      </c>
      <c r="I3641" t="s">
        <v>374</v>
      </c>
      <c r="J3641" t="s">
        <v>386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4467</v>
      </c>
      <c r="B3642" t="s">
        <v>4468</v>
      </c>
      <c r="C3642" t="s">
        <v>368</v>
      </c>
      <c r="D3642" t="s">
        <v>523</v>
      </c>
      <c r="E3642" t="s">
        <v>4476</v>
      </c>
      <c r="F3642" t="s">
        <v>4470</v>
      </c>
      <c r="G3642" t="s">
        <v>4467</v>
      </c>
      <c r="H3642" t="s">
        <v>458</v>
      </c>
      <c r="I3642" t="s">
        <v>374</v>
      </c>
      <c r="J3642" t="s">
        <v>386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4467</v>
      </c>
      <c r="B3643" t="s">
        <v>4468</v>
      </c>
      <c r="C3643" t="s">
        <v>368</v>
      </c>
      <c r="D3643" t="s">
        <v>523</v>
      </c>
      <c r="E3643" t="s">
        <v>4477</v>
      </c>
      <c r="F3643" t="s">
        <v>4470</v>
      </c>
      <c r="G3643" t="s">
        <v>4467</v>
      </c>
      <c r="H3643" t="s">
        <v>458</v>
      </c>
      <c r="I3643" t="s">
        <v>374</v>
      </c>
      <c r="J3643" t="s">
        <v>386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4467</v>
      </c>
      <c r="B3644" t="s">
        <v>4468</v>
      </c>
      <c r="C3644" t="s">
        <v>368</v>
      </c>
      <c r="D3644" t="s">
        <v>523</v>
      </c>
      <c r="E3644" t="s">
        <v>4478</v>
      </c>
      <c r="F3644" t="s">
        <v>4470</v>
      </c>
      <c r="G3644" t="s">
        <v>4467</v>
      </c>
      <c r="H3644" t="s">
        <v>458</v>
      </c>
      <c r="I3644" t="s">
        <v>374</v>
      </c>
      <c r="J3644" t="s">
        <v>386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4467</v>
      </c>
      <c r="B3645" t="s">
        <v>4468</v>
      </c>
      <c r="C3645" t="s">
        <v>368</v>
      </c>
      <c r="D3645" t="s">
        <v>523</v>
      </c>
      <c r="E3645" t="s">
        <v>4479</v>
      </c>
      <c r="F3645" t="s">
        <v>4470</v>
      </c>
      <c r="G3645" t="s">
        <v>4467</v>
      </c>
      <c r="H3645" t="s">
        <v>458</v>
      </c>
      <c r="I3645" t="s">
        <v>374</v>
      </c>
      <c r="J3645" t="s">
        <v>386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4467</v>
      </c>
      <c r="B3646" t="s">
        <v>4468</v>
      </c>
      <c r="C3646" t="s">
        <v>368</v>
      </c>
      <c r="D3646" t="s">
        <v>523</v>
      </c>
      <c r="E3646" t="s">
        <v>4480</v>
      </c>
      <c r="F3646" t="s">
        <v>4470</v>
      </c>
      <c r="G3646" t="s">
        <v>4467</v>
      </c>
      <c r="H3646" t="s">
        <v>458</v>
      </c>
      <c r="I3646" t="s">
        <v>374</v>
      </c>
      <c r="J3646" t="s">
        <v>386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4467</v>
      </c>
      <c r="B3647" t="s">
        <v>4468</v>
      </c>
      <c r="C3647" t="s">
        <v>368</v>
      </c>
      <c r="D3647" t="s">
        <v>523</v>
      </c>
      <c r="E3647" t="s">
        <v>4481</v>
      </c>
      <c r="F3647" t="s">
        <v>4470</v>
      </c>
      <c r="G3647" t="s">
        <v>4467</v>
      </c>
      <c r="H3647" t="s">
        <v>458</v>
      </c>
      <c r="I3647" t="s">
        <v>374</v>
      </c>
      <c r="J3647" t="s">
        <v>386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4467</v>
      </c>
      <c r="B3648" t="s">
        <v>4468</v>
      </c>
      <c r="C3648" t="s">
        <v>368</v>
      </c>
      <c r="D3648" t="s">
        <v>523</v>
      </c>
      <c r="E3648" t="s">
        <v>4482</v>
      </c>
      <c r="F3648" t="s">
        <v>4470</v>
      </c>
      <c r="G3648" t="s">
        <v>4467</v>
      </c>
      <c r="H3648" t="s">
        <v>458</v>
      </c>
      <c r="I3648" t="s">
        <v>374</v>
      </c>
      <c r="J3648" t="s">
        <v>386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4467</v>
      </c>
      <c r="B3649" t="s">
        <v>4468</v>
      </c>
      <c r="C3649" t="s">
        <v>609</v>
      </c>
      <c r="D3649" t="s">
        <v>523</v>
      </c>
      <c r="E3649" t="s">
        <v>4483</v>
      </c>
      <c r="F3649" t="s">
        <v>4470</v>
      </c>
      <c r="G3649" t="s">
        <v>4467</v>
      </c>
      <c r="H3649" t="s">
        <v>458</v>
      </c>
      <c r="I3649" t="s">
        <v>374</v>
      </c>
      <c r="J3649" t="s">
        <v>386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4467</v>
      </c>
      <c r="B3650" t="s">
        <v>4468</v>
      </c>
      <c r="C3650" t="s">
        <v>609</v>
      </c>
      <c r="D3650" t="s">
        <v>523</v>
      </c>
      <c r="E3650" t="s">
        <v>4484</v>
      </c>
      <c r="F3650" t="s">
        <v>4470</v>
      </c>
      <c r="G3650" t="s">
        <v>4467</v>
      </c>
      <c r="H3650" t="s">
        <v>458</v>
      </c>
      <c r="I3650" t="s">
        <v>374</v>
      </c>
      <c r="J3650" t="s">
        <v>386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4467</v>
      </c>
      <c r="B3651" t="s">
        <v>4468</v>
      </c>
      <c r="C3651" t="s">
        <v>609</v>
      </c>
      <c r="D3651" t="s">
        <v>523</v>
      </c>
      <c r="E3651" t="s">
        <v>4485</v>
      </c>
      <c r="F3651" t="s">
        <v>4470</v>
      </c>
      <c r="G3651" t="s">
        <v>4467</v>
      </c>
      <c r="H3651" t="s">
        <v>458</v>
      </c>
      <c r="I3651" t="s">
        <v>374</v>
      </c>
      <c r="J3651" t="s">
        <v>386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4467</v>
      </c>
      <c r="B3652" t="s">
        <v>4468</v>
      </c>
      <c r="C3652" t="s">
        <v>609</v>
      </c>
      <c r="D3652" t="s">
        <v>523</v>
      </c>
      <c r="E3652" t="s">
        <v>4486</v>
      </c>
      <c r="F3652" t="s">
        <v>4470</v>
      </c>
      <c r="G3652" t="s">
        <v>4467</v>
      </c>
      <c r="H3652" t="s">
        <v>458</v>
      </c>
      <c r="I3652" t="s">
        <v>374</v>
      </c>
      <c r="J3652" t="s">
        <v>386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4467</v>
      </c>
      <c r="B3653" t="s">
        <v>4468</v>
      </c>
      <c r="C3653" t="s">
        <v>609</v>
      </c>
      <c r="D3653" t="s">
        <v>523</v>
      </c>
      <c r="E3653" t="s">
        <v>4487</v>
      </c>
      <c r="F3653" t="s">
        <v>4470</v>
      </c>
      <c r="G3653" t="s">
        <v>4467</v>
      </c>
      <c r="H3653" t="s">
        <v>458</v>
      </c>
      <c r="I3653" t="s">
        <v>374</v>
      </c>
      <c r="J3653" t="s">
        <v>386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4467</v>
      </c>
      <c r="B3654" t="s">
        <v>4468</v>
      </c>
      <c r="C3654" t="s">
        <v>368</v>
      </c>
      <c r="D3654" t="s">
        <v>523</v>
      </c>
      <c r="E3654" t="s">
        <v>4488</v>
      </c>
      <c r="F3654" t="s">
        <v>4470</v>
      </c>
      <c r="G3654" t="s">
        <v>4467</v>
      </c>
      <c r="H3654" t="s">
        <v>458</v>
      </c>
      <c r="I3654" t="s">
        <v>374</v>
      </c>
      <c r="J3654" t="s">
        <v>386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4467</v>
      </c>
      <c r="B3655" t="s">
        <v>4468</v>
      </c>
      <c r="C3655" t="s">
        <v>368</v>
      </c>
      <c r="D3655" t="s">
        <v>523</v>
      </c>
      <c r="E3655" t="s">
        <v>4489</v>
      </c>
      <c r="F3655" t="s">
        <v>4470</v>
      </c>
      <c r="G3655" t="s">
        <v>4467</v>
      </c>
      <c r="H3655" t="s">
        <v>458</v>
      </c>
      <c r="I3655" t="s">
        <v>374</v>
      </c>
      <c r="J3655" t="s">
        <v>386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4467</v>
      </c>
      <c r="B3656" t="s">
        <v>4490</v>
      </c>
      <c r="C3656" t="s">
        <v>368</v>
      </c>
      <c r="D3656" t="s">
        <v>523</v>
      </c>
      <c r="E3656" t="s">
        <v>4491</v>
      </c>
      <c r="F3656" t="s">
        <v>4492</v>
      </c>
      <c r="G3656" t="s">
        <v>4467</v>
      </c>
      <c r="H3656" t="s">
        <v>458</v>
      </c>
      <c r="I3656" t="s">
        <v>374</v>
      </c>
      <c r="J3656" t="s">
        <v>2053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4467</v>
      </c>
      <c r="B3657" t="s">
        <v>4490</v>
      </c>
      <c r="C3657" t="s">
        <v>368</v>
      </c>
      <c r="D3657" t="s">
        <v>523</v>
      </c>
      <c r="E3657" t="s">
        <v>4493</v>
      </c>
      <c r="F3657" t="s">
        <v>4492</v>
      </c>
      <c r="G3657" t="s">
        <v>4467</v>
      </c>
      <c r="H3657" t="s">
        <v>458</v>
      </c>
      <c r="I3657" t="s">
        <v>374</v>
      </c>
      <c r="J3657" t="s">
        <v>2053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4467</v>
      </c>
      <c r="B3658" t="s">
        <v>4490</v>
      </c>
      <c r="C3658" t="s">
        <v>368</v>
      </c>
      <c r="D3658" t="s">
        <v>523</v>
      </c>
      <c r="E3658" t="s">
        <v>4494</v>
      </c>
      <c r="F3658" t="s">
        <v>4492</v>
      </c>
      <c r="G3658" t="s">
        <v>4467</v>
      </c>
      <c r="H3658" t="s">
        <v>458</v>
      </c>
      <c r="I3658" t="s">
        <v>374</v>
      </c>
      <c r="J3658" t="s">
        <v>2053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4467</v>
      </c>
      <c r="B3659" t="s">
        <v>4490</v>
      </c>
      <c r="C3659" t="s">
        <v>368</v>
      </c>
      <c r="D3659" t="s">
        <v>523</v>
      </c>
      <c r="E3659" t="s">
        <v>4495</v>
      </c>
      <c r="F3659" t="s">
        <v>4492</v>
      </c>
      <c r="G3659" t="s">
        <v>4467</v>
      </c>
      <c r="H3659" t="s">
        <v>458</v>
      </c>
      <c r="I3659" t="s">
        <v>374</v>
      </c>
      <c r="J3659" t="s">
        <v>2053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4467</v>
      </c>
      <c r="B3660" t="s">
        <v>4490</v>
      </c>
      <c r="C3660" t="s">
        <v>368</v>
      </c>
      <c r="D3660" t="s">
        <v>523</v>
      </c>
      <c r="E3660" t="s">
        <v>4496</v>
      </c>
      <c r="F3660" t="s">
        <v>4492</v>
      </c>
      <c r="G3660" t="s">
        <v>4467</v>
      </c>
      <c r="H3660" t="s">
        <v>458</v>
      </c>
      <c r="I3660" t="s">
        <v>374</v>
      </c>
      <c r="J3660" t="s">
        <v>2053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4467</v>
      </c>
      <c r="B3661" t="s">
        <v>4490</v>
      </c>
      <c r="C3661" t="s">
        <v>368</v>
      </c>
      <c r="D3661" t="s">
        <v>523</v>
      </c>
      <c r="E3661" t="s">
        <v>4497</v>
      </c>
      <c r="F3661" t="s">
        <v>4492</v>
      </c>
      <c r="G3661" t="s">
        <v>4467</v>
      </c>
      <c r="H3661" t="s">
        <v>458</v>
      </c>
      <c r="I3661" t="s">
        <v>374</v>
      </c>
      <c r="J3661" t="s">
        <v>2053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4467</v>
      </c>
      <c r="B3662" t="s">
        <v>4490</v>
      </c>
      <c r="C3662" t="s">
        <v>368</v>
      </c>
      <c r="D3662" t="s">
        <v>523</v>
      </c>
      <c r="E3662" t="s">
        <v>4498</v>
      </c>
      <c r="F3662" t="s">
        <v>4492</v>
      </c>
      <c r="G3662" t="s">
        <v>4467</v>
      </c>
      <c r="H3662" t="s">
        <v>458</v>
      </c>
      <c r="I3662" t="s">
        <v>374</v>
      </c>
      <c r="J3662" t="s">
        <v>2053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4467</v>
      </c>
      <c r="B3663" t="s">
        <v>4490</v>
      </c>
      <c r="C3663" t="s">
        <v>368</v>
      </c>
      <c r="D3663" t="s">
        <v>523</v>
      </c>
      <c r="E3663" t="s">
        <v>4499</v>
      </c>
      <c r="F3663" t="s">
        <v>4492</v>
      </c>
      <c r="G3663" t="s">
        <v>4467</v>
      </c>
      <c r="H3663" t="s">
        <v>458</v>
      </c>
      <c r="I3663" t="s">
        <v>374</v>
      </c>
      <c r="J3663" t="s">
        <v>2053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4467</v>
      </c>
      <c r="B3664" t="s">
        <v>4490</v>
      </c>
      <c r="C3664" t="s">
        <v>368</v>
      </c>
      <c r="D3664" t="s">
        <v>523</v>
      </c>
      <c r="E3664" t="s">
        <v>4500</v>
      </c>
      <c r="F3664" t="s">
        <v>4492</v>
      </c>
      <c r="G3664" t="s">
        <v>4467</v>
      </c>
      <c r="H3664" t="s">
        <v>458</v>
      </c>
      <c r="I3664" t="s">
        <v>374</v>
      </c>
      <c r="J3664" t="s">
        <v>2053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4467</v>
      </c>
      <c r="B3665" t="s">
        <v>4490</v>
      </c>
      <c r="C3665" t="s">
        <v>368</v>
      </c>
      <c r="D3665" t="s">
        <v>523</v>
      </c>
      <c r="E3665" t="s">
        <v>4501</v>
      </c>
      <c r="F3665" t="s">
        <v>4492</v>
      </c>
      <c r="G3665" t="s">
        <v>4467</v>
      </c>
      <c r="H3665" t="s">
        <v>458</v>
      </c>
      <c r="I3665" t="s">
        <v>374</v>
      </c>
      <c r="J3665" t="s">
        <v>2053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4467</v>
      </c>
      <c r="B3666" t="s">
        <v>4490</v>
      </c>
      <c r="C3666" t="s">
        <v>368</v>
      </c>
      <c r="D3666" t="s">
        <v>523</v>
      </c>
      <c r="E3666" t="s">
        <v>4502</v>
      </c>
      <c r="F3666" t="s">
        <v>4492</v>
      </c>
      <c r="G3666" t="s">
        <v>4467</v>
      </c>
      <c r="H3666" t="s">
        <v>458</v>
      </c>
      <c r="I3666" t="s">
        <v>374</v>
      </c>
      <c r="J3666" t="s">
        <v>2053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4467</v>
      </c>
      <c r="B3667" t="s">
        <v>4490</v>
      </c>
      <c r="C3667" t="s">
        <v>368</v>
      </c>
      <c r="D3667" t="s">
        <v>523</v>
      </c>
      <c r="E3667" t="s">
        <v>4503</v>
      </c>
      <c r="F3667" t="s">
        <v>4492</v>
      </c>
      <c r="G3667" t="s">
        <v>4467</v>
      </c>
      <c r="H3667" t="s">
        <v>458</v>
      </c>
      <c r="I3667" t="s">
        <v>374</v>
      </c>
      <c r="J3667" t="s">
        <v>2053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4467</v>
      </c>
      <c r="B3668" t="s">
        <v>4490</v>
      </c>
      <c r="C3668" t="s">
        <v>368</v>
      </c>
      <c r="D3668" t="s">
        <v>523</v>
      </c>
      <c r="E3668" t="s">
        <v>4504</v>
      </c>
      <c r="F3668" t="s">
        <v>4492</v>
      </c>
      <c r="G3668" t="s">
        <v>4467</v>
      </c>
      <c r="H3668" t="s">
        <v>458</v>
      </c>
      <c r="I3668" t="s">
        <v>374</v>
      </c>
      <c r="J3668" t="s">
        <v>2053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4467</v>
      </c>
      <c r="B3669" t="s">
        <v>4490</v>
      </c>
      <c r="C3669" t="s">
        <v>609</v>
      </c>
      <c r="D3669" t="s">
        <v>523</v>
      </c>
      <c r="E3669" t="s">
        <v>4505</v>
      </c>
      <c r="F3669" t="s">
        <v>4492</v>
      </c>
      <c r="G3669" t="s">
        <v>4467</v>
      </c>
      <c r="H3669" t="s">
        <v>458</v>
      </c>
      <c r="I3669" t="s">
        <v>374</v>
      </c>
      <c r="J3669" t="s">
        <v>2053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4467</v>
      </c>
      <c r="B3670" t="s">
        <v>4490</v>
      </c>
      <c r="C3670" t="s">
        <v>609</v>
      </c>
      <c r="D3670" t="s">
        <v>523</v>
      </c>
      <c r="E3670" t="s">
        <v>4506</v>
      </c>
      <c r="F3670" t="s">
        <v>4492</v>
      </c>
      <c r="G3670" t="s">
        <v>4467</v>
      </c>
      <c r="H3670" t="s">
        <v>458</v>
      </c>
      <c r="I3670" t="s">
        <v>374</v>
      </c>
      <c r="J3670" t="s">
        <v>2053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4467</v>
      </c>
      <c r="B3671" t="s">
        <v>4490</v>
      </c>
      <c r="C3671" t="s">
        <v>609</v>
      </c>
      <c r="D3671" t="s">
        <v>523</v>
      </c>
      <c r="E3671" t="s">
        <v>4507</v>
      </c>
      <c r="F3671" t="s">
        <v>4492</v>
      </c>
      <c r="G3671" t="s">
        <v>4467</v>
      </c>
      <c r="H3671" t="s">
        <v>458</v>
      </c>
      <c r="I3671" t="s">
        <v>374</v>
      </c>
      <c r="J3671" t="s">
        <v>2053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4467</v>
      </c>
      <c r="B3672" t="s">
        <v>4490</v>
      </c>
      <c r="C3672" t="s">
        <v>609</v>
      </c>
      <c r="D3672" t="s">
        <v>523</v>
      </c>
      <c r="E3672" t="s">
        <v>4508</v>
      </c>
      <c r="F3672" t="s">
        <v>4492</v>
      </c>
      <c r="G3672" t="s">
        <v>4467</v>
      </c>
      <c r="H3672" t="s">
        <v>458</v>
      </c>
      <c r="I3672" t="s">
        <v>374</v>
      </c>
      <c r="J3672" t="s">
        <v>2053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4467</v>
      </c>
      <c r="B3673" t="s">
        <v>4490</v>
      </c>
      <c r="C3673" t="s">
        <v>609</v>
      </c>
      <c r="D3673" t="s">
        <v>523</v>
      </c>
      <c r="E3673" t="s">
        <v>4509</v>
      </c>
      <c r="F3673" t="s">
        <v>4492</v>
      </c>
      <c r="G3673" t="s">
        <v>4467</v>
      </c>
      <c r="H3673" t="s">
        <v>458</v>
      </c>
      <c r="I3673" t="s">
        <v>374</v>
      </c>
      <c r="J3673" t="s">
        <v>2053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4467</v>
      </c>
      <c r="B3674" t="s">
        <v>4490</v>
      </c>
      <c r="C3674" t="s">
        <v>368</v>
      </c>
      <c r="D3674" t="s">
        <v>523</v>
      </c>
      <c r="E3674" t="s">
        <v>4510</v>
      </c>
      <c r="F3674" t="s">
        <v>4492</v>
      </c>
      <c r="G3674" t="s">
        <v>4467</v>
      </c>
      <c r="H3674" t="s">
        <v>458</v>
      </c>
      <c r="I3674" t="s">
        <v>374</v>
      </c>
      <c r="J3674" t="s">
        <v>2053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4467</v>
      </c>
      <c r="B3675" t="s">
        <v>4490</v>
      </c>
      <c r="C3675" t="s">
        <v>368</v>
      </c>
      <c r="D3675" t="s">
        <v>523</v>
      </c>
      <c r="E3675" t="s">
        <v>4511</v>
      </c>
      <c r="F3675" t="s">
        <v>4492</v>
      </c>
      <c r="G3675" t="s">
        <v>4467</v>
      </c>
      <c r="H3675" t="s">
        <v>458</v>
      </c>
      <c r="I3675" t="s">
        <v>374</v>
      </c>
      <c r="J3675" t="s">
        <v>2053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2909</v>
      </c>
      <c r="B3676" t="s">
        <v>2910</v>
      </c>
      <c r="C3676" t="s">
        <v>2909</v>
      </c>
      <c r="D3676" t="s">
        <v>2911</v>
      </c>
      <c r="E3676" t="s">
        <v>4512</v>
      </c>
      <c r="F3676" t="s">
        <v>2910</v>
      </c>
      <c r="G3676" t="s">
        <v>2910</v>
      </c>
      <c r="H3676" t="s">
        <v>374</v>
      </c>
      <c r="I3676" t="s">
        <v>374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2347</v>
      </c>
      <c r="B3677" t="s">
        <v>4513</v>
      </c>
      <c r="C3677" t="s">
        <v>1341</v>
      </c>
      <c r="D3677" t="s">
        <v>523</v>
      </c>
      <c r="E3677" t="s">
        <v>4514</v>
      </c>
      <c r="F3677" t="s">
        <v>4515</v>
      </c>
      <c r="G3677" t="s">
        <v>2351</v>
      </c>
      <c r="H3677" t="s">
        <v>1341</v>
      </c>
      <c r="I3677" t="s">
        <v>374</v>
      </c>
      <c r="J3677" t="s">
        <v>1343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2909</v>
      </c>
      <c r="B3678" t="s">
        <v>2956</v>
      </c>
      <c r="C3678" t="s">
        <v>2909</v>
      </c>
      <c r="D3678" t="s">
        <v>2911</v>
      </c>
      <c r="E3678" t="s">
        <v>4516</v>
      </c>
      <c r="F3678" t="s">
        <v>2956</v>
      </c>
      <c r="G3678" t="s">
        <v>374</v>
      </c>
      <c r="H3678" t="s">
        <v>374</v>
      </c>
      <c r="I3678" t="s">
        <v>374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2909</v>
      </c>
      <c r="B3679" t="s">
        <v>2910</v>
      </c>
      <c r="C3679" t="s">
        <v>2909</v>
      </c>
      <c r="D3679" t="s">
        <v>2911</v>
      </c>
      <c r="E3679" t="s">
        <v>4517</v>
      </c>
      <c r="F3679" t="s">
        <v>2910</v>
      </c>
      <c r="G3679" t="s">
        <v>2910</v>
      </c>
      <c r="H3679" t="s">
        <v>374</v>
      </c>
      <c r="I3679" t="s">
        <v>374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4239</v>
      </c>
      <c r="B3680" t="s">
        <v>4240</v>
      </c>
      <c r="C3680" t="s">
        <v>368</v>
      </c>
      <c r="D3680" t="s">
        <v>3129</v>
      </c>
      <c r="E3680" t="s">
        <v>4518</v>
      </c>
      <c r="F3680" t="s">
        <v>4519</v>
      </c>
      <c r="G3680" t="s">
        <v>4243</v>
      </c>
      <c r="H3680" t="s">
        <v>3723</v>
      </c>
      <c r="I3680" t="s">
        <v>4098</v>
      </c>
      <c r="J3680" t="s">
        <v>429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4239</v>
      </c>
      <c r="B3681" t="s">
        <v>4240</v>
      </c>
      <c r="C3681" t="s">
        <v>368</v>
      </c>
      <c r="D3681" t="s">
        <v>3129</v>
      </c>
      <c r="E3681" t="s">
        <v>4520</v>
      </c>
      <c r="F3681" t="s">
        <v>4519</v>
      </c>
      <c r="G3681" t="s">
        <v>4243</v>
      </c>
      <c r="H3681" t="s">
        <v>3723</v>
      </c>
      <c r="I3681" t="s">
        <v>4098</v>
      </c>
      <c r="J3681" t="s">
        <v>429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4239</v>
      </c>
      <c r="B3682" t="s">
        <v>4240</v>
      </c>
      <c r="C3682" t="s">
        <v>368</v>
      </c>
      <c r="D3682" t="s">
        <v>3129</v>
      </c>
      <c r="E3682" t="s">
        <v>4521</v>
      </c>
      <c r="F3682" t="s">
        <v>4519</v>
      </c>
      <c r="G3682" t="s">
        <v>4243</v>
      </c>
      <c r="H3682" t="s">
        <v>3723</v>
      </c>
      <c r="I3682" t="s">
        <v>4098</v>
      </c>
      <c r="J3682" t="s">
        <v>429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4239</v>
      </c>
      <c r="B3683" t="s">
        <v>4240</v>
      </c>
      <c r="C3683" t="s">
        <v>368</v>
      </c>
      <c r="D3683" t="s">
        <v>3129</v>
      </c>
      <c r="E3683" t="s">
        <v>4522</v>
      </c>
      <c r="F3683" t="s">
        <v>4519</v>
      </c>
      <c r="G3683" t="s">
        <v>4243</v>
      </c>
      <c r="H3683" t="s">
        <v>3723</v>
      </c>
      <c r="I3683" t="s">
        <v>4098</v>
      </c>
      <c r="J3683" t="s">
        <v>429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4239</v>
      </c>
      <c r="B3684" t="s">
        <v>4240</v>
      </c>
      <c r="C3684" t="s">
        <v>368</v>
      </c>
      <c r="D3684" t="s">
        <v>3129</v>
      </c>
      <c r="E3684" t="s">
        <v>4523</v>
      </c>
      <c r="F3684" t="s">
        <v>4519</v>
      </c>
      <c r="G3684" t="s">
        <v>4243</v>
      </c>
      <c r="H3684" t="s">
        <v>3723</v>
      </c>
      <c r="I3684" t="s">
        <v>4098</v>
      </c>
      <c r="J3684" t="s">
        <v>429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2909</v>
      </c>
      <c r="B3685" t="s">
        <v>2910</v>
      </c>
      <c r="C3685" t="s">
        <v>2909</v>
      </c>
      <c r="D3685" t="s">
        <v>2911</v>
      </c>
      <c r="E3685" t="s">
        <v>4524</v>
      </c>
      <c r="F3685" t="s">
        <v>2910</v>
      </c>
      <c r="G3685" t="s">
        <v>2910</v>
      </c>
      <c r="H3685" t="s">
        <v>374</v>
      </c>
      <c r="I3685" t="s">
        <v>374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616</v>
      </c>
      <c r="B3686" t="s">
        <v>1092</v>
      </c>
      <c r="C3686" t="s">
        <v>368</v>
      </c>
      <c r="D3686" t="s">
        <v>523</v>
      </c>
      <c r="E3686" t="s">
        <v>4525</v>
      </c>
      <c r="F3686" t="s">
        <v>1094</v>
      </c>
      <c r="G3686" t="s">
        <v>616</v>
      </c>
      <c r="H3686" t="s">
        <v>458</v>
      </c>
      <c r="I3686" t="s">
        <v>374</v>
      </c>
      <c r="J3686" t="s">
        <v>1095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616</v>
      </c>
      <c r="B3687" t="s">
        <v>1092</v>
      </c>
      <c r="C3687" t="s">
        <v>368</v>
      </c>
      <c r="D3687" t="s">
        <v>523</v>
      </c>
      <c r="E3687" t="s">
        <v>4526</v>
      </c>
      <c r="F3687" t="s">
        <v>1094</v>
      </c>
      <c r="G3687" t="s">
        <v>616</v>
      </c>
      <c r="H3687" t="s">
        <v>458</v>
      </c>
      <c r="I3687" t="s">
        <v>374</v>
      </c>
      <c r="J3687" t="s">
        <v>1095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616</v>
      </c>
      <c r="B3688" t="s">
        <v>1092</v>
      </c>
      <c r="C3688" t="s">
        <v>368</v>
      </c>
      <c r="D3688" t="s">
        <v>523</v>
      </c>
      <c r="E3688" t="s">
        <v>4527</v>
      </c>
      <c r="F3688" t="s">
        <v>1094</v>
      </c>
      <c r="G3688" t="s">
        <v>616</v>
      </c>
      <c r="H3688" t="s">
        <v>458</v>
      </c>
      <c r="I3688" t="s">
        <v>374</v>
      </c>
      <c r="J3688" t="s">
        <v>1095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616</v>
      </c>
      <c r="B3689" t="s">
        <v>1092</v>
      </c>
      <c r="C3689" t="s">
        <v>368</v>
      </c>
      <c r="D3689" t="s">
        <v>523</v>
      </c>
      <c r="E3689" t="s">
        <v>4528</v>
      </c>
      <c r="F3689" t="s">
        <v>1094</v>
      </c>
      <c r="G3689" t="s">
        <v>616</v>
      </c>
      <c r="H3689" t="s">
        <v>458</v>
      </c>
      <c r="I3689" t="s">
        <v>374</v>
      </c>
      <c r="J3689" t="s">
        <v>1095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616</v>
      </c>
      <c r="B3690" t="s">
        <v>1092</v>
      </c>
      <c r="C3690" t="s">
        <v>368</v>
      </c>
      <c r="D3690" t="s">
        <v>523</v>
      </c>
      <c r="E3690" t="s">
        <v>4529</v>
      </c>
      <c r="F3690" t="s">
        <v>1094</v>
      </c>
      <c r="G3690" t="s">
        <v>616</v>
      </c>
      <c r="H3690" t="s">
        <v>458</v>
      </c>
      <c r="I3690" t="s">
        <v>374</v>
      </c>
      <c r="J3690" t="s">
        <v>1095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616</v>
      </c>
      <c r="B3691" t="s">
        <v>1092</v>
      </c>
      <c r="C3691" t="s">
        <v>368</v>
      </c>
      <c r="D3691" t="s">
        <v>523</v>
      </c>
      <c r="E3691" t="s">
        <v>4530</v>
      </c>
      <c r="F3691" t="s">
        <v>1094</v>
      </c>
      <c r="G3691" t="s">
        <v>616</v>
      </c>
      <c r="H3691" t="s">
        <v>458</v>
      </c>
      <c r="I3691" t="s">
        <v>374</v>
      </c>
      <c r="J3691" t="s">
        <v>1095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616</v>
      </c>
      <c r="B3692" t="s">
        <v>1092</v>
      </c>
      <c r="C3692" t="s">
        <v>368</v>
      </c>
      <c r="D3692" t="s">
        <v>523</v>
      </c>
      <c r="E3692" t="s">
        <v>4531</v>
      </c>
      <c r="F3692" t="s">
        <v>1094</v>
      </c>
      <c r="G3692" t="s">
        <v>616</v>
      </c>
      <c r="H3692" t="s">
        <v>458</v>
      </c>
      <c r="I3692" t="s">
        <v>374</v>
      </c>
      <c r="J3692" t="s">
        <v>1095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616</v>
      </c>
      <c r="B3693" t="s">
        <v>1092</v>
      </c>
      <c r="C3693" t="s">
        <v>368</v>
      </c>
      <c r="D3693" t="s">
        <v>523</v>
      </c>
      <c r="E3693" t="s">
        <v>4532</v>
      </c>
      <c r="F3693" t="s">
        <v>1094</v>
      </c>
      <c r="G3693" t="s">
        <v>616</v>
      </c>
      <c r="H3693" t="s">
        <v>458</v>
      </c>
      <c r="I3693" t="s">
        <v>374</v>
      </c>
      <c r="J3693" t="s">
        <v>1095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616</v>
      </c>
      <c r="B3694" t="s">
        <v>1092</v>
      </c>
      <c r="C3694" t="s">
        <v>368</v>
      </c>
      <c r="D3694" t="s">
        <v>523</v>
      </c>
      <c r="E3694" t="s">
        <v>4533</v>
      </c>
      <c r="F3694" t="s">
        <v>1094</v>
      </c>
      <c r="G3694" t="s">
        <v>616</v>
      </c>
      <c r="H3694" t="s">
        <v>458</v>
      </c>
      <c r="I3694" t="s">
        <v>374</v>
      </c>
      <c r="J3694" t="s">
        <v>1095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616</v>
      </c>
      <c r="B3695" t="s">
        <v>1092</v>
      </c>
      <c r="C3695" t="s">
        <v>368</v>
      </c>
      <c r="D3695" t="s">
        <v>523</v>
      </c>
      <c r="E3695" t="s">
        <v>4534</v>
      </c>
      <c r="F3695" t="s">
        <v>1094</v>
      </c>
      <c r="G3695" t="s">
        <v>616</v>
      </c>
      <c r="H3695" t="s">
        <v>458</v>
      </c>
      <c r="I3695" t="s">
        <v>374</v>
      </c>
      <c r="J3695" t="s">
        <v>1095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616</v>
      </c>
      <c r="B3696" t="s">
        <v>1092</v>
      </c>
      <c r="C3696" t="s">
        <v>368</v>
      </c>
      <c r="D3696" t="s">
        <v>523</v>
      </c>
      <c r="E3696" t="s">
        <v>4535</v>
      </c>
      <c r="F3696" t="s">
        <v>1094</v>
      </c>
      <c r="G3696" t="s">
        <v>616</v>
      </c>
      <c r="H3696" t="s">
        <v>458</v>
      </c>
      <c r="I3696" t="s">
        <v>374</v>
      </c>
      <c r="J3696" t="s">
        <v>1095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616</v>
      </c>
      <c r="B3697" t="s">
        <v>1092</v>
      </c>
      <c r="C3697" t="s">
        <v>368</v>
      </c>
      <c r="D3697" t="s">
        <v>523</v>
      </c>
      <c r="E3697" t="s">
        <v>4536</v>
      </c>
      <c r="F3697" t="s">
        <v>1094</v>
      </c>
      <c r="G3697" t="s">
        <v>616</v>
      </c>
      <c r="H3697" t="s">
        <v>458</v>
      </c>
      <c r="I3697" t="s">
        <v>374</v>
      </c>
      <c r="J3697" t="s">
        <v>1095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616</v>
      </c>
      <c r="B3698" t="s">
        <v>1092</v>
      </c>
      <c r="C3698" t="s">
        <v>368</v>
      </c>
      <c r="D3698" t="s">
        <v>523</v>
      </c>
      <c r="E3698" t="s">
        <v>4537</v>
      </c>
      <c r="F3698" t="s">
        <v>1094</v>
      </c>
      <c r="G3698" t="s">
        <v>616</v>
      </c>
      <c r="H3698" t="s">
        <v>458</v>
      </c>
      <c r="I3698" t="s">
        <v>374</v>
      </c>
      <c r="J3698" t="s">
        <v>1095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616</v>
      </c>
      <c r="B3699" t="s">
        <v>1092</v>
      </c>
      <c r="C3699" t="s">
        <v>609</v>
      </c>
      <c r="D3699" t="s">
        <v>523</v>
      </c>
      <c r="E3699" t="s">
        <v>4538</v>
      </c>
      <c r="F3699" t="s">
        <v>1094</v>
      </c>
      <c r="G3699" t="s">
        <v>616</v>
      </c>
      <c r="H3699" t="s">
        <v>458</v>
      </c>
      <c r="I3699" t="s">
        <v>374</v>
      </c>
      <c r="J3699" t="s">
        <v>1095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616</v>
      </c>
      <c r="B3700" t="s">
        <v>1092</v>
      </c>
      <c r="C3700" t="s">
        <v>609</v>
      </c>
      <c r="D3700" t="s">
        <v>523</v>
      </c>
      <c r="E3700" t="s">
        <v>4539</v>
      </c>
      <c r="F3700" t="s">
        <v>1094</v>
      </c>
      <c r="G3700" t="s">
        <v>616</v>
      </c>
      <c r="H3700" t="s">
        <v>458</v>
      </c>
      <c r="I3700" t="s">
        <v>374</v>
      </c>
      <c r="J3700" t="s">
        <v>1095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616</v>
      </c>
      <c r="B3701" t="s">
        <v>1092</v>
      </c>
      <c r="C3701" t="s">
        <v>609</v>
      </c>
      <c r="D3701" t="s">
        <v>523</v>
      </c>
      <c r="E3701" t="s">
        <v>4540</v>
      </c>
      <c r="F3701" t="s">
        <v>1094</v>
      </c>
      <c r="G3701" t="s">
        <v>616</v>
      </c>
      <c r="H3701" t="s">
        <v>458</v>
      </c>
      <c r="I3701" t="s">
        <v>374</v>
      </c>
      <c r="J3701" t="s">
        <v>1095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616</v>
      </c>
      <c r="B3702" t="s">
        <v>1092</v>
      </c>
      <c r="C3702" t="s">
        <v>609</v>
      </c>
      <c r="D3702" t="s">
        <v>523</v>
      </c>
      <c r="E3702" t="s">
        <v>4541</v>
      </c>
      <c r="F3702" t="s">
        <v>1094</v>
      </c>
      <c r="G3702" t="s">
        <v>616</v>
      </c>
      <c r="H3702" t="s">
        <v>458</v>
      </c>
      <c r="I3702" t="s">
        <v>374</v>
      </c>
      <c r="J3702" t="s">
        <v>1095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616</v>
      </c>
      <c r="B3703" t="s">
        <v>1092</v>
      </c>
      <c r="C3703" t="s">
        <v>609</v>
      </c>
      <c r="D3703" t="s">
        <v>523</v>
      </c>
      <c r="E3703" t="s">
        <v>4542</v>
      </c>
      <c r="F3703" t="s">
        <v>1094</v>
      </c>
      <c r="G3703" t="s">
        <v>616</v>
      </c>
      <c r="H3703" t="s">
        <v>458</v>
      </c>
      <c r="I3703" t="s">
        <v>374</v>
      </c>
      <c r="J3703" t="s">
        <v>1095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616</v>
      </c>
      <c r="B3704" t="s">
        <v>1092</v>
      </c>
      <c r="C3704" t="s">
        <v>368</v>
      </c>
      <c r="D3704" t="s">
        <v>523</v>
      </c>
      <c r="E3704" t="s">
        <v>4543</v>
      </c>
      <c r="F3704" t="s">
        <v>1094</v>
      </c>
      <c r="G3704" t="s">
        <v>616</v>
      </c>
      <c r="H3704" t="s">
        <v>458</v>
      </c>
      <c r="I3704" t="s">
        <v>374</v>
      </c>
      <c r="J3704" t="s">
        <v>1095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616</v>
      </c>
      <c r="B3705" t="s">
        <v>1092</v>
      </c>
      <c r="C3705" t="s">
        <v>368</v>
      </c>
      <c r="D3705" t="s">
        <v>523</v>
      </c>
      <c r="E3705" t="s">
        <v>4544</v>
      </c>
      <c r="F3705" t="s">
        <v>1094</v>
      </c>
      <c r="G3705" t="s">
        <v>616</v>
      </c>
      <c r="H3705" t="s">
        <v>458</v>
      </c>
      <c r="I3705" t="s">
        <v>374</v>
      </c>
      <c r="J3705" t="s">
        <v>1095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2909</v>
      </c>
      <c r="B3706" t="s">
        <v>2910</v>
      </c>
      <c r="C3706" t="s">
        <v>2909</v>
      </c>
      <c r="D3706" t="s">
        <v>2911</v>
      </c>
      <c r="E3706" t="s">
        <v>4545</v>
      </c>
      <c r="F3706" t="s">
        <v>2910</v>
      </c>
      <c r="G3706" t="s">
        <v>2910</v>
      </c>
      <c r="H3706" t="s">
        <v>374</v>
      </c>
      <c r="I3706" t="s">
        <v>374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2909</v>
      </c>
      <c r="B3707" t="s">
        <v>2910</v>
      </c>
      <c r="C3707" t="s">
        <v>2909</v>
      </c>
      <c r="D3707" t="s">
        <v>2911</v>
      </c>
      <c r="E3707" t="s">
        <v>4546</v>
      </c>
      <c r="F3707" t="s">
        <v>2910</v>
      </c>
      <c r="G3707" t="s">
        <v>2910</v>
      </c>
      <c r="H3707" t="s">
        <v>374</v>
      </c>
      <c r="I3707" t="s">
        <v>374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2909</v>
      </c>
      <c r="B3708" t="s">
        <v>2956</v>
      </c>
      <c r="C3708" t="s">
        <v>2909</v>
      </c>
      <c r="D3708" t="s">
        <v>2911</v>
      </c>
      <c r="E3708" t="s">
        <v>4547</v>
      </c>
      <c r="F3708" t="s">
        <v>2956</v>
      </c>
      <c r="G3708" t="s">
        <v>374</v>
      </c>
      <c r="H3708" t="s">
        <v>374</v>
      </c>
      <c r="I3708" t="s">
        <v>374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4239</v>
      </c>
      <c r="B3709" t="s">
        <v>4240</v>
      </c>
      <c r="C3709" t="s">
        <v>368</v>
      </c>
      <c r="D3709" t="s">
        <v>3129</v>
      </c>
      <c r="E3709" t="s">
        <v>4548</v>
      </c>
      <c r="F3709" t="s">
        <v>4549</v>
      </c>
      <c r="G3709" t="s">
        <v>4243</v>
      </c>
      <c r="H3709" t="s">
        <v>3723</v>
      </c>
      <c r="I3709" t="s">
        <v>4550</v>
      </c>
      <c r="J3709" t="s">
        <v>429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4239</v>
      </c>
      <c r="B3710" t="s">
        <v>4240</v>
      </c>
      <c r="C3710" t="s">
        <v>368</v>
      </c>
      <c r="D3710" t="s">
        <v>3129</v>
      </c>
      <c r="E3710" t="s">
        <v>4551</v>
      </c>
      <c r="F3710" t="s">
        <v>4549</v>
      </c>
      <c r="G3710" t="s">
        <v>4243</v>
      </c>
      <c r="H3710" t="s">
        <v>3723</v>
      </c>
      <c r="I3710" t="s">
        <v>4550</v>
      </c>
      <c r="J3710" t="s">
        <v>429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4239</v>
      </c>
      <c r="B3711" t="s">
        <v>4240</v>
      </c>
      <c r="C3711" t="s">
        <v>368</v>
      </c>
      <c r="D3711" t="s">
        <v>3129</v>
      </c>
      <c r="E3711" t="s">
        <v>4552</v>
      </c>
      <c r="F3711" t="s">
        <v>4549</v>
      </c>
      <c r="G3711" t="s">
        <v>4243</v>
      </c>
      <c r="H3711" t="s">
        <v>3723</v>
      </c>
      <c r="I3711" t="s">
        <v>4550</v>
      </c>
      <c r="J3711" t="s">
        <v>429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4239</v>
      </c>
      <c r="B3712" t="s">
        <v>4240</v>
      </c>
      <c r="C3712" t="s">
        <v>368</v>
      </c>
      <c r="D3712" t="s">
        <v>3129</v>
      </c>
      <c r="E3712" t="s">
        <v>4553</v>
      </c>
      <c r="F3712" t="s">
        <v>4549</v>
      </c>
      <c r="G3712" t="s">
        <v>4243</v>
      </c>
      <c r="H3712" t="s">
        <v>3723</v>
      </c>
      <c r="I3712" t="s">
        <v>4550</v>
      </c>
      <c r="J3712" t="s">
        <v>429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4239</v>
      </c>
      <c r="B3713" t="s">
        <v>4240</v>
      </c>
      <c r="C3713" t="s">
        <v>368</v>
      </c>
      <c r="D3713" t="s">
        <v>3129</v>
      </c>
      <c r="E3713" t="s">
        <v>4554</v>
      </c>
      <c r="F3713" t="s">
        <v>4549</v>
      </c>
      <c r="G3713" t="s">
        <v>4243</v>
      </c>
      <c r="H3713" t="s">
        <v>3723</v>
      </c>
      <c r="I3713" t="s">
        <v>4550</v>
      </c>
      <c r="J3713" t="s">
        <v>429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4239</v>
      </c>
      <c r="B3714" t="s">
        <v>4240</v>
      </c>
      <c r="C3714" t="s">
        <v>368</v>
      </c>
      <c r="D3714" t="s">
        <v>3129</v>
      </c>
      <c r="E3714" t="s">
        <v>4555</v>
      </c>
      <c r="F3714" t="s">
        <v>4549</v>
      </c>
      <c r="G3714" t="s">
        <v>4243</v>
      </c>
      <c r="H3714" t="s">
        <v>3723</v>
      </c>
      <c r="I3714" t="s">
        <v>4550</v>
      </c>
      <c r="J3714" t="s">
        <v>429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4239</v>
      </c>
      <c r="B3715" t="s">
        <v>4240</v>
      </c>
      <c r="C3715" t="s">
        <v>368</v>
      </c>
      <c r="D3715" t="s">
        <v>3129</v>
      </c>
      <c r="E3715" t="s">
        <v>4556</v>
      </c>
      <c r="F3715" t="s">
        <v>4549</v>
      </c>
      <c r="G3715" t="s">
        <v>4243</v>
      </c>
      <c r="H3715" t="s">
        <v>3723</v>
      </c>
      <c r="I3715" t="s">
        <v>4550</v>
      </c>
      <c r="J3715" t="s">
        <v>429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4239</v>
      </c>
      <c r="B3716" t="s">
        <v>4240</v>
      </c>
      <c r="C3716" t="s">
        <v>368</v>
      </c>
      <c r="D3716" t="s">
        <v>3129</v>
      </c>
      <c r="E3716" t="s">
        <v>4557</v>
      </c>
      <c r="F3716" t="s">
        <v>4549</v>
      </c>
      <c r="G3716" t="s">
        <v>4243</v>
      </c>
      <c r="H3716" t="s">
        <v>3723</v>
      </c>
      <c r="I3716" t="s">
        <v>4550</v>
      </c>
      <c r="J3716" t="s">
        <v>429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4239</v>
      </c>
      <c r="B3717" t="s">
        <v>4240</v>
      </c>
      <c r="C3717" t="s">
        <v>609</v>
      </c>
      <c r="D3717" t="s">
        <v>3129</v>
      </c>
      <c r="E3717" t="s">
        <v>4558</v>
      </c>
      <c r="F3717" t="s">
        <v>4549</v>
      </c>
      <c r="G3717" t="s">
        <v>4243</v>
      </c>
      <c r="H3717" t="s">
        <v>3723</v>
      </c>
      <c r="I3717" t="s">
        <v>4550</v>
      </c>
      <c r="J3717" t="s">
        <v>429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4239</v>
      </c>
      <c r="B3718" t="s">
        <v>4240</v>
      </c>
      <c r="C3718" t="s">
        <v>609</v>
      </c>
      <c r="D3718" t="s">
        <v>3129</v>
      </c>
      <c r="E3718" t="s">
        <v>4559</v>
      </c>
      <c r="F3718" t="s">
        <v>4549</v>
      </c>
      <c r="G3718" t="s">
        <v>4243</v>
      </c>
      <c r="H3718" t="s">
        <v>3723</v>
      </c>
      <c r="I3718" t="s">
        <v>4550</v>
      </c>
      <c r="J3718" t="s">
        <v>429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4239</v>
      </c>
      <c r="B3719" t="s">
        <v>4240</v>
      </c>
      <c r="C3719" t="s">
        <v>368</v>
      </c>
      <c r="D3719" t="s">
        <v>3129</v>
      </c>
      <c r="E3719" t="s">
        <v>4560</v>
      </c>
      <c r="F3719" t="s">
        <v>4549</v>
      </c>
      <c r="G3719" t="s">
        <v>4243</v>
      </c>
      <c r="H3719" t="s">
        <v>3723</v>
      </c>
      <c r="I3719" t="s">
        <v>4550</v>
      </c>
      <c r="J3719" t="s">
        <v>429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2909</v>
      </c>
      <c r="B3720" t="s">
        <v>2956</v>
      </c>
      <c r="C3720" t="s">
        <v>2909</v>
      </c>
      <c r="D3720" t="s">
        <v>2911</v>
      </c>
      <c r="E3720" t="s">
        <v>4561</v>
      </c>
      <c r="F3720" t="s">
        <v>2956</v>
      </c>
      <c r="G3720" t="s">
        <v>374</v>
      </c>
      <c r="H3720" t="s">
        <v>374</v>
      </c>
      <c r="I3720" t="s">
        <v>374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2909</v>
      </c>
      <c r="B3721" t="s">
        <v>2951</v>
      </c>
      <c r="C3721" t="s">
        <v>2909</v>
      </c>
      <c r="D3721" t="s">
        <v>2911</v>
      </c>
      <c r="E3721" t="s">
        <v>4562</v>
      </c>
      <c r="F3721" t="s">
        <v>2951</v>
      </c>
      <c r="G3721" t="s">
        <v>374</v>
      </c>
      <c r="H3721" t="s">
        <v>374</v>
      </c>
      <c r="I3721" t="s">
        <v>374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1348</v>
      </c>
      <c r="B3722" t="s">
        <v>4563</v>
      </c>
      <c r="C3722" t="s">
        <v>609</v>
      </c>
      <c r="D3722" t="s">
        <v>523</v>
      </c>
      <c r="E3722" t="s">
        <v>4564</v>
      </c>
      <c r="F3722" t="s">
        <v>4565</v>
      </c>
      <c r="G3722" t="s">
        <v>1348</v>
      </c>
      <c r="H3722" t="s">
        <v>4566</v>
      </c>
      <c r="I3722" t="s">
        <v>374</v>
      </c>
      <c r="J3722" t="s">
        <v>4567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1348</v>
      </c>
      <c r="B3723" t="s">
        <v>4563</v>
      </c>
      <c r="C3723" t="s">
        <v>368</v>
      </c>
      <c r="D3723" t="s">
        <v>523</v>
      </c>
      <c r="E3723" t="s">
        <v>4568</v>
      </c>
      <c r="F3723" t="s">
        <v>4565</v>
      </c>
      <c r="G3723" t="s">
        <v>1348</v>
      </c>
      <c r="H3723" t="s">
        <v>4566</v>
      </c>
      <c r="I3723" t="s">
        <v>374</v>
      </c>
      <c r="J3723" t="s">
        <v>4567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1348</v>
      </c>
      <c r="B3724" t="s">
        <v>4563</v>
      </c>
      <c r="C3724" t="s">
        <v>368</v>
      </c>
      <c r="D3724" t="s">
        <v>523</v>
      </c>
      <c r="E3724" t="s">
        <v>4569</v>
      </c>
      <c r="F3724" t="s">
        <v>4565</v>
      </c>
      <c r="G3724" t="s">
        <v>1348</v>
      </c>
      <c r="H3724" t="s">
        <v>4566</v>
      </c>
      <c r="I3724" t="s">
        <v>374</v>
      </c>
      <c r="J3724" t="s">
        <v>4567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1348</v>
      </c>
      <c r="B3725" t="s">
        <v>4563</v>
      </c>
      <c r="C3725" t="s">
        <v>368</v>
      </c>
      <c r="D3725" t="s">
        <v>523</v>
      </c>
      <c r="E3725" t="s">
        <v>4570</v>
      </c>
      <c r="F3725" t="s">
        <v>4565</v>
      </c>
      <c r="G3725" t="s">
        <v>1348</v>
      </c>
      <c r="H3725" t="s">
        <v>4566</v>
      </c>
      <c r="I3725" t="s">
        <v>374</v>
      </c>
      <c r="J3725" t="s">
        <v>4567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1348</v>
      </c>
      <c r="B3726" t="s">
        <v>4563</v>
      </c>
      <c r="C3726" t="s">
        <v>368</v>
      </c>
      <c r="D3726" t="s">
        <v>523</v>
      </c>
      <c r="E3726" t="s">
        <v>4571</v>
      </c>
      <c r="F3726" t="s">
        <v>4565</v>
      </c>
      <c r="G3726" t="s">
        <v>1348</v>
      </c>
      <c r="H3726" t="s">
        <v>4566</v>
      </c>
      <c r="I3726" t="s">
        <v>374</v>
      </c>
      <c r="J3726" t="s">
        <v>4567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1348</v>
      </c>
      <c r="B3727" t="s">
        <v>4563</v>
      </c>
      <c r="C3727" t="s">
        <v>368</v>
      </c>
      <c r="D3727" t="s">
        <v>523</v>
      </c>
      <c r="E3727" t="s">
        <v>4572</v>
      </c>
      <c r="F3727" t="s">
        <v>4565</v>
      </c>
      <c r="G3727" t="s">
        <v>1348</v>
      </c>
      <c r="H3727" t="s">
        <v>4566</v>
      </c>
      <c r="I3727" t="s">
        <v>374</v>
      </c>
      <c r="J3727" t="s">
        <v>4567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1348</v>
      </c>
      <c r="B3728" t="s">
        <v>4563</v>
      </c>
      <c r="C3728" t="s">
        <v>368</v>
      </c>
      <c r="D3728" t="s">
        <v>523</v>
      </c>
      <c r="E3728" t="s">
        <v>4573</v>
      </c>
      <c r="F3728" t="s">
        <v>4565</v>
      </c>
      <c r="G3728" t="s">
        <v>1348</v>
      </c>
      <c r="H3728" t="s">
        <v>4566</v>
      </c>
      <c r="I3728" t="s">
        <v>374</v>
      </c>
      <c r="J3728" t="s">
        <v>4567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1348</v>
      </c>
      <c r="B3729" t="s">
        <v>4563</v>
      </c>
      <c r="C3729" t="s">
        <v>368</v>
      </c>
      <c r="D3729" t="s">
        <v>523</v>
      </c>
      <c r="E3729" t="s">
        <v>4574</v>
      </c>
      <c r="F3729" t="s">
        <v>4565</v>
      </c>
      <c r="G3729" t="s">
        <v>1348</v>
      </c>
      <c r="H3729" t="s">
        <v>4566</v>
      </c>
      <c r="I3729" t="s">
        <v>374</v>
      </c>
      <c r="J3729" t="s">
        <v>4567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1348</v>
      </c>
      <c r="B3730" t="s">
        <v>4563</v>
      </c>
      <c r="C3730" t="s">
        <v>368</v>
      </c>
      <c r="D3730" t="s">
        <v>523</v>
      </c>
      <c r="E3730" t="s">
        <v>4575</v>
      </c>
      <c r="F3730" t="s">
        <v>4565</v>
      </c>
      <c r="G3730" t="s">
        <v>1348</v>
      </c>
      <c r="H3730" t="s">
        <v>4566</v>
      </c>
      <c r="I3730" t="s">
        <v>374</v>
      </c>
      <c r="J3730" t="s">
        <v>4567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1436</v>
      </c>
      <c r="B3731" t="s">
        <v>4576</v>
      </c>
      <c r="C3731" t="s">
        <v>368</v>
      </c>
      <c r="D3731" t="s">
        <v>523</v>
      </c>
      <c r="E3731" t="s">
        <v>4577</v>
      </c>
      <c r="F3731" t="s">
        <v>4578</v>
      </c>
      <c r="G3731" t="s">
        <v>1436</v>
      </c>
      <c r="H3731" t="s">
        <v>458</v>
      </c>
      <c r="I3731" t="s">
        <v>374</v>
      </c>
      <c r="J3731" t="s">
        <v>4579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4359</v>
      </c>
      <c r="B3732" t="s">
        <v>4378</v>
      </c>
      <c r="C3732" t="s">
        <v>2853</v>
      </c>
      <c r="D3732" t="s">
        <v>4359</v>
      </c>
      <c r="E3732">
        <v>100201</v>
      </c>
      <c r="F3732" t="s">
        <v>4580</v>
      </c>
      <c r="G3732" t="s">
        <v>4581</v>
      </c>
      <c r="H3732" t="s">
        <v>4381</v>
      </c>
      <c r="I3732" t="s">
        <v>374</v>
      </c>
      <c r="J3732" t="s">
        <v>2848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4239</v>
      </c>
      <c r="B3733" t="s">
        <v>4240</v>
      </c>
      <c r="C3733" t="s">
        <v>368</v>
      </c>
      <c r="D3733" t="s">
        <v>3129</v>
      </c>
      <c r="E3733" t="s">
        <v>4582</v>
      </c>
      <c r="F3733" t="s">
        <v>4293</v>
      </c>
      <c r="G3733" t="s">
        <v>4243</v>
      </c>
      <c r="H3733" t="s">
        <v>3723</v>
      </c>
      <c r="I3733" t="s">
        <v>374</v>
      </c>
      <c r="J3733" t="s">
        <v>429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2909</v>
      </c>
      <c r="B3734" t="s">
        <v>2910</v>
      </c>
      <c r="C3734" t="s">
        <v>2909</v>
      </c>
      <c r="D3734" t="s">
        <v>2911</v>
      </c>
      <c r="E3734" t="s">
        <v>4583</v>
      </c>
      <c r="F3734" t="s">
        <v>2910</v>
      </c>
      <c r="G3734" t="s">
        <v>2910</v>
      </c>
      <c r="H3734" t="s">
        <v>374</v>
      </c>
      <c r="I3734" t="s">
        <v>374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2909</v>
      </c>
      <c r="B3735" t="s">
        <v>2956</v>
      </c>
      <c r="C3735" t="s">
        <v>2909</v>
      </c>
      <c r="D3735" t="s">
        <v>2911</v>
      </c>
      <c r="E3735" t="s">
        <v>4584</v>
      </c>
      <c r="F3735" t="s">
        <v>2956</v>
      </c>
      <c r="G3735" t="s">
        <v>374</v>
      </c>
      <c r="H3735" t="s">
        <v>374</v>
      </c>
      <c r="I3735" t="s">
        <v>374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2909</v>
      </c>
      <c r="B3736" t="s">
        <v>2951</v>
      </c>
      <c r="C3736" t="s">
        <v>2909</v>
      </c>
      <c r="D3736" t="s">
        <v>2911</v>
      </c>
      <c r="E3736" t="s">
        <v>4585</v>
      </c>
      <c r="F3736" t="s">
        <v>2951</v>
      </c>
      <c r="G3736" t="s">
        <v>374</v>
      </c>
      <c r="H3736" t="s">
        <v>374</v>
      </c>
      <c r="I3736" t="s">
        <v>374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2909</v>
      </c>
      <c r="B3737" t="s">
        <v>2956</v>
      </c>
      <c r="C3737" t="s">
        <v>2909</v>
      </c>
      <c r="D3737" t="s">
        <v>2911</v>
      </c>
      <c r="E3737" t="s">
        <v>4586</v>
      </c>
      <c r="F3737" t="s">
        <v>2956</v>
      </c>
      <c r="G3737" t="s">
        <v>374</v>
      </c>
      <c r="H3737" t="s">
        <v>374</v>
      </c>
      <c r="I3737" t="s">
        <v>374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2909</v>
      </c>
      <c r="B3738" t="s">
        <v>2951</v>
      </c>
      <c r="C3738" t="s">
        <v>2909</v>
      </c>
      <c r="D3738" t="s">
        <v>2911</v>
      </c>
      <c r="E3738" t="s">
        <v>4587</v>
      </c>
      <c r="F3738" t="s">
        <v>2951</v>
      </c>
      <c r="G3738" t="s">
        <v>374</v>
      </c>
      <c r="H3738" t="s">
        <v>374</v>
      </c>
      <c r="I3738" t="s">
        <v>374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2909</v>
      </c>
      <c r="B3739" t="s">
        <v>2910</v>
      </c>
      <c r="C3739" t="s">
        <v>2909</v>
      </c>
      <c r="D3739" t="s">
        <v>2911</v>
      </c>
      <c r="E3739" t="s">
        <v>4588</v>
      </c>
      <c r="F3739" t="s">
        <v>2910</v>
      </c>
      <c r="G3739" t="s">
        <v>2910</v>
      </c>
      <c r="H3739" t="s">
        <v>374</v>
      </c>
      <c r="I3739" t="s">
        <v>374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2909</v>
      </c>
      <c r="B3740" t="s">
        <v>2910</v>
      </c>
      <c r="C3740" t="s">
        <v>2909</v>
      </c>
      <c r="D3740" t="s">
        <v>2911</v>
      </c>
      <c r="E3740" t="s">
        <v>4589</v>
      </c>
      <c r="F3740" t="s">
        <v>2910</v>
      </c>
      <c r="G3740" t="s">
        <v>2910</v>
      </c>
      <c r="H3740" t="s">
        <v>374</v>
      </c>
      <c r="I3740" t="s">
        <v>374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2909</v>
      </c>
      <c r="B3741" t="s">
        <v>2910</v>
      </c>
      <c r="C3741" t="s">
        <v>2909</v>
      </c>
      <c r="D3741" t="s">
        <v>2911</v>
      </c>
      <c r="E3741" t="s">
        <v>4590</v>
      </c>
      <c r="F3741" t="s">
        <v>2910</v>
      </c>
      <c r="G3741" t="s">
        <v>2910</v>
      </c>
      <c r="H3741" t="s">
        <v>374</v>
      </c>
      <c r="I3741" t="s">
        <v>374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2909</v>
      </c>
      <c r="B3742" t="s">
        <v>2956</v>
      </c>
      <c r="C3742" t="s">
        <v>2909</v>
      </c>
      <c r="D3742" t="s">
        <v>2911</v>
      </c>
      <c r="E3742" t="s">
        <v>4591</v>
      </c>
      <c r="F3742" t="s">
        <v>2956</v>
      </c>
      <c r="G3742" t="s">
        <v>374</v>
      </c>
      <c r="H3742" t="s">
        <v>374</v>
      </c>
      <c r="I3742" t="s">
        <v>374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2909</v>
      </c>
      <c r="B3743" t="s">
        <v>2951</v>
      </c>
      <c r="C3743" t="s">
        <v>2909</v>
      </c>
      <c r="D3743" t="s">
        <v>2911</v>
      </c>
      <c r="E3743" t="s">
        <v>4592</v>
      </c>
      <c r="F3743" t="s">
        <v>2951</v>
      </c>
      <c r="G3743" t="s">
        <v>374</v>
      </c>
      <c r="H3743" t="s">
        <v>374</v>
      </c>
      <c r="I3743" t="s">
        <v>374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2909</v>
      </c>
      <c r="B3744" t="s">
        <v>2951</v>
      </c>
      <c r="C3744" t="s">
        <v>2909</v>
      </c>
      <c r="D3744" t="s">
        <v>2911</v>
      </c>
      <c r="E3744" t="s">
        <v>4593</v>
      </c>
      <c r="F3744" t="s">
        <v>2951</v>
      </c>
      <c r="G3744" t="s">
        <v>374</v>
      </c>
      <c r="H3744" t="s">
        <v>374</v>
      </c>
      <c r="I3744" t="s">
        <v>374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2909</v>
      </c>
      <c r="B3745" t="s">
        <v>2910</v>
      </c>
      <c r="C3745" t="s">
        <v>2909</v>
      </c>
      <c r="D3745" t="s">
        <v>2911</v>
      </c>
      <c r="E3745" t="s">
        <v>4594</v>
      </c>
      <c r="F3745" t="s">
        <v>2910</v>
      </c>
      <c r="G3745" t="s">
        <v>2910</v>
      </c>
      <c r="H3745" t="s">
        <v>374</v>
      </c>
      <c r="I3745" t="s">
        <v>374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521</v>
      </c>
      <c r="B3746" t="s">
        <v>574</v>
      </c>
      <c r="C3746" t="s">
        <v>368</v>
      </c>
      <c r="D3746" t="s">
        <v>523</v>
      </c>
      <c r="E3746" t="s">
        <v>4595</v>
      </c>
      <c r="F3746" t="s">
        <v>576</v>
      </c>
      <c r="G3746" t="s">
        <v>526</v>
      </c>
      <c r="H3746" t="s">
        <v>373</v>
      </c>
      <c r="I3746" t="s">
        <v>374</v>
      </c>
      <c r="J3746" t="s">
        <v>577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2909</v>
      </c>
      <c r="B3747" t="s">
        <v>2910</v>
      </c>
      <c r="C3747" t="s">
        <v>2909</v>
      </c>
      <c r="D3747" t="s">
        <v>2911</v>
      </c>
      <c r="E3747" t="s">
        <v>4596</v>
      </c>
      <c r="F3747" t="s">
        <v>2910</v>
      </c>
      <c r="G3747" t="s">
        <v>2910</v>
      </c>
      <c r="H3747" t="s">
        <v>374</v>
      </c>
      <c r="I3747" t="s">
        <v>374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2909</v>
      </c>
      <c r="B3748" t="s">
        <v>2951</v>
      </c>
      <c r="C3748" t="s">
        <v>2909</v>
      </c>
      <c r="D3748" t="s">
        <v>2911</v>
      </c>
      <c r="E3748" t="s">
        <v>4597</v>
      </c>
      <c r="F3748" t="s">
        <v>2951</v>
      </c>
      <c r="G3748" t="s">
        <v>374</v>
      </c>
      <c r="H3748" t="s">
        <v>374</v>
      </c>
      <c r="I3748" t="s">
        <v>374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2909</v>
      </c>
      <c r="B3749" t="s">
        <v>2956</v>
      </c>
      <c r="C3749" t="s">
        <v>2909</v>
      </c>
      <c r="D3749" t="s">
        <v>2911</v>
      </c>
      <c r="E3749" t="s">
        <v>4598</v>
      </c>
      <c r="F3749" t="s">
        <v>2956</v>
      </c>
      <c r="G3749" t="s">
        <v>374</v>
      </c>
      <c r="H3749" t="s">
        <v>374</v>
      </c>
      <c r="I3749" t="s">
        <v>374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1436</v>
      </c>
      <c r="B3750" t="s">
        <v>1575</v>
      </c>
      <c r="C3750" t="s">
        <v>368</v>
      </c>
      <c r="D3750" t="s">
        <v>523</v>
      </c>
      <c r="E3750" t="s">
        <v>4599</v>
      </c>
      <c r="F3750" t="s">
        <v>4600</v>
      </c>
      <c r="G3750" t="s">
        <v>1436</v>
      </c>
      <c r="H3750" t="s">
        <v>4040</v>
      </c>
      <c r="I3750" t="s">
        <v>374</v>
      </c>
      <c r="J3750" t="s">
        <v>429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1436</v>
      </c>
      <c r="B3751" t="s">
        <v>1575</v>
      </c>
      <c r="C3751" t="s">
        <v>368</v>
      </c>
      <c r="D3751" t="s">
        <v>523</v>
      </c>
      <c r="E3751" t="s">
        <v>4601</v>
      </c>
      <c r="F3751" t="s">
        <v>4600</v>
      </c>
      <c r="G3751" t="s">
        <v>1436</v>
      </c>
      <c r="H3751" t="s">
        <v>4040</v>
      </c>
      <c r="I3751" t="s">
        <v>374</v>
      </c>
      <c r="J3751" t="s">
        <v>429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1436</v>
      </c>
      <c r="B3752" t="s">
        <v>1575</v>
      </c>
      <c r="C3752" t="s">
        <v>368</v>
      </c>
      <c r="D3752" t="s">
        <v>523</v>
      </c>
      <c r="E3752" t="s">
        <v>4602</v>
      </c>
      <c r="F3752" t="s">
        <v>4600</v>
      </c>
      <c r="G3752" t="s">
        <v>1436</v>
      </c>
      <c r="H3752" t="s">
        <v>4040</v>
      </c>
      <c r="I3752" t="s">
        <v>374</v>
      </c>
      <c r="J3752" t="s">
        <v>429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1436</v>
      </c>
      <c r="B3753" t="s">
        <v>1575</v>
      </c>
      <c r="C3753" t="s">
        <v>368</v>
      </c>
      <c r="D3753" t="s">
        <v>523</v>
      </c>
      <c r="E3753" t="s">
        <v>4603</v>
      </c>
      <c r="F3753" t="s">
        <v>4600</v>
      </c>
      <c r="G3753" t="s">
        <v>1436</v>
      </c>
      <c r="H3753" t="s">
        <v>4040</v>
      </c>
      <c r="I3753" t="s">
        <v>374</v>
      </c>
      <c r="J3753" t="s">
        <v>429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1436</v>
      </c>
      <c r="B3754" t="s">
        <v>1575</v>
      </c>
      <c r="C3754" t="s">
        <v>368</v>
      </c>
      <c r="D3754" t="s">
        <v>523</v>
      </c>
      <c r="E3754" t="s">
        <v>4604</v>
      </c>
      <c r="F3754" t="s">
        <v>4600</v>
      </c>
      <c r="G3754" t="s">
        <v>1436</v>
      </c>
      <c r="H3754" t="s">
        <v>4040</v>
      </c>
      <c r="I3754" t="s">
        <v>374</v>
      </c>
      <c r="J3754" t="s">
        <v>429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1436</v>
      </c>
      <c r="B3755" t="s">
        <v>1575</v>
      </c>
      <c r="C3755" t="s">
        <v>368</v>
      </c>
      <c r="D3755" t="s">
        <v>523</v>
      </c>
      <c r="E3755" t="s">
        <v>4605</v>
      </c>
      <c r="F3755" t="s">
        <v>4600</v>
      </c>
      <c r="G3755" t="s">
        <v>1436</v>
      </c>
      <c r="H3755" t="s">
        <v>4040</v>
      </c>
      <c r="I3755" t="s">
        <v>374</v>
      </c>
      <c r="J3755" t="s">
        <v>429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1436</v>
      </c>
      <c r="B3756" t="s">
        <v>1575</v>
      </c>
      <c r="C3756" t="s">
        <v>368</v>
      </c>
      <c r="D3756" t="s">
        <v>523</v>
      </c>
      <c r="E3756" t="s">
        <v>4606</v>
      </c>
      <c r="F3756" t="s">
        <v>4600</v>
      </c>
      <c r="G3756" t="s">
        <v>1436</v>
      </c>
      <c r="H3756" t="s">
        <v>4040</v>
      </c>
      <c r="I3756" t="s">
        <v>374</v>
      </c>
      <c r="J3756" t="s">
        <v>429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1436</v>
      </c>
      <c r="B3757" t="s">
        <v>1575</v>
      </c>
      <c r="C3757" t="s">
        <v>368</v>
      </c>
      <c r="D3757" t="s">
        <v>523</v>
      </c>
      <c r="E3757" t="s">
        <v>4607</v>
      </c>
      <c r="F3757" t="s">
        <v>4600</v>
      </c>
      <c r="G3757" t="s">
        <v>1436</v>
      </c>
      <c r="H3757" t="s">
        <v>4040</v>
      </c>
      <c r="I3757" t="s">
        <v>374</v>
      </c>
      <c r="J3757" t="s">
        <v>429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1348</v>
      </c>
      <c r="B3758" t="s">
        <v>4608</v>
      </c>
      <c r="C3758" t="s">
        <v>368</v>
      </c>
      <c r="D3758" t="s">
        <v>523</v>
      </c>
      <c r="E3758" t="s">
        <v>4609</v>
      </c>
      <c r="F3758" t="s">
        <v>4610</v>
      </c>
      <c r="G3758" t="s">
        <v>1348</v>
      </c>
      <c r="H3758" t="s">
        <v>458</v>
      </c>
      <c r="I3758" t="s">
        <v>374</v>
      </c>
      <c r="J3758" t="s">
        <v>906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1348</v>
      </c>
      <c r="B3759" t="s">
        <v>4608</v>
      </c>
      <c r="C3759" t="s">
        <v>368</v>
      </c>
      <c r="D3759" t="s">
        <v>523</v>
      </c>
      <c r="E3759" t="s">
        <v>4611</v>
      </c>
      <c r="F3759" t="s">
        <v>4610</v>
      </c>
      <c r="G3759" t="s">
        <v>1348</v>
      </c>
      <c r="H3759" t="s">
        <v>458</v>
      </c>
      <c r="I3759" t="s">
        <v>374</v>
      </c>
      <c r="J3759" t="s">
        <v>906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1348</v>
      </c>
      <c r="B3760" t="s">
        <v>4608</v>
      </c>
      <c r="C3760" t="s">
        <v>368</v>
      </c>
      <c r="D3760" t="s">
        <v>523</v>
      </c>
      <c r="E3760" t="s">
        <v>4612</v>
      </c>
      <c r="F3760" t="s">
        <v>4610</v>
      </c>
      <c r="G3760" t="s">
        <v>1348</v>
      </c>
      <c r="H3760" t="s">
        <v>458</v>
      </c>
      <c r="I3760" t="s">
        <v>374</v>
      </c>
      <c r="J3760" t="s">
        <v>906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1348</v>
      </c>
      <c r="B3761" t="s">
        <v>4608</v>
      </c>
      <c r="C3761" t="s">
        <v>368</v>
      </c>
      <c r="D3761" t="s">
        <v>523</v>
      </c>
      <c r="E3761" t="s">
        <v>4613</v>
      </c>
      <c r="F3761" t="s">
        <v>4610</v>
      </c>
      <c r="G3761" t="s">
        <v>1348</v>
      </c>
      <c r="H3761" t="s">
        <v>458</v>
      </c>
      <c r="I3761" t="s">
        <v>374</v>
      </c>
      <c r="J3761" t="s">
        <v>906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1348</v>
      </c>
      <c r="B3762" t="s">
        <v>4608</v>
      </c>
      <c r="C3762" t="s">
        <v>368</v>
      </c>
      <c r="D3762" t="s">
        <v>523</v>
      </c>
      <c r="E3762" t="s">
        <v>4614</v>
      </c>
      <c r="F3762" t="s">
        <v>4610</v>
      </c>
      <c r="G3762" t="s">
        <v>1348</v>
      </c>
      <c r="H3762" t="s">
        <v>458</v>
      </c>
      <c r="I3762" t="s">
        <v>374</v>
      </c>
      <c r="J3762" t="s">
        <v>906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1348</v>
      </c>
      <c r="B3763" t="s">
        <v>4608</v>
      </c>
      <c r="C3763" t="s">
        <v>368</v>
      </c>
      <c r="D3763" t="s">
        <v>523</v>
      </c>
      <c r="E3763" t="s">
        <v>4615</v>
      </c>
      <c r="F3763" t="s">
        <v>4610</v>
      </c>
      <c r="G3763" t="s">
        <v>1348</v>
      </c>
      <c r="H3763" t="s">
        <v>458</v>
      </c>
      <c r="I3763" t="s">
        <v>374</v>
      </c>
      <c r="J3763" t="s">
        <v>906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1348</v>
      </c>
      <c r="B3764" t="s">
        <v>4608</v>
      </c>
      <c r="C3764" t="s">
        <v>368</v>
      </c>
      <c r="D3764" t="s">
        <v>523</v>
      </c>
      <c r="E3764" t="s">
        <v>4616</v>
      </c>
      <c r="F3764" t="s">
        <v>4610</v>
      </c>
      <c r="G3764" t="s">
        <v>1348</v>
      </c>
      <c r="H3764" t="s">
        <v>458</v>
      </c>
      <c r="I3764" t="s">
        <v>374</v>
      </c>
      <c r="J3764" t="s">
        <v>906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1348</v>
      </c>
      <c r="B3765" t="s">
        <v>4608</v>
      </c>
      <c r="C3765" t="s">
        <v>368</v>
      </c>
      <c r="D3765" t="s">
        <v>523</v>
      </c>
      <c r="E3765" t="s">
        <v>4617</v>
      </c>
      <c r="F3765" t="s">
        <v>4610</v>
      </c>
      <c r="G3765" t="s">
        <v>1348</v>
      </c>
      <c r="H3765" t="s">
        <v>458</v>
      </c>
      <c r="I3765" t="s">
        <v>374</v>
      </c>
      <c r="J3765" t="s">
        <v>906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1348</v>
      </c>
      <c r="B3766" t="s">
        <v>4608</v>
      </c>
      <c r="C3766" t="s">
        <v>368</v>
      </c>
      <c r="D3766" t="s">
        <v>523</v>
      </c>
      <c r="E3766" t="s">
        <v>4618</v>
      </c>
      <c r="F3766" t="s">
        <v>4610</v>
      </c>
      <c r="G3766" t="s">
        <v>1348</v>
      </c>
      <c r="H3766" t="s">
        <v>458</v>
      </c>
      <c r="I3766" t="s">
        <v>374</v>
      </c>
      <c r="J3766" t="s">
        <v>906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1348</v>
      </c>
      <c r="B3767" t="s">
        <v>4608</v>
      </c>
      <c r="C3767" t="s">
        <v>368</v>
      </c>
      <c r="D3767" t="s">
        <v>523</v>
      </c>
      <c r="E3767" t="s">
        <v>4619</v>
      </c>
      <c r="F3767" t="s">
        <v>4610</v>
      </c>
      <c r="G3767" t="s">
        <v>1348</v>
      </c>
      <c r="H3767" t="s">
        <v>458</v>
      </c>
      <c r="I3767" t="s">
        <v>374</v>
      </c>
      <c r="J3767" t="s">
        <v>906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1348</v>
      </c>
      <c r="B3768" t="s">
        <v>4608</v>
      </c>
      <c r="C3768" t="s">
        <v>368</v>
      </c>
      <c r="D3768" t="s">
        <v>523</v>
      </c>
      <c r="E3768" t="s">
        <v>4620</v>
      </c>
      <c r="F3768" t="s">
        <v>4610</v>
      </c>
      <c r="G3768" t="s">
        <v>1348</v>
      </c>
      <c r="H3768" t="s">
        <v>458</v>
      </c>
      <c r="I3768" t="s">
        <v>374</v>
      </c>
      <c r="J3768" t="s">
        <v>906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1348</v>
      </c>
      <c r="B3769" t="s">
        <v>4608</v>
      </c>
      <c r="C3769" t="s">
        <v>609</v>
      </c>
      <c r="D3769" t="s">
        <v>523</v>
      </c>
      <c r="E3769" t="s">
        <v>4621</v>
      </c>
      <c r="F3769" t="s">
        <v>4610</v>
      </c>
      <c r="G3769" t="s">
        <v>1348</v>
      </c>
      <c r="H3769" t="s">
        <v>458</v>
      </c>
      <c r="I3769" t="s">
        <v>374</v>
      </c>
      <c r="J3769" t="s">
        <v>906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1348</v>
      </c>
      <c r="B3770" t="s">
        <v>4608</v>
      </c>
      <c r="C3770" t="s">
        <v>609</v>
      </c>
      <c r="D3770" t="s">
        <v>523</v>
      </c>
      <c r="E3770" t="s">
        <v>4622</v>
      </c>
      <c r="F3770" t="s">
        <v>4610</v>
      </c>
      <c r="G3770" t="s">
        <v>1348</v>
      </c>
      <c r="H3770" t="s">
        <v>458</v>
      </c>
      <c r="I3770" t="s">
        <v>374</v>
      </c>
      <c r="J3770" t="s">
        <v>906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1348</v>
      </c>
      <c r="B3771" t="s">
        <v>4608</v>
      </c>
      <c r="C3771" t="s">
        <v>609</v>
      </c>
      <c r="D3771" t="s">
        <v>523</v>
      </c>
      <c r="E3771" t="s">
        <v>4623</v>
      </c>
      <c r="F3771" t="s">
        <v>4610</v>
      </c>
      <c r="G3771" t="s">
        <v>1348</v>
      </c>
      <c r="H3771" t="s">
        <v>458</v>
      </c>
      <c r="I3771" t="s">
        <v>374</v>
      </c>
      <c r="J3771" t="s">
        <v>906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1348</v>
      </c>
      <c r="B3772" t="s">
        <v>4608</v>
      </c>
      <c r="C3772" t="s">
        <v>609</v>
      </c>
      <c r="D3772" t="s">
        <v>523</v>
      </c>
      <c r="E3772" t="s">
        <v>4624</v>
      </c>
      <c r="F3772" t="s">
        <v>4610</v>
      </c>
      <c r="G3772" t="s">
        <v>1348</v>
      </c>
      <c r="H3772" t="s">
        <v>458</v>
      </c>
      <c r="I3772" t="s">
        <v>374</v>
      </c>
      <c r="J3772" t="s">
        <v>906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1348</v>
      </c>
      <c r="B3773" t="s">
        <v>4608</v>
      </c>
      <c r="C3773" t="s">
        <v>609</v>
      </c>
      <c r="D3773" t="s">
        <v>523</v>
      </c>
      <c r="E3773" t="s">
        <v>4625</v>
      </c>
      <c r="F3773" t="s">
        <v>4610</v>
      </c>
      <c r="G3773" t="s">
        <v>1348</v>
      </c>
      <c r="H3773" t="s">
        <v>458</v>
      </c>
      <c r="I3773" t="s">
        <v>374</v>
      </c>
      <c r="J3773" t="s">
        <v>906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1348</v>
      </c>
      <c r="B3774" t="s">
        <v>4608</v>
      </c>
      <c r="C3774" t="s">
        <v>368</v>
      </c>
      <c r="D3774" t="s">
        <v>523</v>
      </c>
      <c r="E3774" t="s">
        <v>4626</v>
      </c>
      <c r="F3774" t="s">
        <v>4610</v>
      </c>
      <c r="G3774" t="s">
        <v>1348</v>
      </c>
      <c r="H3774" t="s">
        <v>458</v>
      </c>
      <c r="I3774" t="s">
        <v>374</v>
      </c>
      <c r="J3774" t="s">
        <v>906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1348</v>
      </c>
      <c r="B3775" t="s">
        <v>4608</v>
      </c>
      <c r="C3775" t="s">
        <v>368</v>
      </c>
      <c r="D3775" t="s">
        <v>523</v>
      </c>
      <c r="E3775" t="s">
        <v>4627</v>
      </c>
      <c r="F3775" t="s">
        <v>4610</v>
      </c>
      <c r="G3775" t="s">
        <v>1348</v>
      </c>
      <c r="H3775" t="s">
        <v>458</v>
      </c>
      <c r="I3775" t="s">
        <v>374</v>
      </c>
      <c r="J3775" t="s">
        <v>906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1348</v>
      </c>
      <c r="B3776" t="s">
        <v>1386</v>
      </c>
      <c r="C3776" t="s">
        <v>368</v>
      </c>
      <c r="D3776" t="s">
        <v>523</v>
      </c>
      <c r="E3776" t="str">
        <f>"GPKDCBI546"&amp;K3776&amp;"S"</f>
        <v>GPKDCBI54610S</v>
      </c>
      <c r="F3776" t="s">
        <v>4628</v>
      </c>
      <c r="G3776" t="s">
        <v>1348</v>
      </c>
      <c r="H3776" t="s">
        <v>458</v>
      </c>
      <c r="I3776" t="s">
        <v>410</v>
      </c>
      <c r="J3776" t="s">
        <v>386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1348</v>
      </c>
      <c r="B3777" t="s">
        <v>1386</v>
      </c>
      <c r="C3777" t="s">
        <v>368</v>
      </c>
      <c r="D3777" t="s">
        <v>523</v>
      </c>
      <c r="E3777" t="str">
        <f t="shared" ref="E3777:E3793" si="319">"GPKDCBI546"&amp;K3777&amp;"S"</f>
        <v>GPKDCBI54611S</v>
      </c>
      <c r="F3777" t="s">
        <v>4628</v>
      </c>
      <c r="G3777" t="s">
        <v>1348</v>
      </c>
      <c r="H3777" t="s">
        <v>458</v>
      </c>
      <c r="I3777" t="s">
        <v>410</v>
      </c>
      <c r="J3777" t="s">
        <v>386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1348</v>
      </c>
      <c r="B3778" t="s">
        <v>1386</v>
      </c>
      <c r="C3778" t="s">
        <v>368</v>
      </c>
      <c r="D3778" t="s">
        <v>523</v>
      </c>
      <c r="E3778" t="str">
        <f t="shared" si="319"/>
        <v>GPKDCBI54612S</v>
      </c>
      <c r="F3778" t="s">
        <v>4628</v>
      </c>
      <c r="G3778" t="s">
        <v>1348</v>
      </c>
      <c r="H3778" t="s">
        <v>458</v>
      </c>
      <c r="I3778" t="s">
        <v>410</v>
      </c>
      <c r="J3778" t="s">
        <v>386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41" si="320">F3778&amp;" "&amp;C3778</f>
        <v>Garapa S4S E4E Brown Ipe (Coated) 5/4x6 Long</v>
      </c>
    </row>
    <row r="3779" spans="1:20" x14ac:dyDescent="0.25">
      <c r="A3779" t="s">
        <v>1348</v>
      </c>
      <c r="B3779" t="s">
        <v>1386</v>
      </c>
      <c r="C3779" t="s">
        <v>368</v>
      </c>
      <c r="D3779" t="s">
        <v>523</v>
      </c>
      <c r="E3779" t="str">
        <f t="shared" si="319"/>
        <v>GPKDCBI54613S</v>
      </c>
      <c r="F3779" t="s">
        <v>4628</v>
      </c>
      <c r="G3779" t="s">
        <v>1348</v>
      </c>
      <c r="H3779" t="s">
        <v>458</v>
      </c>
      <c r="I3779" t="s">
        <v>410</v>
      </c>
      <c r="J3779" t="s">
        <v>386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1348</v>
      </c>
      <c r="B3780" t="s">
        <v>1386</v>
      </c>
      <c r="C3780" t="s">
        <v>368</v>
      </c>
      <c r="D3780" t="s">
        <v>523</v>
      </c>
      <c r="E3780" t="str">
        <f t="shared" si="319"/>
        <v>GPKDCBI54614S</v>
      </c>
      <c r="F3780" t="s">
        <v>4628</v>
      </c>
      <c r="G3780" t="s">
        <v>1348</v>
      </c>
      <c r="H3780" t="s">
        <v>458</v>
      </c>
      <c r="I3780" t="s">
        <v>410</v>
      </c>
      <c r="J3780" t="s">
        <v>386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1348</v>
      </c>
      <c r="B3781" t="s">
        <v>1386</v>
      </c>
      <c r="C3781" t="s">
        <v>368</v>
      </c>
      <c r="D3781" t="s">
        <v>523</v>
      </c>
      <c r="E3781" t="str">
        <f t="shared" si="319"/>
        <v>GPKDCBI54615S</v>
      </c>
      <c r="F3781" t="s">
        <v>4628</v>
      </c>
      <c r="G3781" t="s">
        <v>1348</v>
      </c>
      <c r="H3781" t="s">
        <v>458</v>
      </c>
      <c r="I3781" t="s">
        <v>410</v>
      </c>
      <c r="J3781" t="s">
        <v>386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1348</v>
      </c>
      <c r="B3782" t="s">
        <v>1386</v>
      </c>
      <c r="C3782" t="s">
        <v>368</v>
      </c>
      <c r="D3782" t="s">
        <v>523</v>
      </c>
      <c r="E3782" t="str">
        <f t="shared" si="319"/>
        <v>GPKDCBI54616S</v>
      </c>
      <c r="F3782" t="s">
        <v>4628</v>
      </c>
      <c r="G3782" t="s">
        <v>1348</v>
      </c>
      <c r="H3782" t="s">
        <v>458</v>
      </c>
      <c r="I3782" t="s">
        <v>410</v>
      </c>
      <c r="J3782" t="s">
        <v>386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1348</v>
      </c>
      <c r="B3783" t="s">
        <v>1386</v>
      </c>
      <c r="C3783" t="s">
        <v>368</v>
      </c>
      <c r="D3783" t="s">
        <v>523</v>
      </c>
      <c r="E3783" t="str">
        <f t="shared" si="319"/>
        <v>GPKDCBI54617S</v>
      </c>
      <c r="F3783" t="s">
        <v>4628</v>
      </c>
      <c r="G3783" t="s">
        <v>1348</v>
      </c>
      <c r="H3783" t="s">
        <v>458</v>
      </c>
      <c r="I3783" t="s">
        <v>410</v>
      </c>
      <c r="J3783" t="s">
        <v>386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1348</v>
      </c>
      <c r="B3784" t="s">
        <v>1386</v>
      </c>
      <c r="C3784" t="s">
        <v>368</v>
      </c>
      <c r="D3784" t="s">
        <v>523</v>
      </c>
      <c r="E3784" t="str">
        <f t="shared" si="319"/>
        <v>GPKDCBI54618S</v>
      </c>
      <c r="F3784" t="s">
        <v>4628</v>
      </c>
      <c r="G3784" t="s">
        <v>1348</v>
      </c>
      <c r="H3784" t="s">
        <v>458</v>
      </c>
      <c r="I3784" t="s">
        <v>410</v>
      </c>
      <c r="J3784" t="s">
        <v>386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1348</v>
      </c>
      <c r="B3785" t="s">
        <v>1386</v>
      </c>
      <c r="C3785" t="s">
        <v>368</v>
      </c>
      <c r="D3785" t="s">
        <v>523</v>
      </c>
      <c r="E3785" t="str">
        <f t="shared" si="319"/>
        <v>GPKDCBI54619S</v>
      </c>
      <c r="F3785" t="s">
        <v>4628</v>
      </c>
      <c r="G3785" t="s">
        <v>1348</v>
      </c>
      <c r="H3785" t="s">
        <v>458</v>
      </c>
      <c r="I3785" t="s">
        <v>410</v>
      </c>
      <c r="J3785" t="s">
        <v>386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1348</v>
      </c>
      <c r="B3786" t="s">
        <v>1386</v>
      </c>
      <c r="C3786" t="s">
        <v>368</v>
      </c>
      <c r="D3786" t="s">
        <v>523</v>
      </c>
      <c r="E3786" t="str">
        <f t="shared" si="319"/>
        <v>GPKDCBI54620S</v>
      </c>
      <c r="F3786" t="s">
        <v>4628</v>
      </c>
      <c r="G3786" t="s">
        <v>1348</v>
      </c>
      <c r="H3786" t="s">
        <v>458</v>
      </c>
      <c r="I3786" t="s">
        <v>410</v>
      </c>
      <c r="J3786" t="s">
        <v>386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1348</v>
      </c>
      <c r="B3787" t="s">
        <v>1386</v>
      </c>
      <c r="C3787" t="s">
        <v>609</v>
      </c>
      <c r="D3787" t="s">
        <v>523</v>
      </c>
      <c r="E3787" t="str">
        <f t="shared" si="319"/>
        <v>GPKDCBI5463S</v>
      </c>
      <c r="F3787" t="s">
        <v>4628</v>
      </c>
      <c r="G3787" t="s">
        <v>1348</v>
      </c>
      <c r="H3787" t="s">
        <v>458</v>
      </c>
      <c r="I3787" t="s">
        <v>410</v>
      </c>
      <c r="J3787" t="s">
        <v>386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1348</v>
      </c>
      <c r="B3788" t="s">
        <v>1386</v>
      </c>
      <c r="C3788" t="s">
        <v>609</v>
      </c>
      <c r="D3788" t="s">
        <v>523</v>
      </c>
      <c r="E3788" t="str">
        <f t="shared" si="319"/>
        <v>GPKDCBI5464S</v>
      </c>
      <c r="F3788" t="s">
        <v>4628</v>
      </c>
      <c r="G3788" t="s">
        <v>1348</v>
      </c>
      <c r="H3788" t="s">
        <v>458</v>
      </c>
      <c r="I3788" t="s">
        <v>410</v>
      </c>
      <c r="J3788" t="s">
        <v>386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1348</v>
      </c>
      <c r="B3789" t="s">
        <v>1386</v>
      </c>
      <c r="C3789" t="s">
        <v>609</v>
      </c>
      <c r="D3789" t="s">
        <v>523</v>
      </c>
      <c r="E3789" t="str">
        <f t="shared" si="319"/>
        <v>GPKDCBI5465S</v>
      </c>
      <c r="F3789" t="s">
        <v>4628</v>
      </c>
      <c r="G3789" t="s">
        <v>1348</v>
      </c>
      <c r="H3789" t="s">
        <v>458</v>
      </c>
      <c r="I3789" t="s">
        <v>410</v>
      </c>
      <c r="J3789" t="s">
        <v>386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1348</v>
      </c>
      <c r="B3790" t="s">
        <v>1386</v>
      </c>
      <c r="C3790" t="s">
        <v>609</v>
      </c>
      <c r="D3790" t="s">
        <v>523</v>
      </c>
      <c r="E3790" t="str">
        <f t="shared" si="319"/>
        <v>GPKDCBI5466S</v>
      </c>
      <c r="F3790" t="s">
        <v>4628</v>
      </c>
      <c r="G3790" t="s">
        <v>1348</v>
      </c>
      <c r="H3790" t="s">
        <v>458</v>
      </c>
      <c r="I3790" t="s">
        <v>410</v>
      </c>
      <c r="J3790" t="s">
        <v>386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1348</v>
      </c>
      <c r="B3791" t="s">
        <v>1386</v>
      </c>
      <c r="C3791" t="s">
        <v>609</v>
      </c>
      <c r="D3791" t="s">
        <v>523</v>
      </c>
      <c r="E3791" t="str">
        <f t="shared" si="319"/>
        <v>GPKDCBI5467S</v>
      </c>
      <c r="F3791" t="s">
        <v>4628</v>
      </c>
      <c r="G3791" t="s">
        <v>1348</v>
      </c>
      <c r="H3791" t="s">
        <v>458</v>
      </c>
      <c r="I3791" t="s">
        <v>410</v>
      </c>
      <c r="J3791" t="s">
        <v>386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1348</v>
      </c>
      <c r="B3792" t="s">
        <v>1386</v>
      </c>
      <c r="C3792" t="s">
        <v>368</v>
      </c>
      <c r="D3792" t="s">
        <v>523</v>
      </c>
      <c r="E3792" t="str">
        <f t="shared" si="319"/>
        <v>GPKDCBI5468S</v>
      </c>
      <c r="F3792" t="s">
        <v>4628</v>
      </c>
      <c r="G3792" t="s">
        <v>1348</v>
      </c>
      <c r="H3792" t="s">
        <v>458</v>
      </c>
      <c r="I3792" t="s">
        <v>410</v>
      </c>
      <c r="J3792" t="s">
        <v>386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1348</v>
      </c>
      <c r="B3793" t="s">
        <v>1386</v>
      </c>
      <c r="C3793" t="s">
        <v>368</v>
      </c>
      <c r="D3793" t="s">
        <v>523</v>
      </c>
      <c r="E3793" t="str">
        <f t="shared" si="319"/>
        <v>GPKDCBI5469S</v>
      </c>
      <c r="F3793" t="s">
        <v>4628</v>
      </c>
      <c r="G3793" t="s">
        <v>1348</v>
      </c>
      <c r="H3793" t="s">
        <v>458</v>
      </c>
      <c r="I3793" t="s">
        <v>410</v>
      </c>
      <c r="J3793" t="s">
        <v>386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3158</v>
      </c>
      <c r="B3794" t="s">
        <v>3165</v>
      </c>
      <c r="C3794" t="s">
        <v>368</v>
      </c>
      <c r="D3794" t="s">
        <v>3129</v>
      </c>
      <c r="E3794" t="str">
        <f>"TAYLNGVJ3FNG16"&amp;K3794</f>
        <v>TAYLNGVJ3FNG1610</v>
      </c>
      <c r="F3794" t="s">
        <v>4629</v>
      </c>
      <c r="G3794" t="s">
        <v>3162</v>
      </c>
      <c r="H3794" t="s">
        <v>4630</v>
      </c>
      <c r="I3794" t="s">
        <v>374</v>
      </c>
      <c r="J3794" t="s">
        <v>429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3158</v>
      </c>
      <c r="B3795" t="s">
        <v>3165</v>
      </c>
      <c r="C3795" t="s">
        <v>368</v>
      </c>
      <c r="D3795" t="s">
        <v>3129</v>
      </c>
      <c r="E3795" t="str">
        <f t="shared" ref="E3795:E3808" si="322">"TAYLNGVJ3FNG16"&amp;K3795</f>
        <v>TAYLNGVJ3FNG1611</v>
      </c>
      <c r="F3795" t="s">
        <v>4629</v>
      </c>
      <c r="G3795" t="s">
        <v>3162</v>
      </c>
      <c r="H3795" t="s">
        <v>4630</v>
      </c>
      <c r="I3795" t="s">
        <v>374</v>
      </c>
      <c r="J3795" t="s">
        <v>429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3158</v>
      </c>
      <c r="B3796" t="s">
        <v>3165</v>
      </c>
      <c r="C3796" t="s">
        <v>368</v>
      </c>
      <c r="D3796" t="s">
        <v>3129</v>
      </c>
      <c r="E3796" t="str">
        <f t="shared" si="322"/>
        <v>TAYLNGVJ3FNG1612</v>
      </c>
      <c r="F3796" t="s">
        <v>4629</v>
      </c>
      <c r="G3796" t="s">
        <v>3162</v>
      </c>
      <c r="H3796" t="s">
        <v>4630</v>
      </c>
      <c r="I3796" t="s">
        <v>374</v>
      </c>
      <c r="J3796" t="s">
        <v>429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3158</v>
      </c>
      <c r="B3797" t="s">
        <v>3165</v>
      </c>
      <c r="C3797" t="s">
        <v>368</v>
      </c>
      <c r="D3797" t="s">
        <v>3129</v>
      </c>
      <c r="E3797" t="str">
        <f t="shared" si="322"/>
        <v>TAYLNGVJ3FNG1613</v>
      </c>
      <c r="F3797" t="s">
        <v>4629</v>
      </c>
      <c r="G3797" t="s">
        <v>3162</v>
      </c>
      <c r="H3797" t="s">
        <v>4630</v>
      </c>
      <c r="I3797" t="s">
        <v>374</v>
      </c>
      <c r="J3797" t="s">
        <v>429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3158</v>
      </c>
      <c r="B3798" t="s">
        <v>3165</v>
      </c>
      <c r="C3798" t="s">
        <v>368</v>
      </c>
      <c r="D3798" t="s">
        <v>3129</v>
      </c>
      <c r="E3798" t="str">
        <f t="shared" si="322"/>
        <v>TAYLNGVJ3FNG1614</v>
      </c>
      <c r="F3798" t="s">
        <v>4629</v>
      </c>
      <c r="G3798" t="s">
        <v>3162</v>
      </c>
      <c r="H3798" t="s">
        <v>4630</v>
      </c>
      <c r="I3798" t="s">
        <v>374</v>
      </c>
      <c r="J3798" t="s">
        <v>429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3158</v>
      </c>
      <c r="B3799" t="s">
        <v>3165</v>
      </c>
      <c r="C3799" t="s">
        <v>368</v>
      </c>
      <c r="D3799" t="s">
        <v>3129</v>
      </c>
      <c r="E3799" t="str">
        <f t="shared" si="322"/>
        <v>TAYLNGVJ3FNG1615</v>
      </c>
      <c r="F3799" t="s">
        <v>4629</v>
      </c>
      <c r="G3799" t="s">
        <v>3162</v>
      </c>
      <c r="H3799" t="s">
        <v>4630</v>
      </c>
      <c r="I3799" t="s">
        <v>374</v>
      </c>
      <c r="J3799" t="s">
        <v>429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3158</v>
      </c>
      <c r="B3800" t="s">
        <v>3165</v>
      </c>
      <c r="C3800" t="s">
        <v>368</v>
      </c>
      <c r="D3800" t="s">
        <v>3129</v>
      </c>
      <c r="E3800" t="str">
        <f t="shared" si="322"/>
        <v>TAYLNGVJ3FNG1616</v>
      </c>
      <c r="F3800" t="s">
        <v>4629</v>
      </c>
      <c r="G3800" t="s">
        <v>3162</v>
      </c>
      <c r="H3800" t="s">
        <v>4630</v>
      </c>
      <c r="I3800" t="s">
        <v>374</v>
      </c>
      <c r="J3800" t="s">
        <v>429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3158</v>
      </c>
      <c r="B3801" t="s">
        <v>3165</v>
      </c>
      <c r="C3801" t="s">
        <v>368</v>
      </c>
      <c r="D3801" t="s">
        <v>3129</v>
      </c>
      <c r="E3801" t="str">
        <f t="shared" si="322"/>
        <v>TAYLNGVJ3FNG1617</v>
      </c>
      <c r="F3801" t="s">
        <v>4629</v>
      </c>
      <c r="G3801" t="s">
        <v>3162</v>
      </c>
      <c r="H3801" t="s">
        <v>4630</v>
      </c>
      <c r="I3801" t="s">
        <v>374</v>
      </c>
      <c r="J3801" t="s">
        <v>429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3158</v>
      </c>
      <c r="B3802" t="s">
        <v>3165</v>
      </c>
      <c r="C3802" t="s">
        <v>368</v>
      </c>
      <c r="D3802" t="s">
        <v>3129</v>
      </c>
      <c r="E3802" t="str">
        <f t="shared" si="322"/>
        <v>TAYLNGVJ3FNG1618</v>
      </c>
      <c r="F3802" t="s">
        <v>4629</v>
      </c>
      <c r="G3802" t="s">
        <v>3162</v>
      </c>
      <c r="H3802" t="s">
        <v>4630</v>
      </c>
      <c r="I3802" t="s">
        <v>374</v>
      </c>
      <c r="J3802" t="s">
        <v>429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3158</v>
      </c>
      <c r="B3803" t="s">
        <v>3165</v>
      </c>
      <c r="C3803" t="s">
        <v>609</v>
      </c>
      <c r="D3803" t="s">
        <v>3129</v>
      </c>
      <c r="E3803" t="str">
        <f t="shared" si="322"/>
        <v>TAYLNGVJ3FNG164</v>
      </c>
      <c r="F3803" t="s">
        <v>4629</v>
      </c>
      <c r="G3803" t="s">
        <v>3162</v>
      </c>
      <c r="H3803" t="s">
        <v>4630</v>
      </c>
      <c r="I3803" t="s">
        <v>374</v>
      </c>
      <c r="J3803" t="s">
        <v>429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3158</v>
      </c>
      <c r="B3804" t="s">
        <v>3165</v>
      </c>
      <c r="C3804" t="s">
        <v>609</v>
      </c>
      <c r="D3804" t="s">
        <v>3129</v>
      </c>
      <c r="E3804" t="str">
        <f t="shared" si="322"/>
        <v>TAYLNGVJ3FNG165</v>
      </c>
      <c r="F3804" t="s">
        <v>4629</v>
      </c>
      <c r="G3804" t="s">
        <v>3162</v>
      </c>
      <c r="H3804" t="s">
        <v>4630</v>
      </c>
      <c r="I3804" t="s">
        <v>374</v>
      </c>
      <c r="J3804" t="s">
        <v>429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3158</v>
      </c>
      <c r="B3805" t="s">
        <v>3165</v>
      </c>
      <c r="C3805" t="s">
        <v>609</v>
      </c>
      <c r="D3805" t="s">
        <v>3129</v>
      </c>
      <c r="E3805" t="str">
        <f t="shared" si="322"/>
        <v>TAYLNGVJ3FNG166</v>
      </c>
      <c r="F3805" t="s">
        <v>4629</v>
      </c>
      <c r="G3805" t="s">
        <v>3162</v>
      </c>
      <c r="H3805" t="s">
        <v>4630</v>
      </c>
      <c r="I3805" t="s">
        <v>374</v>
      </c>
      <c r="J3805" t="s">
        <v>429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3158</v>
      </c>
      <c r="B3806" t="s">
        <v>3165</v>
      </c>
      <c r="C3806" t="s">
        <v>609</v>
      </c>
      <c r="D3806" t="s">
        <v>3129</v>
      </c>
      <c r="E3806" t="str">
        <f t="shared" si="322"/>
        <v>TAYLNGVJ3FNG167</v>
      </c>
      <c r="F3806" t="s">
        <v>4629</v>
      </c>
      <c r="G3806" t="s">
        <v>3162</v>
      </c>
      <c r="H3806" t="s">
        <v>4630</v>
      </c>
      <c r="I3806" t="s">
        <v>374</v>
      </c>
      <c r="J3806" t="s">
        <v>429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3158</v>
      </c>
      <c r="B3807" t="s">
        <v>3165</v>
      </c>
      <c r="C3807" t="s">
        <v>368</v>
      </c>
      <c r="D3807" t="s">
        <v>3129</v>
      </c>
      <c r="E3807" t="str">
        <f t="shared" si="322"/>
        <v>TAYLNGVJ3FNG168</v>
      </c>
      <c r="F3807" t="s">
        <v>4629</v>
      </c>
      <c r="G3807" t="s">
        <v>3162</v>
      </c>
      <c r="H3807" t="s">
        <v>4630</v>
      </c>
      <c r="I3807" t="s">
        <v>374</v>
      </c>
      <c r="J3807" t="s">
        <v>429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3158</v>
      </c>
      <c r="B3808" t="s">
        <v>3165</v>
      </c>
      <c r="C3808" t="s">
        <v>368</v>
      </c>
      <c r="D3808" t="s">
        <v>3129</v>
      </c>
      <c r="E3808" t="str">
        <f t="shared" si="322"/>
        <v>TAYLNGVJ3FNG169</v>
      </c>
      <c r="F3808" t="s">
        <v>4629</v>
      </c>
      <c r="G3808" t="s">
        <v>3162</v>
      </c>
      <c r="H3808" t="s">
        <v>4630</v>
      </c>
      <c r="I3808" t="s">
        <v>374</v>
      </c>
      <c r="J3808" t="s">
        <v>429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3158</v>
      </c>
      <c r="B3809" t="s">
        <v>3165</v>
      </c>
      <c r="C3809" t="s">
        <v>368</v>
      </c>
      <c r="D3809" t="s">
        <v>3129</v>
      </c>
      <c r="E3809" t="str">
        <f>"TAYLNGVJ3FVJ16"&amp;K3809</f>
        <v>TAYLNGVJ3FVJ1610</v>
      </c>
      <c r="F3809" t="s">
        <v>4631</v>
      </c>
      <c r="G3809" t="s">
        <v>3162</v>
      </c>
      <c r="H3809" t="s">
        <v>4632</v>
      </c>
      <c r="I3809" t="s">
        <v>374</v>
      </c>
      <c r="J3809" t="s">
        <v>429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3158</v>
      </c>
      <c r="B3810" t="s">
        <v>3165</v>
      </c>
      <c r="C3810" t="s">
        <v>368</v>
      </c>
      <c r="D3810" t="s">
        <v>3129</v>
      </c>
      <c r="E3810" t="str">
        <f t="shared" ref="E3810:E3823" si="323">"TAYLNGVJ3FVJ16"&amp;K3810</f>
        <v>TAYLNGVJ3FVJ1611</v>
      </c>
      <c r="F3810" t="s">
        <v>4631</v>
      </c>
      <c r="G3810" t="s">
        <v>3162</v>
      </c>
      <c r="H3810" t="s">
        <v>4632</v>
      </c>
      <c r="I3810" t="s">
        <v>374</v>
      </c>
      <c r="J3810" t="s">
        <v>429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3158</v>
      </c>
      <c r="B3811" t="s">
        <v>3165</v>
      </c>
      <c r="C3811" t="s">
        <v>368</v>
      </c>
      <c r="D3811" t="s">
        <v>3129</v>
      </c>
      <c r="E3811" t="str">
        <f t="shared" si="323"/>
        <v>TAYLNGVJ3FVJ1612</v>
      </c>
      <c r="F3811" t="s">
        <v>4631</v>
      </c>
      <c r="G3811" t="s">
        <v>3162</v>
      </c>
      <c r="H3811" t="s">
        <v>4632</v>
      </c>
      <c r="I3811" t="s">
        <v>374</v>
      </c>
      <c r="J3811" t="s">
        <v>429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3158</v>
      </c>
      <c r="B3812" t="s">
        <v>3165</v>
      </c>
      <c r="C3812" t="s">
        <v>368</v>
      </c>
      <c r="D3812" t="s">
        <v>3129</v>
      </c>
      <c r="E3812" t="str">
        <f t="shared" si="323"/>
        <v>TAYLNGVJ3FVJ1613</v>
      </c>
      <c r="F3812" t="s">
        <v>4631</v>
      </c>
      <c r="G3812" t="s">
        <v>3162</v>
      </c>
      <c r="H3812" t="s">
        <v>4632</v>
      </c>
      <c r="I3812" t="s">
        <v>374</v>
      </c>
      <c r="J3812" t="s">
        <v>429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3158</v>
      </c>
      <c r="B3813" t="s">
        <v>3165</v>
      </c>
      <c r="C3813" t="s">
        <v>368</v>
      </c>
      <c r="D3813" t="s">
        <v>3129</v>
      </c>
      <c r="E3813" t="str">
        <f t="shared" si="323"/>
        <v>TAYLNGVJ3FVJ1614</v>
      </c>
      <c r="F3813" t="s">
        <v>4631</v>
      </c>
      <c r="G3813" t="s">
        <v>3162</v>
      </c>
      <c r="H3813" t="s">
        <v>4632</v>
      </c>
      <c r="I3813" t="s">
        <v>374</v>
      </c>
      <c r="J3813" t="s">
        <v>429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3158</v>
      </c>
      <c r="B3814" t="s">
        <v>3165</v>
      </c>
      <c r="C3814" t="s">
        <v>368</v>
      </c>
      <c r="D3814" t="s">
        <v>3129</v>
      </c>
      <c r="E3814" t="str">
        <f t="shared" si="323"/>
        <v>TAYLNGVJ3FVJ1615</v>
      </c>
      <c r="F3814" t="s">
        <v>4631</v>
      </c>
      <c r="G3814" t="s">
        <v>3162</v>
      </c>
      <c r="H3814" t="s">
        <v>4632</v>
      </c>
      <c r="I3814" t="s">
        <v>374</v>
      </c>
      <c r="J3814" t="s">
        <v>429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3158</v>
      </c>
      <c r="B3815" t="s">
        <v>3165</v>
      </c>
      <c r="C3815" t="s">
        <v>368</v>
      </c>
      <c r="D3815" t="s">
        <v>3129</v>
      </c>
      <c r="E3815" t="str">
        <f t="shared" si="323"/>
        <v>TAYLNGVJ3FVJ1616</v>
      </c>
      <c r="F3815" t="s">
        <v>4631</v>
      </c>
      <c r="G3815" t="s">
        <v>3162</v>
      </c>
      <c r="H3815" t="s">
        <v>4632</v>
      </c>
      <c r="I3815" t="s">
        <v>374</v>
      </c>
      <c r="J3815" t="s">
        <v>429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3158</v>
      </c>
      <c r="B3816" t="s">
        <v>3165</v>
      </c>
      <c r="C3816" t="s">
        <v>368</v>
      </c>
      <c r="D3816" t="s">
        <v>3129</v>
      </c>
      <c r="E3816" t="str">
        <f t="shared" si="323"/>
        <v>TAYLNGVJ3FVJ1617</v>
      </c>
      <c r="F3816" t="s">
        <v>4631</v>
      </c>
      <c r="G3816" t="s">
        <v>3162</v>
      </c>
      <c r="H3816" t="s">
        <v>4632</v>
      </c>
      <c r="I3816" t="s">
        <v>374</v>
      </c>
      <c r="J3816" t="s">
        <v>429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3158</v>
      </c>
      <c r="B3817" t="s">
        <v>3165</v>
      </c>
      <c r="C3817" t="s">
        <v>368</v>
      </c>
      <c r="D3817" t="s">
        <v>3129</v>
      </c>
      <c r="E3817" t="str">
        <f t="shared" si="323"/>
        <v>TAYLNGVJ3FVJ1618</v>
      </c>
      <c r="F3817" t="s">
        <v>4631</v>
      </c>
      <c r="G3817" t="s">
        <v>3162</v>
      </c>
      <c r="H3817" t="s">
        <v>4632</v>
      </c>
      <c r="I3817" t="s">
        <v>374</v>
      </c>
      <c r="J3817" t="s">
        <v>429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3158</v>
      </c>
      <c r="B3818" t="s">
        <v>3165</v>
      </c>
      <c r="C3818" t="s">
        <v>609</v>
      </c>
      <c r="D3818" t="s">
        <v>3129</v>
      </c>
      <c r="E3818" t="str">
        <f t="shared" si="323"/>
        <v>TAYLNGVJ3FVJ164</v>
      </c>
      <c r="F3818" t="s">
        <v>4631</v>
      </c>
      <c r="G3818" t="s">
        <v>3162</v>
      </c>
      <c r="H3818" t="s">
        <v>4632</v>
      </c>
      <c r="I3818" t="s">
        <v>374</v>
      </c>
      <c r="J3818" t="s">
        <v>429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3158</v>
      </c>
      <c r="B3819" t="s">
        <v>3165</v>
      </c>
      <c r="C3819" t="s">
        <v>609</v>
      </c>
      <c r="D3819" t="s">
        <v>3129</v>
      </c>
      <c r="E3819" t="str">
        <f t="shared" si="323"/>
        <v>TAYLNGVJ3FVJ165</v>
      </c>
      <c r="F3819" t="s">
        <v>4631</v>
      </c>
      <c r="G3819" t="s">
        <v>3162</v>
      </c>
      <c r="H3819" t="s">
        <v>4632</v>
      </c>
      <c r="I3819" t="s">
        <v>374</v>
      </c>
      <c r="J3819" t="s">
        <v>429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3158</v>
      </c>
      <c r="B3820" t="s">
        <v>3165</v>
      </c>
      <c r="C3820" t="s">
        <v>609</v>
      </c>
      <c r="D3820" t="s">
        <v>3129</v>
      </c>
      <c r="E3820" t="str">
        <f t="shared" si="323"/>
        <v>TAYLNGVJ3FVJ166</v>
      </c>
      <c r="F3820" t="s">
        <v>4631</v>
      </c>
      <c r="G3820" t="s">
        <v>3162</v>
      </c>
      <c r="H3820" t="s">
        <v>4632</v>
      </c>
      <c r="I3820" t="s">
        <v>374</v>
      </c>
      <c r="J3820" t="s">
        <v>429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3158</v>
      </c>
      <c r="B3821" t="s">
        <v>3165</v>
      </c>
      <c r="C3821" t="s">
        <v>609</v>
      </c>
      <c r="D3821" t="s">
        <v>3129</v>
      </c>
      <c r="E3821" t="str">
        <f t="shared" si="323"/>
        <v>TAYLNGVJ3FVJ167</v>
      </c>
      <c r="F3821" t="s">
        <v>4631</v>
      </c>
      <c r="G3821" t="s">
        <v>3162</v>
      </c>
      <c r="H3821" t="s">
        <v>4632</v>
      </c>
      <c r="I3821" t="s">
        <v>374</v>
      </c>
      <c r="J3821" t="s">
        <v>429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3158</v>
      </c>
      <c r="B3822" t="s">
        <v>3165</v>
      </c>
      <c r="C3822" t="s">
        <v>368</v>
      </c>
      <c r="D3822" t="s">
        <v>3129</v>
      </c>
      <c r="E3822" t="str">
        <f t="shared" si="323"/>
        <v>TAYLNGVJ3FVJ168</v>
      </c>
      <c r="F3822" t="s">
        <v>4631</v>
      </c>
      <c r="G3822" t="s">
        <v>3162</v>
      </c>
      <c r="H3822" t="s">
        <v>4632</v>
      </c>
      <c r="I3822" t="s">
        <v>374</v>
      </c>
      <c r="J3822" t="s">
        <v>429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3158</v>
      </c>
      <c r="B3823" t="s">
        <v>3165</v>
      </c>
      <c r="C3823" t="s">
        <v>368</v>
      </c>
      <c r="D3823" t="s">
        <v>3129</v>
      </c>
      <c r="E3823" t="str">
        <f t="shared" si="323"/>
        <v>TAYLNGVJ3FVJ169</v>
      </c>
      <c r="F3823" t="s">
        <v>4631</v>
      </c>
      <c r="G3823" t="s">
        <v>3162</v>
      </c>
      <c r="H3823" t="s">
        <v>4632</v>
      </c>
      <c r="I3823" t="s">
        <v>374</v>
      </c>
      <c r="J3823" t="s">
        <v>429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4633</v>
      </c>
      <c r="B3824" t="s">
        <v>4634</v>
      </c>
      <c r="C3824" t="s">
        <v>368</v>
      </c>
      <c r="D3824" t="s">
        <v>3129</v>
      </c>
      <c r="E3824" t="s">
        <v>224</v>
      </c>
      <c r="F3824" t="s">
        <v>4635</v>
      </c>
      <c r="G3824" t="s">
        <v>4636</v>
      </c>
      <c r="H3824" t="s">
        <v>458</v>
      </c>
      <c r="I3824" t="s">
        <v>374</v>
      </c>
      <c r="J3824" t="s">
        <v>757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2909</v>
      </c>
      <c r="B3825" t="s">
        <v>2951</v>
      </c>
      <c r="C3825" t="s">
        <v>2909</v>
      </c>
      <c r="D3825" t="s">
        <v>2911</v>
      </c>
      <c r="E3825" t="s">
        <v>4637</v>
      </c>
      <c r="F3825" t="s">
        <v>2951</v>
      </c>
      <c r="G3825" t="s">
        <v>374</v>
      </c>
      <c r="H3825" t="s">
        <v>374</v>
      </c>
      <c r="I3825" t="s">
        <v>374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2909</v>
      </c>
      <c r="B3826" t="s">
        <v>2956</v>
      </c>
      <c r="C3826" t="s">
        <v>2909</v>
      </c>
      <c r="D3826" t="s">
        <v>2911</v>
      </c>
      <c r="E3826" t="s">
        <v>4638</v>
      </c>
      <c r="F3826" t="s">
        <v>2956</v>
      </c>
      <c r="G3826" t="s">
        <v>374</v>
      </c>
      <c r="H3826" t="s">
        <v>374</v>
      </c>
      <c r="I3826" t="s">
        <v>374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4359</v>
      </c>
      <c r="B3827" t="s">
        <v>4378</v>
      </c>
      <c r="C3827" t="s">
        <v>2844</v>
      </c>
      <c r="D3827" t="s">
        <v>4359</v>
      </c>
      <c r="E3827">
        <v>100365</v>
      </c>
      <c r="F3827" s="8" t="s">
        <v>4639</v>
      </c>
      <c r="G3827" t="s">
        <v>4640</v>
      </c>
      <c r="H3827" s="8" t="s">
        <v>4641</v>
      </c>
      <c r="I3827" t="s">
        <v>374</v>
      </c>
      <c r="J3827" s="8" t="s">
        <v>4642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521</v>
      </c>
      <c r="B3828" t="s">
        <v>540</v>
      </c>
      <c r="C3828" t="s">
        <v>368</v>
      </c>
      <c r="D3828" t="s">
        <v>523</v>
      </c>
      <c r="E3828" t="s">
        <v>4643</v>
      </c>
      <c r="F3828" t="s">
        <v>542</v>
      </c>
      <c r="G3828" t="s">
        <v>526</v>
      </c>
      <c r="H3828" t="s">
        <v>373</v>
      </c>
      <c r="I3828" t="s">
        <v>374</v>
      </c>
      <c r="J3828" t="s">
        <v>543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2909</v>
      </c>
      <c r="B3829" t="s">
        <v>2951</v>
      </c>
      <c r="C3829" t="s">
        <v>2909</v>
      </c>
      <c r="D3829" t="s">
        <v>2911</v>
      </c>
      <c r="E3829" t="s">
        <v>4644</v>
      </c>
      <c r="F3829" t="s">
        <v>2951</v>
      </c>
      <c r="G3829" t="s">
        <v>374</v>
      </c>
      <c r="H3829" t="s">
        <v>374</v>
      </c>
      <c r="I3829" t="s">
        <v>374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2909</v>
      </c>
      <c r="B3830" t="s">
        <v>2956</v>
      </c>
      <c r="C3830" t="s">
        <v>2909</v>
      </c>
      <c r="D3830" t="s">
        <v>2911</v>
      </c>
      <c r="E3830" t="s">
        <v>4645</v>
      </c>
      <c r="F3830" t="s">
        <v>2956</v>
      </c>
      <c r="G3830" t="s">
        <v>374</v>
      </c>
      <c r="H3830" t="s">
        <v>374</v>
      </c>
      <c r="I3830" t="s">
        <v>374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2909</v>
      </c>
      <c r="B3831" t="s">
        <v>2951</v>
      </c>
      <c r="C3831" t="s">
        <v>2909</v>
      </c>
      <c r="D3831" t="s">
        <v>2911</v>
      </c>
      <c r="E3831" t="s">
        <v>4646</v>
      </c>
      <c r="F3831" t="s">
        <v>2951</v>
      </c>
      <c r="G3831" t="s">
        <v>374</v>
      </c>
      <c r="H3831" t="s">
        <v>374</v>
      </c>
      <c r="I3831" t="s">
        <v>374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4359</v>
      </c>
      <c r="B3832" t="s">
        <v>4378</v>
      </c>
      <c r="C3832" t="s">
        <v>2844</v>
      </c>
      <c r="D3832" t="s">
        <v>4359</v>
      </c>
      <c r="E3832">
        <v>100362</v>
      </c>
      <c r="F3832" t="s">
        <v>4647</v>
      </c>
      <c r="G3832" t="s">
        <v>4640</v>
      </c>
      <c r="H3832" t="s">
        <v>4648</v>
      </c>
      <c r="I3832" t="s">
        <v>374</v>
      </c>
      <c r="J3832" s="8" t="s">
        <v>4649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4359</v>
      </c>
      <c r="B3833" t="s">
        <v>4378</v>
      </c>
      <c r="C3833" t="s">
        <v>4650</v>
      </c>
      <c r="D3833" t="s">
        <v>4359</v>
      </c>
      <c r="E3833">
        <v>100704</v>
      </c>
      <c r="F3833" t="s">
        <v>4651</v>
      </c>
      <c r="G3833" t="s">
        <v>4652</v>
      </c>
      <c r="H3833" t="s">
        <v>4653</v>
      </c>
      <c r="I3833" t="s">
        <v>374</v>
      </c>
      <c r="J3833" t="s">
        <v>4654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  <row r="3834" spans="1:20" x14ac:dyDescent="0.25">
      <c r="A3834" t="s">
        <v>2909</v>
      </c>
      <c r="B3834" t="s">
        <v>2921</v>
      </c>
      <c r="C3834" t="s">
        <v>2909</v>
      </c>
      <c r="D3834" t="s">
        <v>2911</v>
      </c>
      <c r="E3834" t="s">
        <v>4655</v>
      </c>
      <c r="F3834" t="s">
        <v>2923</v>
      </c>
      <c r="G3834" t="s">
        <v>2923</v>
      </c>
      <c r="H3834" t="s">
        <v>374</v>
      </c>
      <c r="I3834" t="s">
        <v>374</v>
      </c>
      <c r="J3834">
        <v>0</v>
      </c>
      <c r="K3834">
        <v>0</v>
      </c>
      <c r="L3834" s="6">
        <v>0</v>
      </c>
      <c r="M3834" s="7">
        <v>0</v>
      </c>
      <c r="N3834" s="7">
        <v>0</v>
      </c>
      <c r="O3834" s="7">
        <v>0</v>
      </c>
      <c r="P3834" s="7">
        <v>0</v>
      </c>
      <c r="Q3834" s="7">
        <v>0</v>
      </c>
      <c r="R3834" s="6">
        <v>0</v>
      </c>
      <c r="S3834" s="6">
        <v>0</v>
      </c>
      <c r="T3834" t="str">
        <f t="shared" si="320"/>
        <v>Freight Services Services</v>
      </c>
    </row>
    <row r="3835" spans="1:20" x14ac:dyDescent="0.25">
      <c r="A3835" t="s">
        <v>4656</v>
      </c>
      <c r="B3835" t="s">
        <v>4378</v>
      </c>
      <c r="C3835" t="s">
        <v>1341</v>
      </c>
      <c r="D3835" t="s">
        <v>4656</v>
      </c>
      <c r="E3835">
        <v>31023</v>
      </c>
      <c r="F3835" t="s">
        <v>4657</v>
      </c>
      <c r="G3835" t="s">
        <v>4658</v>
      </c>
      <c r="H3835" t="s">
        <v>4659</v>
      </c>
      <c r="I3835" t="s">
        <v>374</v>
      </c>
      <c r="J3835">
        <v>0</v>
      </c>
      <c r="K3835">
        <v>0</v>
      </c>
      <c r="L3835" s="6">
        <v>0</v>
      </c>
      <c r="M3835" s="7">
        <v>0</v>
      </c>
      <c r="N3835" s="7">
        <v>0</v>
      </c>
      <c r="O3835" s="7">
        <v>0</v>
      </c>
      <c r="P3835" s="7">
        <v>0</v>
      </c>
      <c r="Q3835" s="7">
        <v>0</v>
      </c>
      <c r="R3835" s="6">
        <v>0</v>
      </c>
      <c r="S3835" s="6">
        <v>0</v>
      </c>
      <c r="T3835" t="str">
        <f t="shared" si="320"/>
        <v>Deck Tile Pedestal Screw Tiles</v>
      </c>
    </row>
    <row r="3836" spans="1:20" x14ac:dyDescent="0.25">
      <c r="A3836" t="s">
        <v>2909</v>
      </c>
      <c r="B3836" t="s">
        <v>2921</v>
      </c>
      <c r="C3836" t="s">
        <v>2909</v>
      </c>
      <c r="D3836" t="s">
        <v>2911</v>
      </c>
      <c r="E3836" t="s">
        <v>4660</v>
      </c>
      <c r="F3836" t="s">
        <v>2923</v>
      </c>
      <c r="G3836" t="s">
        <v>2923</v>
      </c>
      <c r="H3836" t="s">
        <v>374</v>
      </c>
      <c r="I3836" t="s">
        <v>374</v>
      </c>
      <c r="J3836">
        <v>0</v>
      </c>
      <c r="K3836">
        <v>0</v>
      </c>
      <c r="L3836" s="6">
        <v>0</v>
      </c>
      <c r="M3836" s="7">
        <v>0</v>
      </c>
      <c r="N3836" s="7">
        <v>0</v>
      </c>
      <c r="O3836" s="7">
        <v>0</v>
      </c>
      <c r="P3836" s="7">
        <v>0</v>
      </c>
      <c r="Q3836" s="7">
        <v>0</v>
      </c>
      <c r="R3836" s="6">
        <v>0</v>
      </c>
      <c r="S3836" s="6">
        <v>0</v>
      </c>
      <c r="T3836" t="str">
        <f t="shared" si="320"/>
        <v>Freight Services Services</v>
      </c>
    </row>
    <row r="3837" spans="1:20" x14ac:dyDescent="0.25">
      <c r="A3837" t="s">
        <v>2909</v>
      </c>
      <c r="B3837" t="s">
        <v>2921</v>
      </c>
      <c r="C3837" t="s">
        <v>2909</v>
      </c>
      <c r="D3837" t="s">
        <v>2911</v>
      </c>
      <c r="E3837" t="s">
        <v>4661</v>
      </c>
      <c r="F3837" t="s">
        <v>2923</v>
      </c>
      <c r="G3837" t="s">
        <v>2923</v>
      </c>
      <c r="H3837" t="s">
        <v>374</v>
      </c>
      <c r="I3837" t="s">
        <v>374</v>
      </c>
      <c r="J3837">
        <v>0</v>
      </c>
      <c r="K3837">
        <v>0</v>
      </c>
      <c r="L3837" s="6">
        <v>0</v>
      </c>
      <c r="M3837" s="7">
        <v>0</v>
      </c>
      <c r="N3837" s="7">
        <v>0</v>
      </c>
      <c r="O3837" s="7">
        <v>0</v>
      </c>
      <c r="P3837" s="7">
        <v>0</v>
      </c>
      <c r="Q3837" s="7">
        <v>0</v>
      </c>
      <c r="R3837" s="6">
        <v>0</v>
      </c>
      <c r="S3837" s="6">
        <v>0</v>
      </c>
      <c r="T3837" t="str">
        <f t="shared" si="320"/>
        <v>Freight Services Services</v>
      </c>
    </row>
    <row r="3838" spans="1:20" x14ac:dyDescent="0.25">
      <c r="A3838" t="s">
        <v>2909</v>
      </c>
      <c r="B3838" t="s">
        <v>2921</v>
      </c>
      <c r="C3838" t="s">
        <v>2909</v>
      </c>
      <c r="D3838" t="s">
        <v>2911</v>
      </c>
      <c r="E3838" t="s">
        <v>4662</v>
      </c>
      <c r="F3838" t="s">
        <v>2923</v>
      </c>
      <c r="G3838" t="s">
        <v>2923</v>
      </c>
      <c r="H3838" t="s">
        <v>374</v>
      </c>
      <c r="I3838" t="s">
        <v>374</v>
      </c>
      <c r="J3838">
        <v>0</v>
      </c>
      <c r="K3838">
        <v>0</v>
      </c>
      <c r="L3838" s="6">
        <v>0</v>
      </c>
      <c r="M3838" s="7">
        <v>0</v>
      </c>
      <c r="N3838" s="7">
        <v>0</v>
      </c>
      <c r="O3838" s="7">
        <v>0</v>
      </c>
      <c r="P3838" s="7">
        <v>0</v>
      </c>
      <c r="Q3838" s="7">
        <v>0</v>
      </c>
      <c r="R3838" s="6">
        <v>0</v>
      </c>
      <c r="S3838" s="6">
        <v>0</v>
      </c>
      <c r="T3838" t="str">
        <f t="shared" si="320"/>
        <v>Freight Services Services</v>
      </c>
    </row>
    <row r="3839" spans="1:20" x14ac:dyDescent="0.25">
      <c r="A3839" t="s">
        <v>2909</v>
      </c>
      <c r="B3839" t="s">
        <v>2926</v>
      </c>
      <c r="C3839" t="s">
        <v>2909</v>
      </c>
      <c r="D3839" t="s">
        <v>2911</v>
      </c>
      <c r="E3839" t="s">
        <v>4663</v>
      </c>
      <c r="F3839" t="s">
        <v>2928</v>
      </c>
      <c r="G3839" t="s">
        <v>2928</v>
      </c>
      <c r="H3839" t="s">
        <v>374</v>
      </c>
      <c r="I3839" t="s">
        <v>374</v>
      </c>
      <c r="J3839">
        <v>0</v>
      </c>
      <c r="K3839">
        <v>0</v>
      </c>
      <c r="L3839" s="6">
        <v>0</v>
      </c>
      <c r="M3839" s="7">
        <v>0</v>
      </c>
      <c r="N3839" s="7">
        <v>0</v>
      </c>
      <c r="O3839" s="7">
        <v>0</v>
      </c>
      <c r="P3839" s="7">
        <v>0</v>
      </c>
      <c r="Q3839" s="7">
        <v>0</v>
      </c>
      <c r="R3839" s="6">
        <v>0</v>
      </c>
      <c r="S3839" s="6">
        <v>0</v>
      </c>
      <c r="T3839" t="str">
        <f t="shared" si="320"/>
        <v>Marketing Services Services</v>
      </c>
    </row>
    <row r="3840" spans="1:20" x14ac:dyDescent="0.25">
      <c r="A3840" t="s">
        <v>2909</v>
      </c>
      <c r="B3840" t="s">
        <v>2921</v>
      </c>
      <c r="C3840" t="s">
        <v>2909</v>
      </c>
      <c r="D3840" t="s">
        <v>2911</v>
      </c>
      <c r="E3840" t="s">
        <v>4664</v>
      </c>
      <c r="F3840" t="s">
        <v>2923</v>
      </c>
      <c r="G3840" t="s">
        <v>2923</v>
      </c>
      <c r="H3840" t="s">
        <v>374</v>
      </c>
      <c r="I3840" t="s">
        <v>374</v>
      </c>
      <c r="J3840">
        <v>0</v>
      </c>
      <c r="K3840">
        <v>0</v>
      </c>
      <c r="L3840" s="6">
        <v>0</v>
      </c>
      <c r="M3840" s="7">
        <v>0</v>
      </c>
      <c r="N3840" s="7">
        <v>0</v>
      </c>
      <c r="O3840" s="7">
        <v>0</v>
      </c>
      <c r="P3840" s="7">
        <v>0</v>
      </c>
      <c r="Q3840" s="7">
        <v>0</v>
      </c>
      <c r="R3840" s="6">
        <v>0</v>
      </c>
      <c r="S3840" s="6">
        <v>0</v>
      </c>
      <c r="T3840" t="str">
        <f t="shared" si="320"/>
        <v>Freight Services Services</v>
      </c>
    </row>
    <row r="3841" spans="1:20" x14ac:dyDescent="0.25">
      <c r="A3841" t="s">
        <v>2909</v>
      </c>
      <c r="B3841" t="s">
        <v>2926</v>
      </c>
      <c r="C3841" t="s">
        <v>2909</v>
      </c>
      <c r="D3841" t="s">
        <v>2911</v>
      </c>
      <c r="E3841" t="s">
        <v>4665</v>
      </c>
      <c r="F3841" t="s">
        <v>2928</v>
      </c>
      <c r="G3841" t="s">
        <v>2928</v>
      </c>
      <c r="H3841" t="s">
        <v>374</v>
      </c>
      <c r="I3841" t="s">
        <v>374</v>
      </c>
      <c r="J3841">
        <v>0</v>
      </c>
      <c r="K3841">
        <v>0</v>
      </c>
      <c r="L3841" s="6">
        <v>0</v>
      </c>
      <c r="M3841" s="7">
        <v>0</v>
      </c>
      <c r="N3841" s="7">
        <v>0</v>
      </c>
      <c r="O3841" s="7">
        <v>0</v>
      </c>
      <c r="P3841" s="7">
        <v>0</v>
      </c>
      <c r="Q3841" s="7">
        <v>0</v>
      </c>
      <c r="R3841" s="6">
        <v>0</v>
      </c>
      <c r="S3841" s="6">
        <v>0</v>
      </c>
      <c r="T3841" t="str">
        <f t="shared" si="320"/>
        <v>Marketing Services Services</v>
      </c>
    </row>
    <row r="3842" spans="1:20" x14ac:dyDescent="0.25">
      <c r="A3842" t="s">
        <v>2909</v>
      </c>
      <c r="B3842" t="s">
        <v>2910</v>
      </c>
      <c r="C3842" t="s">
        <v>2909</v>
      </c>
      <c r="D3842" t="s">
        <v>2911</v>
      </c>
      <c r="E3842" t="s">
        <v>4666</v>
      </c>
      <c r="F3842" t="s">
        <v>2910</v>
      </c>
      <c r="G3842" t="s">
        <v>2910</v>
      </c>
      <c r="H3842" t="s">
        <v>374</v>
      </c>
      <c r="I3842" t="s">
        <v>374</v>
      </c>
      <c r="J3842">
        <v>0</v>
      </c>
      <c r="K3842">
        <v>0</v>
      </c>
      <c r="L3842" s="6">
        <v>0</v>
      </c>
      <c r="M3842" s="7">
        <v>0</v>
      </c>
      <c r="N3842" s="7">
        <v>0</v>
      </c>
      <c r="O3842" s="7">
        <v>0</v>
      </c>
      <c r="P3842" s="7">
        <v>0</v>
      </c>
      <c r="Q3842" s="7">
        <v>0</v>
      </c>
      <c r="R3842" s="6">
        <v>0</v>
      </c>
      <c r="S3842" s="6">
        <v>0</v>
      </c>
      <c r="T3842" t="str">
        <f t="shared" ref="T3842:T3905" si="332">F3842&amp;" "&amp;C3842</f>
        <v>Expense Recovery Services</v>
      </c>
    </row>
    <row r="3843" spans="1:20" x14ac:dyDescent="0.25">
      <c r="A3843" t="s">
        <v>2909</v>
      </c>
      <c r="B3843" t="s">
        <v>2910</v>
      </c>
      <c r="C3843" t="s">
        <v>2909</v>
      </c>
      <c r="D3843" t="s">
        <v>2911</v>
      </c>
      <c r="E3843" t="s">
        <v>4667</v>
      </c>
      <c r="F3843" t="s">
        <v>2910</v>
      </c>
      <c r="G3843" t="s">
        <v>2910</v>
      </c>
      <c r="H3843" t="s">
        <v>374</v>
      </c>
      <c r="I3843" t="s">
        <v>374</v>
      </c>
      <c r="J3843">
        <v>0</v>
      </c>
      <c r="K3843">
        <v>0</v>
      </c>
      <c r="L3843" s="6">
        <v>0</v>
      </c>
      <c r="M3843" s="7">
        <v>0</v>
      </c>
      <c r="N3843" s="7">
        <v>0</v>
      </c>
      <c r="O3843" s="7">
        <v>0</v>
      </c>
      <c r="P3843" s="7">
        <v>0</v>
      </c>
      <c r="Q3843" s="7">
        <v>0</v>
      </c>
      <c r="R3843" s="6">
        <v>0</v>
      </c>
      <c r="S3843" s="6">
        <v>0</v>
      </c>
      <c r="T3843" t="str">
        <f t="shared" si="332"/>
        <v>Expense Recovery Services</v>
      </c>
    </row>
    <row r="3844" spans="1:20" x14ac:dyDescent="0.25">
      <c r="A3844" t="s">
        <v>2909</v>
      </c>
      <c r="B3844" t="s">
        <v>2910</v>
      </c>
      <c r="C3844" t="s">
        <v>2909</v>
      </c>
      <c r="D3844" t="s">
        <v>2911</v>
      </c>
      <c r="E3844" t="s">
        <v>4668</v>
      </c>
      <c r="F3844" t="s">
        <v>2910</v>
      </c>
      <c r="G3844" t="s">
        <v>2910</v>
      </c>
      <c r="H3844" t="s">
        <v>374</v>
      </c>
      <c r="I3844" t="s">
        <v>374</v>
      </c>
      <c r="J3844">
        <v>0</v>
      </c>
      <c r="K3844">
        <v>0</v>
      </c>
      <c r="L3844" s="6">
        <v>0</v>
      </c>
      <c r="M3844" s="7">
        <v>0</v>
      </c>
      <c r="N3844" s="7">
        <v>0</v>
      </c>
      <c r="O3844" s="7">
        <v>0</v>
      </c>
      <c r="P3844" s="7">
        <v>0</v>
      </c>
      <c r="Q3844" s="7">
        <v>0</v>
      </c>
      <c r="R3844" s="6">
        <v>0</v>
      </c>
      <c r="S3844" s="6">
        <v>0</v>
      </c>
      <c r="T3844" t="str">
        <f t="shared" si="332"/>
        <v>Expense Recovery Services</v>
      </c>
    </row>
    <row r="3845" spans="1:20" x14ac:dyDescent="0.25">
      <c r="A3845" t="s">
        <v>2909</v>
      </c>
      <c r="B3845" t="s">
        <v>2910</v>
      </c>
      <c r="C3845" t="s">
        <v>2909</v>
      </c>
      <c r="D3845" t="s">
        <v>2911</v>
      </c>
      <c r="E3845" t="s">
        <v>4669</v>
      </c>
      <c r="F3845" t="s">
        <v>2910</v>
      </c>
      <c r="G3845" t="s">
        <v>2910</v>
      </c>
      <c r="H3845" t="s">
        <v>374</v>
      </c>
      <c r="I3845" t="s">
        <v>374</v>
      </c>
      <c r="J3845">
        <v>0</v>
      </c>
      <c r="K3845">
        <v>0</v>
      </c>
      <c r="L3845" s="6">
        <v>0</v>
      </c>
      <c r="M3845" s="7">
        <v>0</v>
      </c>
      <c r="N3845" s="7">
        <v>0</v>
      </c>
      <c r="O3845" s="7">
        <v>0</v>
      </c>
      <c r="P3845" s="7">
        <v>0</v>
      </c>
      <c r="Q3845" s="7">
        <v>0</v>
      </c>
      <c r="R3845" s="6">
        <v>0</v>
      </c>
      <c r="S3845" s="6">
        <v>0</v>
      </c>
      <c r="T3845" t="str">
        <f t="shared" si="332"/>
        <v>Expense Recovery Services</v>
      </c>
    </row>
    <row r="3846" spans="1:20" x14ac:dyDescent="0.25">
      <c r="A3846" t="s">
        <v>2909</v>
      </c>
      <c r="B3846" t="s">
        <v>2910</v>
      </c>
      <c r="C3846" t="s">
        <v>2909</v>
      </c>
      <c r="D3846" t="s">
        <v>2911</v>
      </c>
      <c r="E3846" t="s">
        <v>4670</v>
      </c>
      <c r="F3846" t="s">
        <v>2910</v>
      </c>
      <c r="G3846" t="s">
        <v>2910</v>
      </c>
      <c r="H3846" t="s">
        <v>374</v>
      </c>
      <c r="I3846" t="s">
        <v>374</v>
      </c>
      <c r="J3846">
        <v>0</v>
      </c>
      <c r="K3846">
        <v>0</v>
      </c>
      <c r="L3846" s="6">
        <v>0</v>
      </c>
      <c r="M3846" s="7">
        <v>0</v>
      </c>
      <c r="N3846" s="7">
        <v>0</v>
      </c>
      <c r="O3846" s="7">
        <v>0</v>
      </c>
      <c r="P3846" s="7">
        <v>0</v>
      </c>
      <c r="Q3846" s="7">
        <v>0</v>
      </c>
      <c r="R3846" s="6">
        <v>0</v>
      </c>
      <c r="S3846" s="6">
        <v>0</v>
      </c>
      <c r="T3846" t="str">
        <f t="shared" si="332"/>
        <v>Expense Recovery Services</v>
      </c>
    </row>
    <row r="3847" spans="1:20" x14ac:dyDescent="0.25">
      <c r="A3847" t="s">
        <v>2909</v>
      </c>
      <c r="B3847" t="s">
        <v>2951</v>
      </c>
      <c r="C3847" t="s">
        <v>2909</v>
      </c>
      <c r="D3847" t="s">
        <v>2911</v>
      </c>
      <c r="E3847" t="s">
        <v>4671</v>
      </c>
      <c r="F3847" t="s">
        <v>2951</v>
      </c>
      <c r="G3847" t="s">
        <v>374</v>
      </c>
      <c r="H3847" t="s">
        <v>374</v>
      </c>
      <c r="I3847" t="s">
        <v>374</v>
      </c>
      <c r="J3847">
        <v>0</v>
      </c>
      <c r="K3847">
        <v>0</v>
      </c>
      <c r="L3847" s="6">
        <v>0</v>
      </c>
      <c r="M3847" s="7">
        <v>0</v>
      </c>
      <c r="N3847" s="7">
        <v>0</v>
      </c>
      <c r="O3847" s="7">
        <v>0</v>
      </c>
      <c r="P3847" s="7">
        <v>0</v>
      </c>
      <c r="Q3847" s="7">
        <v>0</v>
      </c>
      <c r="R3847" s="6">
        <v>0</v>
      </c>
      <c r="S3847" s="6">
        <v>0</v>
      </c>
      <c r="T3847" t="str">
        <f t="shared" si="332"/>
        <v>Milling Services</v>
      </c>
    </row>
    <row r="3848" spans="1:20" x14ac:dyDescent="0.25">
      <c r="A3848" t="s">
        <v>4359</v>
      </c>
      <c r="B3848" t="s">
        <v>4378</v>
      </c>
      <c r="C3848" t="s">
        <v>4672</v>
      </c>
      <c r="D3848" t="s">
        <v>4359</v>
      </c>
      <c r="E3848">
        <v>100109</v>
      </c>
      <c r="F3848" t="s">
        <v>4673</v>
      </c>
      <c r="G3848" t="s">
        <v>4674</v>
      </c>
      <c r="H3848" t="s">
        <v>4675</v>
      </c>
      <c r="I3848" t="s">
        <v>374</v>
      </c>
      <c r="J3848" t="s">
        <v>4676</v>
      </c>
      <c r="K3848">
        <v>0</v>
      </c>
      <c r="L3848" s="6">
        <v>0</v>
      </c>
      <c r="M3848" s="7">
        <v>0</v>
      </c>
      <c r="N3848" s="7">
        <v>0</v>
      </c>
      <c r="O3848" s="7">
        <v>0</v>
      </c>
      <c r="P3848" s="7">
        <v>0</v>
      </c>
      <c r="Q3848" s="7">
        <v>0</v>
      </c>
      <c r="R3848" s="6">
        <v>0</v>
      </c>
      <c r="S3848" s="6">
        <v>0</v>
      </c>
      <c r="T3848" t="str">
        <f t="shared" si="332"/>
        <v>Saw Blade US4 TCT - 7.1/4'' 60 Saw</v>
      </c>
    </row>
    <row r="3849" spans="1:20" x14ac:dyDescent="0.25">
      <c r="A3849" t="s">
        <v>4359</v>
      </c>
      <c r="B3849" t="s">
        <v>4378</v>
      </c>
      <c r="C3849" t="s">
        <v>4672</v>
      </c>
      <c r="D3849" t="s">
        <v>4359</v>
      </c>
      <c r="E3849">
        <v>100111</v>
      </c>
      <c r="F3849" t="s">
        <v>4677</v>
      </c>
      <c r="G3849" t="s">
        <v>4674</v>
      </c>
      <c r="H3849" t="s">
        <v>4675</v>
      </c>
      <c r="I3849" t="s">
        <v>374</v>
      </c>
      <c r="J3849" t="s">
        <v>4678</v>
      </c>
      <c r="K3849">
        <v>0</v>
      </c>
      <c r="L3849" s="6">
        <v>0</v>
      </c>
      <c r="M3849" s="7">
        <v>0</v>
      </c>
      <c r="N3849" s="7">
        <v>0</v>
      </c>
      <c r="O3849" s="7">
        <v>0</v>
      </c>
      <c r="P3849" s="7">
        <v>0</v>
      </c>
      <c r="Q3849" s="7">
        <v>0</v>
      </c>
      <c r="R3849" s="6">
        <v>0</v>
      </c>
      <c r="S3849" s="6">
        <v>0</v>
      </c>
      <c r="T3849" t="str">
        <f t="shared" si="332"/>
        <v>Saw Blade US4 TCT - 10'' 40 Saw</v>
      </c>
    </row>
    <row r="3850" spans="1:20" x14ac:dyDescent="0.25">
      <c r="A3850" t="s">
        <v>4359</v>
      </c>
      <c r="B3850" t="s">
        <v>4378</v>
      </c>
      <c r="C3850" t="s">
        <v>4672</v>
      </c>
      <c r="D3850" t="s">
        <v>4359</v>
      </c>
      <c r="E3850">
        <v>100113</v>
      </c>
      <c r="F3850" t="s">
        <v>4679</v>
      </c>
      <c r="G3850" t="s">
        <v>4674</v>
      </c>
      <c r="H3850" t="s">
        <v>4675</v>
      </c>
      <c r="I3850" t="s">
        <v>374</v>
      </c>
      <c r="J3850" t="s">
        <v>4680</v>
      </c>
      <c r="K3850">
        <v>0</v>
      </c>
      <c r="L3850" s="6">
        <v>0</v>
      </c>
      <c r="M3850" s="7">
        <v>0</v>
      </c>
      <c r="N3850" s="7">
        <v>0</v>
      </c>
      <c r="O3850" s="7">
        <v>0</v>
      </c>
      <c r="P3850" s="7">
        <v>0</v>
      </c>
      <c r="Q3850" s="7">
        <v>0</v>
      </c>
      <c r="R3850" s="6">
        <v>0</v>
      </c>
      <c r="S3850" s="6">
        <v>0</v>
      </c>
      <c r="T3850" t="str">
        <f t="shared" si="332"/>
        <v>Saw Blade US4 TCT - 12'' 80 Saw</v>
      </c>
    </row>
    <row r="3851" spans="1:20" x14ac:dyDescent="0.25">
      <c r="A3851" t="s">
        <v>4656</v>
      </c>
      <c r="B3851" t="s">
        <v>4378</v>
      </c>
      <c r="C3851" t="s">
        <v>2844</v>
      </c>
      <c r="D3851" t="s">
        <v>4656</v>
      </c>
      <c r="E3851">
        <v>32407</v>
      </c>
      <c r="F3851" t="s">
        <v>4681</v>
      </c>
      <c r="G3851" t="s">
        <v>4682</v>
      </c>
      <c r="H3851" t="s">
        <v>4683</v>
      </c>
      <c r="I3851" t="s">
        <v>374</v>
      </c>
      <c r="J3851" t="s">
        <v>4684</v>
      </c>
      <c r="K3851">
        <v>0</v>
      </c>
      <c r="L3851" s="6">
        <v>0</v>
      </c>
      <c r="M3851" s="7">
        <v>0</v>
      </c>
      <c r="N3851" s="7">
        <v>0</v>
      </c>
      <c r="O3851" s="7">
        <v>0</v>
      </c>
      <c r="P3851" s="7">
        <v>0</v>
      </c>
      <c r="Q3851" s="7">
        <v>0</v>
      </c>
      <c r="R3851" s="6">
        <v>0</v>
      </c>
      <c r="S3851" s="6">
        <v>0</v>
      </c>
      <c r="T3851" t="str">
        <f t="shared" si="332"/>
        <v>Screws Kit 1050 Count Ipe Clip - 5/32" Screws</v>
      </c>
    </row>
    <row r="3852" spans="1:20" x14ac:dyDescent="0.25">
      <c r="A3852" t="s">
        <v>4656</v>
      </c>
      <c r="B3852" t="s">
        <v>4378</v>
      </c>
      <c r="C3852" t="s">
        <v>2971</v>
      </c>
      <c r="D3852" t="s">
        <v>4656</v>
      </c>
      <c r="E3852" t="s">
        <v>4685</v>
      </c>
      <c r="F3852" t="s">
        <v>4686</v>
      </c>
      <c r="G3852" t="s">
        <v>4687</v>
      </c>
      <c r="H3852" t="s">
        <v>4688</v>
      </c>
      <c r="I3852" t="s">
        <v>3132</v>
      </c>
      <c r="J3852">
        <v>0</v>
      </c>
      <c r="K3852">
        <v>0</v>
      </c>
      <c r="L3852" s="6">
        <v>0</v>
      </c>
      <c r="M3852" s="7">
        <v>0</v>
      </c>
      <c r="N3852" s="7">
        <v>0</v>
      </c>
      <c r="O3852" s="7">
        <v>0</v>
      </c>
      <c r="P3852" s="7">
        <v>0</v>
      </c>
      <c r="Q3852" s="7">
        <v>0</v>
      </c>
      <c r="R3852" s="6">
        <v>0</v>
      </c>
      <c r="S3852" s="6">
        <v>0</v>
      </c>
      <c r="T3852" t="str">
        <f t="shared" si="332"/>
        <v>CUTEK Colortone 95 ml / 3.2 oz Walnut Oil</v>
      </c>
    </row>
    <row r="3853" spans="1:20" x14ac:dyDescent="0.25">
      <c r="A3853" t="s">
        <v>4656</v>
      </c>
      <c r="B3853" t="s">
        <v>4378</v>
      </c>
      <c r="C3853" t="s">
        <v>2971</v>
      </c>
      <c r="D3853" t="s">
        <v>4656</v>
      </c>
      <c r="E3853" t="s">
        <v>4689</v>
      </c>
      <c r="F3853" t="s">
        <v>4690</v>
      </c>
      <c r="G3853" t="s">
        <v>4687</v>
      </c>
      <c r="H3853" t="s">
        <v>4688</v>
      </c>
      <c r="I3853" t="s">
        <v>4691</v>
      </c>
      <c r="J3853">
        <v>0</v>
      </c>
      <c r="K3853">
        <v>0</v>
      </c>
      <c r="L3853" s="6">
        <v>0</v>
      </c>
      <c r="M3853" s="7">
        <v>0</v>
      </c>
      <c r="N3853" s="7">
        <v>0</v>
      </c>
      <c r="O3853" s="7">
        <v>0</v>
      </c>
      <c r="P3853" s="7">
        <v>0</v>
      </c>
      <c r="Q3853" s="7">
        <v>0</v>
      </c>
      <c r="R3853" s="6">
        <v>0</v>
      </c>
      <c r="S3853" s="6">
        <v>0</v>
      </c>
      <c r="T3853" t="str">
        <f t="shared" si="332"/>
        <v>CUTEK Colortone 95 ml / 3.2 oz Expresso Oil</v>
      </c>
    </row>
    <row r="3854" spans="1:20" x14ac:dyDescent="0.25">
      <c r="A3854" t="s">
        <v>4035</v>
      </c>
      <c r="B3854" t="s">
        <v>4057</v>
      </c>
      <c r="C3854" t="s">
        <v>1438</v>
      </c>
      <c r="D3854" t="s">
        <v>3150</v>
      </c>
      <c r="E3854" t="s">
        <v>4692</v>
      </c>
      <c r="F3854" t="s">
        <v>4693</v>
      </c>
      <c r="G3854" t="s">
        <v>4039</v>
      </c>
      <c r="H3854" t="s">
        <v>4694</v>
      </c>
      <c r="I3854" t="s">
        <v>1438</v>
      </c>
      <c r="J3854" t="s">
        <v>429</v>
      </c>
      <c r="K3854">
        <v>0</v>
      </c>
      <c r="L3854" s="6">
        <v>0</v>
      </c>
      <c r="M3854" s="7">
        <v>0</v>
      </c>
      <c r="N3854" s="7">
        <v>0</v>
      </c>
      <c r="O3854" s="7">
        <v>0</v>
      </c>
      <c r="P3854" s="7">
        <v>0</v>
      </c>
      <c r="Q3854" s="7">
        <v>0</v>
      </c>
      <c r="R3854" s="6">
        <v>0</v>
      </c>
      <c r="S3854" s="6">
        <v>0</v>
      </c>
      <c r="T3854" t="str">
        <f t="shared" si="332"/>
        <v>Maximo Thermo Clear Radiata Rondo Plus Random Lenght 1x6 Random Lenght</v>
      </c>
    </row>
    <row r="3855" spans="1:20" x14ac:dyDescent="0.25">
      <c r="A3855" t="s">
        <v>3148</v>
      </c>
      <c r="B3855" t="s">
        <v>3149</v>
      </c>
      <c r="C3855" t="s">
        <v>1438</v>
      </c>
      <c r="D3855" t="s">
        <v>3150</v>
      </c>
      <c r="E3855" t="s">
        <v>4695</v>
      </c>
      <c r="F3855" t="s">
        <v>4696</v>
      </c>
      <c r="G3855" t="s">
        <v>3153</v>
      </c>
      <c r="H3855" t="s">
        <v>3157</v>
      </c>
      <c r="I3855" t="s">
        <v>1438</v>
      </c>
      <c r="J3855" t="s">
        <v>429</v>
      </c>
      <c r="K3855">
        <v>0</v>
      </c>
      <c r="L3855" s="6">
        <v>0</v>
      </c>
      <c r="M3855" s="7">
        <v>0</v>
      </c>
      <c r="N3855" s="7">
        <v>0</v>
      </c>
      <c r="O3855" s="7">
        <v>0</v>
      </c>
      <c r="P3855" s="7">
        <v>0</v>
      </c>
      <c r="Q3855" s="7">
        <v>0</v>
      </c>
      <c r="R3855" s="6">
        <v>0</v>
      </c>
      <c r="S3855" s="6">
        <v>0</v>
      </c>
      <c r="T3855" t="str">
        <f t="shared" si="332"/>
        <v>Maximo Thermo Ash Rondo Random Lenght 1x6 Random Lenght</v>
      </c>
    </row>
    <row r="3856" spans="1:20" x14ac:dyDescent="0.25">
      <c r="A3856" t="s">
        <v>3148</v>
      </c>
      <c r="B3856" t="s">
        <v>3149</v>
      </c>
      <c r="C3856" t="s">
        <v>1438</v>
      </c>
      <c r="D3856" t="s">
        <v>3150</v>
      </c>
      <c r="E3856" t="s">
        <v>4697</v>
      </c>
      <c r="F3856" t="s">
        <v>4698</v>
      </c>
      <c r="G3856" t="s">
        <v>3153</v>
      </c>
      <c r="H3856" t="s">
        <v>4699</v>
      </c>
      <c r="I3856" t="s">
        <v>1438</v>
      </c>
      <c r="J3856" t="s">
        <v>429</v>
      </c>
      <c r="K3856">
        <v>0</v>
      </c>
      <c r="L3856" s="6">
        <v>0</v>
      </c>
      <c r="M3856" s="7">
        <v>0</v>
      </c>
      <c r="N3856" s="7">
        <v>0</v>
      </c>
      <c r="O3856" s="7">
        <v>0</v>
      </c>
      <c r="P3856" s="7">
        <v>0</v>
      </c>
      <c r="Q3856" s="7">
        <v>0</v>
      </c>
      <c r="R3856" s="6">
        <v>0</v>
      </c>
      <c r="S3856" s="6">
        <v>0</v>
      </c>
      <c r="T3856" t="str">
        <f t="shared" si="332"/>
        <v>Maximo Thermo Ash Duo Fluted Random Lenght 1x6 Random Lenght</v>
      </c>
    </row>
    <row r="3857" spans="1:20" x14ac:dyDescent="0.25">
      <c r="A3857" t="s">
        <v>3148</v>
      </c>
      <c r="B3857" t="s">
        <v>3149</v>
      </c>
      <c r="C3857" t="s">
        <v>1438</v>
      </c>
      <c r="D3857" t="s">
        <v>3150</v>
      </c>
      <c r="E3857" t="s">
        <v>4700</v>
      </c>
      <c r="F3857" t="s">
        <v>4701</v>
      </c>
      <c r="G3857" t="s">
        <v>3153</v>
      </c>
      <c r="H3857" t="s">
        <v>4702</v>
      </c>
      <c r="I3857" t="s">
        <v>1438</v>
      </c>
      <c r="J3857" t="s">
        <v>429</v>
      </c>
      <c r="K3857">
        <v>0</v>
      </c>
      <c r="L3857" s="6">
        <v>0</v>
      </c>
      <c r="M3857" s="7">
        <v>0</v>
      </c>
      <c r="N3857" s="7">
        <v>0</v>
      </c>
      <c r="O3857" s="7">
        <v>0</v>
      </c>
      <c r="P3857" s="7">
        <v>0</v>
      </c>
      <c r="Q3857" s="7">
        <v>0</v>
      </c>
      <c r="R3857" s="6">
        <v>0</v>
      </c>
      <c r="S3857" s="6">
        <v>0</v>
      </c>
      <c r="T3857" t="str">
        <f t="shared" si="332"/>
        <v>Maximo Thermo Ash Vjoint - Square Back Random Lenght 1x6 Random Lenght</v>
      </c>
    </row>
    <row r="3858" spans="1:20" x14ac:dyDescent="0.25">
      <c r="A3858" t="s">
        <v>3158</v>
      </c>
      <c r="B3858" t="s">
        <v>3165</v>
      </c>
      <c r="C3858" t="s">
        <v>1438</v>
      </c>
      <c r="D3858" t="s">
        <v>3150</v>
      </c>
      <c r="E3858" t="s">
        <v>4703</v>
      </c>
      <c r="F3858" t="s">
        <v>4704</v>
      </c>
      <c r="G3858" t="s">
        <v>3162</v>
      </c>
      <c r="H3858" t="s">
        <v>4705</v>
      </c>
      <c r="I3858" t="s">
        <v>1438</v>
      </c>
      <c r="J3858" t="s">
        <v>429</v>
      </c>
      <c r="K3858">
        <v>0</v>
      </c>
      <c r="L3858" s="6">
        <v>0</v>
      </c>
      <c r="M3858" s="7">
        <v>0</v>
      </c>
      <c r="N3858" s="7">
        <v>0</v>
      </c>
      <c r="O3858" s="7">
        <v>0</v>
      </c>
      <c r="P3858" s="7">
        <v>0</v>
      </c>
      <c r="Q3858" s="7">
        <v>0</v>
      </c>
      <c r="R3858" s="6">
        <v>0</v>
      </c>
      <c r="S3858" s="6">
        <v>0</v>
      </c>
      <c r="T3858" t="str">
        <f t="shared" si="332"/>
        <v>Maximo Thermo Ayous Concave Random Lenght 1x6 Random Lenght</v>
      </c>
    </row>
    <row r="3859" spans="1:20" x14ac:dyDescent="0.25">
      <c r="A3859" t="s">
        <v>3158</v>
      </c>
      <c r="B3859" t="s">
        <v>3165</v>
      </c>
      <c r="C3859" t="s">
        <v>1438</v>
      </c>
      <c r="D3859" t="s">
        <v>3150</v>
      </c>
      <c r="E3859" t="s">
        <v>4706</v>
      </c>
      <c r="F3859" t="s">
        <v>4707</v>
      </c>
      <c r="G3859" t="s">
        <v>3162</v>
      </c>
      <c r="H3859" t="s">
        <v>4699</v>
      </c>
      <c r="I3859" t="s">
        <v>1438</v>
      </c>
      <c r="J3859" t="s">
        <v>429</v>
      </c>
      <c r="K3859">
        <v>0</v>
      </c>
      <c r="L3859" s="6">
        <v>0</v>
      </c>
      <c r="M3859" s="7">
        <v>0</v>
      </c>
      <c r="N3859" s="7">
        <v>0</v>
      </c>
      <c r="O3859" s="7">
        <v>0</v>
      </c>
      <c r="P3859" s="7">
        <v>0</v>
      </c>
      <c r="Q3859" s="7">
        <v>0</v>
      </c>
      <c r="R3859" s="6">
        <v>0</v>
      </c>
      <c r="S3859" s="6">
        <v>0</v>
      </c>
      <c r="T3859" t="str">
        <f t="shared" si="332"/>
        <v>Maximo Thermo Ayous Duo Fluted Random Lenght 1x6 Random Lenght</v>
      </c>
    </row>
    <row r="3860" spans="1:20" x14ac:dyDescent="0.25">
      <c r="A3860" t="s">
        <v>3158</v>
      </c>
      <c r="B3860" t="s">
        <v>3165</v>
      </c>
      <c r="C3860" t="s">
        <v>1438</v>
      </c>
      <c r="D3860" t="s">
        <v>3150</v>
      </c>
      <c r="E3860" t="s">
        <v>4708</v>
      </c>
      <c r="F3860" t="s">
        <v>4709</v>
      </c>
      <c r="G3860" t="s">
        <v>3162</v>
      </c>
      <c r="H3860" t="s">
        <v>4694</v>
      </c>
      <c r="I3860" t="s">
        <v>1438</v>
      </c>
      <c r="J3860" t="s">
        <v>429</v>
      </c>
      <c r="K3860">
        <v>0</v>
      </c>
      <c r="L3860" s="6">
        <v>0</v>
      </c>
      <c r="M3860" s="7">
        <v>0</v>
      </c>
      <c r="N3860" s="7">
        <v>0</v>
      </c>
      <c r="O3860" s="7">
        <v>0</v>
      </c>
      <c r="P3860" s="7">
        <v>0</v>
      </c>
      <c r="Q3860" s="7">
        <v>0</v>
      </c>
      <c r="R3860" s="6">
        <v>0</v>
      </c>
      <c r="S3860" s="6">
        <v>0</v>
      </c>
      <c r="T3860" t="str">
        <f t="shared" si="332"/>
        <v>Maximo Thermo Ayous Rondo Plus Random Lenght 1x6 Random Lenght</v>
      </c>
    </row>
    <row r="3861" spans="1:20" x14ac:dyDescent="0.25">
      <c r="A3861" t="s">
        <v>4402</v>
      </c>
      <c r="B3861" t="s">
        <v>4403</v>
      </c>
      <c r="C3861" t="s">
        <v>4404</v>
      </c>
      <c r="D3861" t="s">
        <v>4402</v>
      </c>
      <c r="E3861" t="s">
        <v>4710</v>
      </c>
      <c r="F3861" t="s">
        <v>4413</v>
      </c>
      <c r="G3861" t="s">
        <v>4402</v>
      </c>
      <c r="H3861" t="s">
        <v>4711</v>
      </c>
      <c r="I3861" t="s">
        <v>374</v>
      </c>
      <c r="J3861">
        <v>0</v>
      </c>
      <c r="K3861">
        <v>0</v>
      </c>
      <c r="L3861" s="6">
        <v>0</v>
      </c>
      <c r="M3861" s="7">
        <v>0</v>
      </c>
      <c r="N3861" s="7">
        <v>0</v>
      </c>
      <c r="O3861" s="7">
        <v>0</v>
      </c>
      <c r="P3861" s="7">
        <v>0</v>
      </c>
      <c r="Q3861" s="7">
        <v>0</v>
      </c>
      <c r="R3861" s="6">
        <v>0</v>
      </c>
      <c r="S3861" s="6">
        <v>0</v>
      </c>
      <c r="T3861" t="str">
        <f t="shared" si="332"/>
        <v>Wood Table with Glass Regular</v>
      </c>
    </row>
    <row r="3862" spans="1:20" x14ac:dyDescent="0.25">
      <c r="A3862" t="s">
        <v>2909</v>
      </c>
      <c r="B3862" t="s">
        <v>2959</v>
      </c>
      <c r="C3862" t="s">
        <v>2909</v>
      </c>
      <c r="D3862" t="s">
        <v>2911</v>
      </c>
      <c r="E3862" t="s">
        <v>4712</v>
      </c>
      <c r="F3862" t="s">
        <v>2961</v>
      </c>
      <c r="G3862" t="s">
        <v>2961</v>
      </c>
      <c r="H3862" t="s">
        <v>374</v>
      </c>
      <c r="I3862" t="s">
        <v>374</v>
      </c>
      <c r="J3862">
        <v>0</v>
      </c>
      <c r="K3862">
        <v>0</v>
      </c>
      <c r="L3862" s="6">
        <v>0</v>
      </c>
      <c r="M3862" s="7">
        <v>0</v>
      </c>
      <c r="N3862" s="7">
        <v>0</v>
      </c>
      <c r="O3862" s="7">
        <v>0</v>
      </c>
      <c r="P3862" s="7">
        <v>0</v>
      </c>
      <c r="Q3862" s="7">
        <v>0</v>
      </c>
      <c r="R3862" s="6">
        <v>0</v>
      </c>
      <c r="S3862" s="6">
        <v>0</v>
      </c>
      <c r="T3862" t="str">
        <f t="shared" si="332"/>
        <v>Refund Services Services</v>
      </c>
    </row>
    <row r="3863" spans="1:20" x14ac:dyDescent="0.25">
      <c r="A3863" t="s">
        <v>1436</v>
      </c>
      <c r="B3863" t="s">
        <v>4713</v>
      </c>
      <c r="C3863" t="s">
        <v>368</v>
      </c>
      <c r="D3863" t="s">
        <v>523</v>
      </c>
      <c r="E3863" t="s">
        <v>4714</v>
      </c>
      <c r="F3863" t="s">
        <v>4715</v>
      </c>
      <c r="G3863" t="s">
        <v>1436</v>
      </c>
      <c r="H3863" t="s">
        <v>458</v>
      </c>
      <c r="I3863" t="s">
        <v>374</v>
      </c>
      <c r="J3863" t="s">
        <v>4716</v>
      </c>
      <c r="K3863">
        <v>14</v>
      </c>
      <c r="L3863" s="6">
        <v>4.2671999999999999</v>
      </c>
      <c r="M3863" s="7">
        <v>184.15</v>
      </c>
      <c r="N3863" s="7">
        <v>234.95</v>
      </c>
      <c r="O3863" s="7">
        <f t="shared" ref="O3863:O3884" si="333">L3863/0.0254</f>
        <v>168</v>
      </c>
      <c r="P3863" s="7">
        <f t="shared" ref="P3863:Q3884" si="334">M3863/25.4</f>
        <v>7.2500000000000009</v>
      </c>
      <c r="Q3863" s="7">
        <f t="shared" si="334"/>
        <v>9.25</v>
      </c>
      <c r="R3863" s="6">
        <f t="shared" ref="R3863:R3884" si="335">ROUND(IFERROR(1/((M3863*N3863*0.3048)/1000000),0),3)</f>
        <v>75.828999999999994</v>
      </c>
      <c r="S3863" s="6">
        <f t="shared" ref="S3863:S3884" si="336">L3863*M3863/1000*N3863/1000</f>
        <v>0.184624856556</v>
      </c>
      <c r="T3863" t="str">
        <f t="shared" si="332"/>
        <v>Ipe S4S E4E 8x10 Long</v>
      </c>
    </row>
    <row r="3864" spans="1:20" x14ac:dyDescent="0.25">
      <c r="A3864" t="s">
        <v>1436</v>
      </c>
      <c r="B3864" t="s">
        <v>1575</v>
      </c>
      <c r="C3864" t="s">
        <v>368</v>
      </c>
      <c r="D3864" t="s">
        <v>523</v>
      </c>
      <c r="E3864" t="s">
        <v>4717</v>
      </c>
      <c r="F3864" t="s">
        <v>4718</v>
      </c>
      <c r="G3864" t="s">
        <v>1436</v>
      </c>
      <c r="H3864" t="s">
        <v>409</v>
      </c>
      <c r="I3864" t="s">
        <v>374</v>
      </c>
      <c r="J3864" t="s">
        <v>429</v>
      </c>
      <c r="K3864">
        <v>10</v>
      </c>
      <c r="L3864" s="6">
        <v>3.048</v>
      </c>
      <c r="M3864" s="7">
        <v>19.05</v>
      </c>
      <c r="N3864" s="7">
        <v>139.69999999999999</v>
      </c>
      <c r="O3864" s="7">
        <f t="shared" si="333"/>
        <v>120</v>
      </c>
      <c r="P3864" s="7">
        <f t="shared" si="334"/>
        <v>0.75000000000000011</v>
      </c>
      <c r="Q3864" s="7">
        <f t="shared" si="334"/>
        <v>5.5</v>
      </c>
      <c r="R3864" s="6">
        <f t="shared" si="335"/>
        <v>1232.8030000000001</v>
      </c>
      <c r="S3864" s="6">
        <f t="shared" si="336"/>
        <v>8.1115966799999994E-3</v>
      </c>
      <c r="T3864" t="str">
        <f t="shared" si="332"/>
        <v>Ipe Grooved 1x6 Long</v>
      </c>
    </row>
    <row r="3865" spans="1:20" x14ac:dyDescent="0.25">
      <c r="A3865" t="s">
        <v>1436</v>
      </c>
      <c r="B3865" t="s">
        <v>1575</v>
      </c>
      <c r="C3865" t="s">
        <v>368</v>
      </c>
      <c r="D3865" t="s">
        <v>523</v>
      </c>
      <c r="E3865" t="s">
        <v>4719</v>
      </c>
      <c r="F3865" t="s">
        <v>4718</v>
      </c>
      <c r="G3865" t="s">
        <v>1436</v>
      </c>
      <c r="H3865" t="s">
        <v>409</v>
      </c>
      <c r="I3865" t="s">
        <v>374</v>
      </c>
      <c r="J3865" t="s">
        <v>429</v>
      </c>
      <c r="K3865">
        <v>11</v>
      </c>
      <c r="L3865" s="6">
        <v>3.3527999999999998</v>
      </c>
      <c r="M3865" s="7">
        <v>19.05</v>
      </c>
      <c r="N3865" s="7">
        <v>139.69999999999999</v>
      </c>
      <c r="O3865" s="7">
        <f t="shared" si="333"/>
        <v>132</v>
      </c>
      <c r="P3865" s="7">
        <f t="shared" si="334"/>
        <v>0.75000000000000011</v>
      </c>
      <c r="Q3865" s="7">
        <f t="shared" si="334"/>
        <v>5.5</v>
      </c>
      <c r="R3865" s="6">
        <f t="shared" si="335"/>
        <v>1232.8030000000001</v>
      </c>
      <c r="S3865" s="6">
        <f t="shared" si="336"/>
        <v>8.922756347999999E-3</v>
      </c>
      <c r="T3865" t="str">
        <f t="shared" si="332"/>
        <v>Ipe Grooved 1x6 Long</v>
      </c>
    </row>
    <row r="3866" spans="1:20" x14ac:dyDescent="0.25">
      <c r="A3866" t="s">
        <v>1436</v>
      </c>
      <c r="B3866" t="s">
        <v>1575</v>
      </c>
      <c r="C3866" t="s">
        <v>368</v>
      </c>
      <c r="D3866" t="s">
        <v>523</v>
      </c>
      <c r="E3866" t="s">
        <v>4720</v>
      </c>
      <c r="F3866" t="s">
        <v>4718</v>
      </c>
      <c r="G3866" t="s">
        <v>1436</v>
      </c>
      <c r="H3866" t="s">
        <v>409</v>
      </c>
      <c r="I3866" t="s">
        <v>374</v>
      </c>
      <c r="J3866" t="s">
        <v>429</v>
      </c>
      <c r="K3866">
        <v>12</v>
      </c>
      <c r="L3866" s="6">
        <v>3.6576</v>
      </c>
      <c r="M3866" s="7">
        <v>19.05</v>
      </c>
      <c r="N3866" s="7">
        <v>139.69999999999999</v>
      </c>
      <c r="O3866" s="7">
        <f t="shared" si="333"/>
        <v>144</v>
      </c>
      <c r="P3866" s="7">
        <f t="shared" si="334"/>
        <v>0.75000000000000011</v>
      </c>
      <c r="Q3866" s="7">
        <f t="shared" si="334"/>
        <v>5.5</v>
      </c>
      <c r="R3866" s="6">
        <f t="shared" si="335"/>
        <v>1232.8030000000001</v>
      </c>
      <c r="S3866" s="6">
        <f t="shared" si="336"/>
        <v>9.7339160159999986E-3</v>
      </c>
      <c r="T3866" t="str">
        <f t="shared" si="332"/>
        <v>Ipe Grooved 1x6 Long</v>
      </c>
    </row>
    <row r="3867" spans="1:20" x14ac:dyDescent="0.25">
      <c r="A3867" t="s">
        <v>1436</v>
      </c>
      <c r="B3867" t="s">
        <v>1575</v>
      </c>
      <c r="C3867" t="s">
        <v>368</v>
      </c>
      <c r="D3867" t="s">
        <v>523</v>
      </c>
      <c r="E3867" t="s">
        <v>4721</v>
      </c>
      <c r="F3867" t="s">
        <v>4718</v>
      </c>
      <c r="G3867" t="s">
        <v>1436</v>
      </c>
      <c r="H3867" t="s">
        <v>409</v>
      </c>
      <c r="I3867" t="s">
        <v>374</v>
      </c>
      <c r="J3867" t="s">
        <v>429</v>
      </c>
      <c r="K3867">
        <v>13</v>
      </c>
      <c r="L3867" s="6">
        <v>3.9624000000000001</v>
      </c>
      <c r="M3867" s="7">
        <v>19.05</v>
      </c>
      <c r="N3867" s="7">
        <v>139.69999999999999</v>
      </c>
      <c r="O3867" s="7">
        <f t="shared" si="333"/>
        <v>156</v>
      </c>
      <c r="P3867" s="7">
        <f t="shared" si="334"/>
        <v>0.75000000000000011</v>
      </c>
      <c r="Q3867" s="7">
        <f t="shared" si="334"/>
        <v>5.5</v>
      </c>
      <c r="R3867" s="6">
        <f t="shared" si="335"/>
        <v>1232.8030000000001</v>
      </c>
      <c r="S3867" s="6">
        <f t="shared" si="336"/>
        <v>1.0545075684E-2</v>
      </c>
      <c r="T3867" t="str">
        <f t="shared" si="332"/>
        <v>Ipe Grooved 1x6 Long</v>
      </c>
    </row>
    <row r="3868" spans="1:20" x14ac:dyDescent="0.25">
      <c r="A3868" t="s">
        <v>1436</v>
      </c>
      <c r="B3868" t="s">
        <v>1575</v>
      </c>
      <c r="C3868" t="s">
        <v>368</v>
      </c>
      <c r="D3868" t="s">
        <v>523</v>
      </c>
      <c r="E3868" t="s">
        <v>4722</v>
      </c>
      <c r="F3868" t="s">
        <v>4718</v>
      </c>
      <c r="G3868" t="s">
        <v>1436</v>
      </c>
      <c r="H3868" t="s">
        <v>409</v>
      </c>
      <c r="I3868" t="s">
        <v>374</v>
      </c>
      <c r="J3868" t="s">
        <v>429</v>
      </c>
      <c r="K3868">
        <v>14</v>
      </c>
      <c r="L3868" s="6">
        <v>4.2671999999999999</v>
      </c>
      <c r="M3868" s="7">
        <v>19.05</v>
      </c>
      <c r="N3868" s="7">
        <v>139.69999999999999</v>
      </c>
      <c r="O3868" s="7">
        <f t="shared" si="333"/>
        <v>168</v>
      </c>
      <c r="P3868" s="7">
        <f t="shared" si="334"/>
        <v>0.75000000000000011</v>
      </c>
      <c r="Q3868" s="7">
        <f t="shared" si="334"/>
        <v>5.5</v>
      </c>
      <c r="R3868" s="6">
        <f t="shared" si="335"/>
        <v>1232.8030000000001</v>
      </c>
      <c r="S3868" s="6">
        <f t="shared" si="336"/>
        <v>1.1356235352E-2</v>
      </c>
      <c r="T3868" t="str">
        <f t="shared" si="332"/>
        <v>Ipe Grooved 1x6 Long</v>
      </c>
    </row>
    <row r="3869" spans="1:20" x14ac:dyDescent="0.25">
      <c r="A3869" t="s">
        <v>1436</v>
      </c>
      <c r="B3869" t="s">
        <v>1575</v>
      </c>
      <c r="C3869" t="s">
        <v>368</v>
      </c>
      <c r="D3869" t="s">
        <v>523</v>
      </c>
      <c r="E3869" t="s">
        <v>4723</v>
      </c>
      <c r="F3869" t="s">
        <v>4718</v>
      </c>
      <c r="G3869" t="s">
        <v>1436</v>
      </c>
      <c r="H3869" t="s">
        <v>409</v>
      </c>
      <c r="I3869" t="s">
        <v>374</v>
      </c>
      <c r="J3869" t="s">
        <v>429</v>
      </c>
      <c r="K3869">
        <v>15</v>
      </c>
      <c r="L3869" s="6">
        <v>4.5720000000000001</v>
      </c>
      <c r="M3869" s="7">
        <v>19.05</v>
      </c>
      <c r="N3869" s="7">
        <v>139.69999999999999</v>
      </c>
      <c r="O3869" s="7">
        <f t="shared" si="333"/>
        <v>180</v>
      </c>
      <c r="P3869" s="7">
        <f t="shared" si="334"/>
        <v>0.75000000000000011</v>
      </c>
      <c r="Q3869" s="7">
        <f t="shared" si="334"/>
        <v>5.5</v>
      </c>
      <c r="R3869" s="6">
        <f t="shared" si="335"/>
        <v>1232.8030000000001</v>
      </c>
      <c r="S3869" s="6">
        <f t="shared" si="336"/>
        <v>1.2167395020000001E-2</v>
      </c>
      <c r="T3869" t="str">
        <f t="shared" si="332"/>
        <v>Ipe Grooved 1x6 Long</v>
      </c>
    </row>
    <row r="3870" spans="1:20" x14ac:dyDescent="0.25">
      <c r="A3870" t="s">
        <v>1436</v>
      </c>
      <c r="B3870" t="s">
        <v>1575</v>
      </c>
      <c r="C3870" t="s">
        <v>368</v>
      </c>
      <c r="D3870" t="s">
        <v>523</v>
      </c>
      <c r="E3870" t="s">
        <v>4724</v>
      </c>
      <c r="F3870" t="s">
        <v>4718</v>
      </c>
      <c r="G3870" t="s">
        <v>1436</v>
      </c>
      <c r="H3870" t="s">
        <v>409</v>
      </c>
      <c r="I3870" t="s">
        <v>374</v>
      </c>
      <c r="J3870" t="s">
        <v>429</v>
      </c>
      <c r="K3870">
        <v>16</v>
      </c>
      <c r="L3870" s="6">
        <v>4.8768000000000002</v>
      </c>
      <c r="M3870" s="7">
        <v>19.05</v>
      </c>
      <c r="N3870" s="7">
        <v>139.69999999999999</v>
      </c>
      <c r="O3870" s="7">
        <f t="shared" si="333"/>
        <v>192.00000000000003</v>
      </c>
      <c r="P3870" s="7">
        <f t="shared" si="334"/>
        <v>0.75000000000000011</v>
      </c>
      <c r="Q3870" s="7">
        <f t="shared" si="334"/>
        <v>5.5</v>
      </c>
      <c r="R3870" s="6">
        <f t="shared" si="335"/>
        <v>1232.8030000000001</v>
      </c>
      <c r="S3870" s="6">
        <f t="shared" si="336"/>
        <v>1.2978554687999999E-2</v>
      </c>
      <c r="T3870" t="str">
        <f t="shared" si="332"/>
        <v>Ipe Grooved 1x6 Long</v>
      </c>
    </row>
    <row r="3871" spans="1:20" x14ac:dyDescent="0.25">
      <c r="A3871" t="s">
        <v>1436</v>
      </c>
      <c r="B3871" t="s">
        <v>1575</v>
      </c>
      <c r="C3871" t="s">
        <v>368</v>
      </c>
      <c r="D3871" t="s">
        <v>523</v>
      </c>
      <c r="E3871" t="s">
        <v>4725</v>
      </c>
      <c r="F3871" t="s">
        <v>4718</v>
      </c>
      <c r="G3871" t="s">
        <v>1436</v>
      </c>
      <c r="H3871" t="s">
        <v>409</v>
      </c>
      <c r="I3871" t="s">
        <v>374</v>
      </c>
      <c r="J3871" t="s">
        <v>429</v>
      </c>
      <c r="K3871">
        <v>17</v>
      </c>
      <c r="L3871" s="6">
        <v>5.1816000000000004</v>
      </c>
      <c r="M3871" s="7">
        <v>19.05</v>
      </c>
      <c r="N3871" s="7">
        <v>139.69999999999999</v>
      </c>
      <c r="O3871" s="7">
        <f t="shared" si="333"/>
        <v>204.00000000000003</v>
      </c>
      <c r="P3871" s="7">
        <f t="shared" si="334"/>
        <v>0.75000000000000011</v>
      </c>
      <c r="Q3871" s="7">
        <f t="shared" si="334"/>
        <v>5.5</v>
      </c>
      <c r="R3871" s="6">
        <f t="shared" si="335"/>
        <v>1232.8030000000001</v>
      </c>
      <c r="S3871" s="6">
        <f t="shared" si="336"/>
        <v>1.3789714356000002E-2</v>
      </c>
      <c r="T3871" t="str">
        <f t="shared" si="332"/>
        <v>Ipe Grooved 1x6 Long</v>
      </c>
    </row>
    <row r="3872" spans="1:20" x14ac:dyDescent="0.25">
      <c r="A3872" t="s">
        <v>1436</v>
      </c>
      <c r="B3872" t="s">
        <v>1575</v>
      </c>
      <c r="C3872" t="s">
        <v>368</v>
      </c>
      <c r="D3872" t="s">
        <v>523</v>
      </c>
      <c r="E3872" t="s">
        <v>4726</v>
      </c>
      <c r="F3872" t="s">
        <v>4718</v>
      </c>
      <c r="G3872" t="s">
        <v>1436</v>
      </c>
      <c r="H3872" t="s">
        <v>409</v>
      </c>
      <c r="I3872" t="s">
        <v>374</v>
      </c>
      <c r="J3872" t="s">
        <v>429</v>
      </c>
      <c r="K3872">
        <v>18</v>
      </c>
      <c r="L3872" s="6">
        <v>5.4863999999999997</v>
      </c>
      <c r="M3872" s="7">
        <v>19.05</v>
      </c>
      <c r="N3872" s="7">
        <v>139.69999999999999</v>
      </c>
      <c r="O3872" s="7">
        <f t="shared" si="333"/>
        <v>216</v>
      </c>
      <c r="P3872" s="7">
        <f t="shared" si="334"/>
        <v>0.75000000000000011</v>
      </c>
      <c r="Q3872" s="7">
        <f t="shared" si="334"/>
        <v>5.5</v>
      </c>
      <c r="R3872" s="6">
        <f t="shared" si="335"/>
        <v>1232.8030000000001</v>
      </c>
      <c r="S3872" s="6">
        <f t="shared" si="336"/>
        <v>1.4600874024E-2</v>
      </c>
      <c r="T3872" t="str">
        <f t="shared" si="332"/>
        <v>Ipe Grooved 1x6 Long</v>
      </c>
    </row>
    <row r="3873" spans="1:20" x14ac:dyDescent="0.25">
      <c r="A3873" t="s">
        <v>1436</v>
      </c>
      <c r="B3873" t="s">
        <v>1575</v>
      </c>
      <c r="C3873" t="s">
        <v>368</v>
      </c>
      <c r="D3873" t="s">
        <v>523</v>
      </c>
      <c r="E3873" t="s">
        <v>4727</v>
      </c>
      <c r="F3873" t="s">
        <v>4718</v>
      </c>
      <c r="G3873" t="s">
        <v>1436</v>
      </c>
      <c r="H3873" t="s">
        <v>409</v>
      </c>
      <c r="I3873" t="s">
        <v>374</v>
      </c>
      <c r="J3873" t="s">
        <v>429</v>
      </c>
      <c r="K3873">
        <v>19</v>
      </c>
      <c r="L3873" s="6">
        <v>5.7911999999999999</v>
      </c>
      <c r="M3873" s="7">
        <v>19.05</v>
      </c>
      <c r="N3873" s="7">
        <v>139.69999999999999</v>
      </c>
      <c r="O3873" s="7">
        <f t="shared" si="333"/>
        <v>228</v>
      </c>
      <c r="P3873" s="7">
        <f t="shared" si="334"/>
        <v>0.75000000000000011</v>
      </c>
      <c r="Q3873" s="7">
        <f t="shared" si="334"/>
        <v>5.5</v>
      </c>
      <c r="R3873" s="6">
        <f t="shared" si="335"/>
        <v>1232.8030000000001</v>
      </c>
      <c r="S3873" s="6">
        <f t="shared" si="336"/>
        <v>1.5412033691999999E-2</v>
      </c>
      <c r="T3873" t="str">
        <f t="shared" si="332"/>
        <v>Ipe Grooved 1x6 Long</v>
      </c>
    </row>
    <row r="3874" spans="1:20" x14ac:dyDescent="0.25">
      <c r="A3874" t="s">
        <v>1436</v>
      </c>
      <c r="B3874" t="s">
        <v>1575</v>
      </c>
      <c r="C3874" t="s">
        <v>368</v>
      </c>
      <c r="D3874" t="s">
        <v>523</v>
      </c>
      <c r="E3874" t="s">
        <v>4728</v>
      </c>
      <c r="F3874" t="s">
        <v>4718</v>
      </c>
      <c r="G3874" t="s">
        <v>1436</v>
      </c>
      <c r="H3874" t="s">
        <v>409</v>
      </c>
      <c r="I3874" t="s">
        <v>374</v>
      </c>
      <c r="J3874" t="s">
        <v>429</v>
      </c>
      <c r="K3874">
        <v>20</v>
      </c>
      <c r="L3874" s="6">
        <v>6.0960000000000001</v>
      </c>
      <c r="M3874" s="7">
        <v>19.05</v>
      </c>
      <c r="N3874" s="7">
        <v>139.69999999999999</v>
      </c>
      <c r="O3874" s="7">
        <f t="shared" si="333"/>
        <v>240</v>
      </c>
      <c r="P3874" s="7">
        <f t="shared" si="334"/>
        <v>0.75000000000000011</v>
      </c>
      <c r="Q3874" s="7">
        <f t="shared" si="334"/>
        <v>5.5</v>
      </c>
      <c r="R3874" s="6">
        <f t="shared" si="335"/>
        <v>1232.8030000000001</v>
      </c>
      <c r="S3874" s="6">
        <f t="shared" si="336"/>
        <v>1.6223193359999999E-2</v>
      </c>
      <c r="T3874" t="str">
        <f t="shared" si="332"/>
        <v>Ipe Grooved 1x6 Long</v>
      </c>
    </row>
    <row r="3875" spans="1:20" x14ac:dyDescent="0.25">
      <c r="A3875" t="s">
        <v>1436</v>
      </c>
      <c r="B3875" t="s">
        <v>1575</v>
      </c>
      <c r="C3875" t="s">
        <v>368</v>
      </c>
      <c r="D3875" t="s">
        <v>523</v>
      </c>
      <c r="E3875" t="s">
        <v>4729</v>
      </c>
      <c r="F3875" t="s">
        <v>4718</v>
      </c>
      <c r="G3875" t="s">
        <v>1436</v>
      </c>
      <c r="H3875" t="s">
        <v>409</v>
      </c>
      <c r="I3875" t="s">
        <v>374</v>
      </c>
      <c r="J3875" t="s">
        <v>429</v>
      </c>
      <c r="K3875">
        <v>21</v>
      </c>
      <c r="L3875" s="6">
        <v>6.4008000000000003</v>
      </c>
      <c r="M3875" s="7">
        <v>19.05</v>
      </c>
      <c r="N3875" s="7">
        <v>139.69999999999999</v>
      </c>
      <c r="O3875" s="7">
        <f t="shared" si="333"/>
        <v>252.00000000000003</v>
      </c>
      <c r="P3875" s="7">
        <f t="shared" si="334"/>
        <v>0.75000000000000011</v>
      </c>
      <c r="Q3875" s="7">
        <f t="shared" si="334"/>
        <v>5.5</v>
      </c>
      <c r="R3875" s="6">
        <f t="shared" si="335"/>
        <v>1232.8030000000001</v>
      </c>
      <c r="S3875" s="6">
        <f t="shared" si="336"/>
        <v>1.7034353028E-2</v>
      </c>
      <c r="T3875" t="str">
        <f t="shared" si="332"/>
        <v>Ipe Grooved 1x6 Long</v>
      </c>
    </row>
    <row r="3876" spans="1:20" x14ac:dyDescent="0.25">
      <c r="A3876" t="s">
        <v>1436</v>
      </c>
      <c r="B3876" t="s">
        <v>1575</v>
      </c>
      <c r="C3876" t="s">
        <v>368</v>
      </c>
      <c r="D3876" t="s">
        <v>523</v>
      </c>
      <c r="E3876" t="s">
        <v>4730</v>
      </c>
      <c r="F3876" t="s">
        <v>4718</v>
      </c>
      <c r="G3876" t="s">
        <v>1436</v>
      </c>
      <c r="H3876" t="s">
        <v>409</v>
      </c>
      <c r="I3876" t="s">
        <v>374</v>
      </c>
      <c r="J3876" t="s">
        <v>429</v>
      </c>
      <c r="K3876">
        <v>22</v>
      </c>
      <c r="L3876" s="6">
        <v>6.7055999999999996</v>
      </c>
      <c r="M3876" s="7">
        <v>19.05</v>
      </c>
      <c r="N3876" s="7">
        <v>139.69999999999999</v>
      </c>
      <c r="O3876" s="7">
        <f t="shared" si="333"/>
        <v>264</v>
      </c>
      <c r="P3876" s="7">
        <f t="shared" si="334"/>
        <v>0.75000000000000011</v>
      </c>
      <c r="Q3876" s="7">
        <f t="shared" si="334"/>
        <v>5.5</v>
      </c>
      <c r="R3876" s="6">
        <f t="shared" si="335"/>
        <v>1232.8030000000001</v>
      </c>
      <c r="S3876" s="6">
        <f t="shared" si="336"/>
        <v>1.7845512695999998E-2</v>
      </c>
      <c r="T3876" t="str">
        <f t="shared" si="332"/>
        <v>Ipe Grooved 1x6 Long</v>
      </c>
    </row>
    <row r="3877" spans="1:20" x14ac:dyDescent="0.25">
      <c r="A3877" t="s">
        <v>1436</v>
      </c>
      <c r="B3877" t="s">
        <v>1575</v>
      </c>
      <c r="C3877" t="s">
        <v>609</v>
      </c>
      <c r="D3877" t="s">
        <v>523</v>
      </c>
      <c r="E3877" t="s">
        <v>4731</v>
      </c>
      <c r="F3877" t="s">
        <v>4718</v>
      </c>
      <c r="G3877" t="s">
        <v>1436</v>
      </c>
      <c r="H3877" t="s">
        <v>409</v>
      </c>
      <c r="I3877" t="s">
        <v>374</v>
      </c>
      <c r="J3877" t="s">
        <v>429</v>
      </c>
      <c r="K3877">
        <v>3</v>
      </c>
      <c r="L3877" s="6">
        <v>0.91439999999999999</v>
      </c>
      <c r="M3877" s="7">
        <v>19.05</v>
      </c>
      <c r="N3877" s="7">
        <v>139.69999999999999</v>
      </c>
      <c r="O3877" s="7">
        <f t="shared" si="333"/>
        <v>36</v>
      </c>
      <c r="P3877" s="7">
        <f t="shared" si="334"/>
        <v>0.75000000000000011</v>
      </c>
      <c r="Q3877" s="7">
        <f t="shared" si="334"/>
        <v>5.5</v>
      </c>
      <c r="R3877" s="6">
        <f t="shared" si="335"/>
        <v>1232.8030000000001</v>
      </c>
      <c r="S3877" s="6">
        <f t="shared" si="336"/>
        <v>2.4334790039999997E-3</v>
      </c>
      <c r="T3877" t="str">
        <f t="shared" si="332"/>
        <v>Ipe Grooved 1x6 Short</v>
      </c>
    </row>
    <row r="3878" spans="1:20" x14ac:dyDescent="0.25">
      <c r="A3878" t="s">
        <v>1436</v>
      </c>
      <c r="B3878" t="s">
        <v>1575</v>
      </c>
      <c r="C3878" t="s">
        <v>609</v>
      </c>
      <c r="D3878" t="s">
        <v>523</v>
      </c>
      <c r="E3878" t="s">
        <v>4732</v>
      </c>
      <c r="F3878" t="s">
        <v>4718</v>
      </c>
      <c r="G3878" t="s">
        <v>1436</v>
      </c>
      <c r="H3878" t="s">
        <v>409</v>
      </c>
      <c r="I3878" t="s">
        <v>374</v>
      </c>
      <c r="J3878" t="s">
        <v>429</v>
      </c>
      <c r="K3878">
        <v>4</v>
      </c>
      <c r="L3878" s="6">
        <v>1.2192000000000001</v>
      </c>
      <c r="M3878" s="7">
        <v>19.05</v>
      </c>
      <c r="N3878" s="7">
        <v>139.69999999999999</v>
      </c>
      <c r="O3878" s="7">
        <f t="shared" si="333"/>
        <v>48.000000000000007</v>
      </c>
      <c r="P3878" s="7">
        <f t="shared" si="334"/>
        <v>0.75000000000000011</v>
      </c>
      <c r="Q3878" s="7">
        <f t="shared" si="334"/>
        <v>5.5</v>
      </c>
      <c r="R3878" s="6">
        <f t="shared" si="335"/>
        <v>1232.8030000000001</v>
      </c>
      <c r="S3878" s="6">
        <f t="shared" si="336"/>
        <v>3.2446386719999997E-3</v>
      </c>
      <c r="T3878" t="str">
        <f t="shared" si="332"/>
        <v>Ipe Grooved 1x6 Short</v>
      </c>
    </row>
    <row r="3879" spans="1:20" x14ac:dyDescent="0.25">
      <c r="A3879" t="s">
        <v>1436</v>
      </c>
      <c r="B3879" t="s">
        <v>1575</v>
      </c>
      <c r="C3879" t="s">
        <v>609</v>
      </c>
      <c r="D3879" t="s">
        <v>523</v>
      </c>
      <c r="E3879" t="s">
        <v>4733</v>
      </c>
      <c r="F3879" t="s">
        <v>4718</v>
      </c>
      <c r="G3879" t="s">
        <v>1436</v>
      </c>
      <c r="H3879" t="s">
        <v>409</v>
      </c>
      <c r="I3879" t="s">
        <v>374</v>
      </c>
      <c r="J3879" t="s">
        <v>429</v>
      </c>
      <c r="K3879">
        <v>5</v>
      </c>
      <c r="L3879" s="6">
        <v>1.524</v>
      </c>
      <c r="M3879" s="7">
        <v>19.05</v>
      </c>
      <c r="N3879" s="7">
        <v>139.69999999999999</v>
      </c>
      <c r="O3879" s="7">
        <f t="shared" si="333"/>
        <v>60</v>
      </c>
      <c r="P3879" s="7">
        <f t="shared" si="334"/>
        <v>0.75000000000000011</v>
      </c>
      <c r="Q3879" s="7">
        <f t="shared" si="334"/>
        <v>5.5</v>
      </c>
      <c r="R3879" s="6">
        <f t="shared" si="335"/>
        <v>1232.8030000000001</v>
      </c>
      <c r="S3879" s="6">
        <f t="shared" si="336"/>
        <v>4.0557983399999997E-3</v>
      </c>
      <c r="T3879" t="str">
        <f t="shared" si="332"/>
        <v>Ipe Grooved 1x6 Short</v>
      </c>
    </row>
    <row r="3880" spans="1:20" x14ac:dyDescent="0.25">
      <c r="A3880" t="s">
        <v>1436</v>
      </c>
      <c r="B3880" t="s">
        <v>1575</v>
      </c>
      <c r="C3880" t="s">
        <v>609</v>
      </c>
      <c r="D3880" t="s">
        <v>523</v>
      </c>
      <c r="E3880" t="s">
        <v>4734</v>
      </c>
      <c r="F3880" t="s">
        <v>4718</v>
      </c>
      <c r="G3880" t="s">
        <v>1436</v>
      </c>
      <c r="H3880" t="s">
        <v>409</v>
      </c>
      <c r="I3880" t="s">
        <v>374</v>
      </c>
      <c r="J3880" t="s">
        <v>429</v>
      </c>
      <c r="K3880">
        <v>6</v>
      </c>
      <c r="L3880" s="6">
        <v>1.8288</v>
      </c>
      <c r="M3880" s="7">
        <v>19.05</v>
      </c>
      <c r="N3880" s="7">
        <v>139.69999999999999</v>
      </c>
      <c r="O3880" s="7">
        <f t="shared" si="333"/>
        <v>72</v>
      </c>
      <c r="P3880" s="7">
        <f t="shared" si="334"/>
        <v>0.75000000000000011</v>
      </c>
      <c r="Q3880" s="7">
        <f t="shared" si="334"/>
        <v>5.5</v>
      </c>
      <c r="R3880" s="6">
        <f t="shared" si="335"/>
        <v>1232.8030000000001</v>
      </c>
      <c r="S3880" s="6">
        <f t="shared" si="336"/>
        <v>4.8669580079999993E-3</v>
      </c>
      <c r="T3880" t="str">
        <f t="shared" si="332"/>
        <v>Ipe Grooved 1x6 Short</v>
      </c>
    </row>
    <row r="3881" spans="1:20" x14ac:dyDescent="0.25">
      <c r="A3881" t="s">
        <v>1436</v>
      </c>
      <c r="B3881" t="s">
        <v>1575</v>
      </c>
      <c r="C3881" t="s">
        <v>609</v>
      </c>
      <c r="D3881" t="s">
        <v>523</v>
      </c>
      <c r="E3881" t="s">
        <v>4735</v>
      </c>
      <c r="F3881" t="s">
        <v>4718</v>
      </c>
      <c r="G3881" t="s">
        <v>1436</v>
      </c>
      <c r="H3881" t="s">
        <v>409</v>
      </c>
      <c r="I3881" t="s">
        <v>374</v>
      </c>
      <c r="J3881" t="s">
        <v>429</v>
      </c>
      <c r="K3881">
        <v>7</v>
      </c>
      <c r="L3881" s="6">
        <v>2.1335999999999999</v>
      </c>
      <c r="M3881" s="7">
        <v>19.05</v>
      </c>
      <c r="N3881" s="7">
        <v>139.69999999999999</v>
      </c>
      <c r="O3881" s="7">
        <f t="shared" si="333"/>
        <v>84</v>
      </c>
      <c r="P3881" s="7">
        <f t="shared" si="334"/>
        <v>0.75000000000000011</v>
      </c>
      <c r="Q3881" s="7">
        <f t="shared" si="334"/>
        <v>5.5</v>
      </c>
      <c r="R3881" s="6">
        <f t="shared" si="335"/>
        <v>1232.8030000000001</v>
      </c>
      <c r="S3881" s="6">
        <f t="shared" si="336"/>
        <v>5.6781176759999998E-3</v>
      </c>
      <c r="T3881" t="str">
        <f t="shared" si="332"/>
        <v>Ipe Grooved 1x6 Short</v>
      </c>
    </row>
    <row r="3882" spans="1:20" x14ac:dyDescent="0.25">
      <c r="A3882" t="s">
        <v>1436</v>
      </c>
      <c r="B3882" t="s">
        <v>1575</v>
      </c>
      <c r="C3882" t="s">
        <v>368</v>
      </c>
      <c r="D3882" t="s">
        <v>523</v>
      </c>
      <c r="E3882" t="s">
        <v>4736</v>
      </c>
      <c r="F3882" t="s">
        <v>4718</v>
      </c>
      <c r="G3882" t="s">
        <v>1436</v>
      </c>
      <c r="H3882" t="s">
        <v>409</v>
      </c>
      <c r="I3882" t="s">
        <v>374</v>
      </c>
      <c r="J3882" t="s">
        <v>429</v>
      </c>
      <c r="K3882">
        <v>8</v>
      </c>
      <c r="L3882" s="6">
        <v>2.4384000000000001</v>
      </c>
      <c r="M3882" s="7">
        <v>19.05</v>
      </c>
      <c r="N3882" s="7">
        <v>139.69999999999999</v>
      </c>
      <c r="O3882" s="7">
        <f t="shared" si="333"/>
        <v>96.000000000000014</v>
      </c>
      <c r="P3882" s="7">
        <f t="shared" si="334"/>
        <v>0.75000000000000011</v>
      </c>
      <c r="Q3882" s="7">
        <f t="shared" si="334"/>
        <v>5.5</v>
      </c>
      <c r="R3882" s="6">
        <f t="shared" si="335"/>
        <v>1232.8030000000001</v>
      </c>
      <c r="S3882" s="6">
        <f t="shared" si="336"/>
        <v>6.4892773439999994E-3</v>
      </c>
      <c r="T3882" t="str">
        <f t="shared" si="332"/>
        <v>Ipe Grooved 1x6 Long</v>
      </c>
    </row>
    <row r="3883" spans="1:20" x14ac:dyDescent="0.25">
      <c r="A3883" t="s">
        <v>1436</v>
      </c>
      <c r="B3883" t="s">
        <v>1575</v>
      </c>
      <c r="C3883" t="s">
        <v>368</v>
      </c>
      <c r="D3883" t="s">
        <v>523</v>
      </c>
      <c r="E3883" t="s">
        <v>4737</v>
      </c>
      <c r="F3883" t="s">
        <v>4718</v>
      </c>
      <c r="G3883" t="s">
        <v>1436</v>
      </c>
      <c r="H3883" t="s">
        <v>409</v>
      </c>
      <c r="I3883" t="s">
        <v>374</v>
      </c>
      <c r="J3883" t="s">
        <v>429</v>
      </c>
      <c r="K3883">
        <v>9</v>
      </c>
      <c r="L3883" s="6">
        <v>2.7431999999999999</v>
      </c>
      <c r="M3883" s="7">
        <v>19.05</v>
      </c>
      <c r="N3883" s="7">
        <v>139.69999999999999</v>
      </c>
      <c r="O3883" s="7">
        <f t="shared" si="333"/>
        <v>108</v>
      </c>
      <c r="P3883" s="7">
        <f t="shared" si="334"/>
        <v>0.75000000000000011</v>
      </c>
      <c r="Q3883" s="7">
        <f t="shared" si="334"/>
        <v>5.5</v>
      </c>
      <c r="R3883" s="6">
        <f t="shared" si="335"/>
        <v>1232.8030000000001</v>
      </c>
      <c r="S3883" s="6">
        <f t="shared" si="336"/>
        <v>7.3004370119999999E-3</v>
      </c>
      <c r="T3883" t="str">
        <f t="shared" si="332"/>
        <v>Ipe Grooved 1x6 Long</v>
      </c>
    </row>
    <row r="3884" spans="1:20" x14ac:dyDescent="0.25">
      <c r="A3884" t="s">
        <v>1436</v>
      </c>
      <c r="B3884" t="s">
        <v>4738</v>
      </c>
      <c r="C3884" t="s">
        <v>368</v>
      </c>
      <c r="D3884" t="s">
        <v>523</v>
      </c>
      <c r="E3884" t="s">
        <v>4739</v>
      </c>
      <c r="F3884" t="s">
        <v>4740</v>
      </c>
      <c r="G3884" t="s">
        <v>1436</v>
      </c>
      <c r="H3884" t="s">
        <v>458</v>
      </c>
      <c r="I3884" t="s">
        <v>374</v>
      </c>
      <c r="J3884" t="s">
        <v>4741</v>
      </c>
      <c r="K3884">
        <v>22</v>
      </c>
      <c r="L3884" s="6">
        <v>6.7055999999999996</v>
      </c>
      <c r="M3884" s="7">
        <v>139.69999999999999</v>
      </c>
      <c r="N3884" s="7">
        <v>234.95</v>
      </c>
      <c r="O3884" s="7">
        <f t="shared" si="333"/>
        <v>264</v>
      </c>
      <c r="P3884" s="7">
        <f t="shared" si="334"/>
        <v>5.5</v>
      </c>
      <c r="Q3884" s="7">
        <f t="shared" si="334"/>
        <v>9.25</v>
      </c>
      <c r="R3884" s="6">
        <f t="shared" si="335"/>
        <v>99.956999999999994</v>
      </c>
      <c r="S3884" s="6">
        <f t="shared" si="336"/>
        <v>0.22009465658399996</v>
      </c>
      <c r="T3884" t="str">
        <f t="shared" si="332"/>
        <v>Ipe S4S E4E 6x10 Long</v>
      </c>
    </row>
    <row r="3885" spans="1:20" x14ac:dyDescent="0.25">
      <c r="A3885" t="s">
        <v>1436</v>
      </c>
      <c r="B3885" t="s">
        <v>1532</v>
      </c>
      <c r="C3885" t="s">
        <v>1438</v>
      </c>
      <c r="D3885" t="s">
        <v>523</v>
      </c>
      <c r="E3885" t="s">
        <v>4742</v>
      </c>
      <c r="F3885" t="s">
        <v>4743</v>
      </c>
      <c r="G3885" t="s">
        <v>1436</v>
      </c>
      <c r="H3885" t="s">
        <v>458</v>
      </c>
      <c r="I3885" t="s">
        <v>1438</v>
      </c>
      <c r="J3885" t="s">
        <v>698</v>
      </c>
      <c r="K3885">
        <v>0</v>
      </c>
      <c r="L3885" s="6">
        <v>0</v>
      </c>
      <c r="M3885" s="7">
        <v>0</v>
      </c>
      <c r="N3885" s="7">
        <v>0</v>
      </c>
      <c r="O3885" s="7">
        <v>0</v>
      </c>
      <c r="P3885" s="7">
        <v>0</v>
      </c>
      <c r="Q3885" s="7">
        <v>0</v>
      </c>
      <c r="R3885" s="6">
        <v>0</v>
      </c>
      <c r="S3885" s="6">
        <v>0</v>
      </c>
      <c r="T3885" t="str">
        <f t="shared" si="332"/>
        <v>Ipe S4S E4E Random Lenght 1x4 Random Lenght</v>
      </c>
    </row>
    <row r="3886" spans="1:20" x14ac:dyDescent="0.25">
      <c r="A3886" t="s">
        <v>1436</v>
      </c>
      <c r="B3886" t="s">
        <v>1437</v>
      </c>
      <c r="C3886" t="s">
        <v>1438</v>
      </c>
      <c r="D3886" t="s">
        <v>523</v>
      </c>
      <c r="E3886" t="s">
        <v>4744</v>
      </c>
      <c r="F3886" t="s">
        <v>4745</v>
      </c>
      <c r="G3886" t="s">
        <v>1436</v>
      </c>
      <c r="H3886" t="s">
        <v>458</v>
      </c>
      <c r="I3886" t="s">
        <v>1438</v>
      </c>
      <c r="J3886" t="s">
        <v>386</v>
      </c>
      <c r="K3886">
        <v>0</v>
      </c>
      <c r="L3886" s="6">
        <v>0</v>
      </c>
      <c r="M3886" s="7">
        <v>0</v>
      </c>
      <c r="N3886" s="7">
        <v>0</v>
      </c>
      <c r="O3886" s="7">
        <v>0</v>
      </c>
      <c r="P3886" s="7">
        <v>0</v>
      </c>
      <c r="Q3886" s="7">
        <v>0</v>
      </c>
      <c r="R3886" s="6">
        <v>0</v>
      </c>
      <c r="S3886" s="6">
        <v>0</v>
      </c>
      <c r="T3886" t="str">
        <f t="shared" si="332"/>
        <v>Ipe S4S E4E Random Lenght 5/4x6 Random Lenght</v>
      </c>
    </row>
    <row r="3887" spans="1:20" x14ac:dyDescent="0.25">
      <c r="A3887" t="s">
        <v>1436</v>
      </c>
      <c r="B3887" t="s">
        <v>1437</v>
      </c>
      <c r="C3887" t="s">
        <v>1438</v>
      </c>
      <c r="D3887" t="s">
        <v>523</v>
      </c>
      <c r="E3887" t="s">
        <v>4746</v>
      </c>
      <c r="F3887" t="s">
        <v>4745</v>
      </c>
      <c r="G3887" t="s">
        <v>1436</v>
      </c>
      <c r="H3887" t="s">
        <v>458</v>
      </c>
      <c r="I3887" t="s">
        <v>1438</v>
      </c>
      <c r="J3887" t="s">
        <v>386</v>
      </c>
      <c r="K3887">
        <v>0</v>
      </c>
      <c r="L3887" s="6">
        <v>0</v>
      </c>
      <c r="M3887" s="7">
        <v>0</v>
      </c>
      <c r="N3887" s="7">
        <v>0</v>
      </c>
      <c r="O3887" s="7">
        <v>0</v>
      </c>
      <c r="P3887" s="7">
        <v>0</v>
      </c>
      <c r="Q3887" s="7">
        <v>0</v>
      </c>
      <c r="R3887" s="6">
        <v>0</v>
      </c>
      <c r="S3887" s="6">
        <v>0</v>
      </c>
      <c r="T3887" t="str">
        <f t="shared" si="332"/>
        <v>Ipe S4S E4E Random Lenght 5/4x6 Random Lenght</v>
      </c>
    </row>
    <row r="3888" spans="1:20" x14ac:dyDescent="0.25">
      <c r="A3888" t="s">
        <v>1436</v>
      </c>
      <c r="B3888" t="s">
        <v>1575</v>
      </c>
      <c r="C3888" t="s">
        <v>1438</v>
      </c>
      <c r="D3888" t="s">
        <v>523</v>
      </c>
      <c r="E3888" t="s">
        <v>4747</v>
      </c>
      <c r="F3888" t="s">
        <v>2274</v>
      </c>
      <c r="G3888" t="s">
        <v>1436</v>
      </c>
      <c r="H3888" t="s">
        <v>458</v>
      </c>
      <c r="I3888" t="s">
        <v>1438</v>
      </c>
      <c r="J3888" t="s">
        <v>429</v>
      </c>
      <c r="K3888">
        <v>0</v>
      </c>
      <c r="L3888" s="6">
        <v>0</v>
      </c>
      <c r="M3888" s="7">
        <v>0</v>
      </c>
      <c r="N3888" s="7">
        <v>0</v>
      </c>
      <c r="O3888" s="7">
        <v>0</v>
      </c>
      <c r="P3888" s="7">
        <v>0</v>
      </c>
      <c r="Q3888" s="7">
        <v>0</v>
      </c>
      <c r="R3888" s="6">
        <v>0</v>
      </c>
      <c r="S3888" s="6">
        <v>0</v>
      </c>
      <c r="T3888" t="str">
        <f t="shared" si="332"/>
        <v>Ipe S4S E4E Random Lenght 1x6 Random Lenght</v>
      </c>
    </row>
    <row r="3889" spans="1:20" x14ac:dyDescent="0.25">
      <c r="A3889" t="s">
        <v>1436</v>
      </c>
      <c r="B3889" t="s">
        <v>1575</v>
      </c>
      <c r="C3889" t="s">
        <v>1438</v>
      </c>
      <c r="D3889" t="s">
        <v>523</v>
      </c>
      <c r="E3889" t="s">
        <v>4748</v>
      </c>
      <c r="F3889" t="s">
        <v>2274</v>
      </c>
      <c r="G3889" t="s">
        <v>1436</v>
      </c>
      <c r="H3889" t="s">
        <v>458</v>
      </c>
      <c r="I3889" t="s">
        <v>1438</v>
      </c>
      <c r="J3889" t="s">
        <v>429</v>
      </c>
      <c r="K3889">
        <v>0</v>
      </c>
      <c r="L3889" s="6">
        <v>0</v>
      </c>
      <c r="M3889" s="7">
        <v>0</v>
      </c>
      <c r="N3889" s="7">
        <v>0</v>
      </c>
      <c r="O3889" s="7">
        <v>0</v>
      </c>
      <c r="P3889" s="7">
        <v>0</v>
      </c>
      <c r="Q3889" s="7">
        <v>0</v>
      </c>
      <c r="R3889" s="6">
        <v>0</v>
      </c>
      <c r="S3889" s="6">
        <v>0</v>
      </c>
      <c r="T3889" t="str">
        <f t="shared" si="332"/>
        <v>Ipe S4S E4E Random Lenght 1x6 Random Lenght</v>
      </c>
    </row>
    <row r="3890" spans="1:20" x14ac:dyDescent="0.25">
      <c r="A3890" t="s">
        <v>1436</v>
      </c>
      <c r="B3890" t="s">
        <v>1437</v>
      </c>
      <c r="C3890" t="s">
        <v>1438</v>
      </c>
      <c r="D3890" t="s">
        <v>523</v>
      </c>
      <c r="E3890" t="s">
        <v>4749</v>
      </c>
      <c r="F3890" t="s">
        <v>4745</v>
      </c>
      <c r="G3890" t="s">
        <v>1436</v>
      </c>
      <c r="H3890" t="s">
        <v>458</v>
      </c>
      <c r="I3890" t="s">
        <v>1438</v>
      </c>
      <c r="J3890" t="s">
        <v>386</v>
      </c>
      <c r="K3890">
        <v>0</v>
      </c>
      <c r="L3890" s="6">
        <v>0</v>
      </c>
      <c r="M3890" s="7">
        <v>0</v>
      </c>
      <c r="N3890" s="7">
        <v>0</v>
      </c>
      <c r="O3890" s="7">
        <v>0</v>
      </c>
      <c r="P3890" s="7">
        <v>0</v>
      </c>
      <c r="Q3890" s="7">
        <v>0</v>
      </c>
      <c r="R3890" s="6">
        <v>0</v>
      </c>
      <c r="S3890" s="6">
        <v>0</v>
      </c>
      <c r="T3890" t="str">
        <f t="shared" si="332"/>
        <v>Ipe S4S E4E Random Lenght 5/4x6 Random Lenght</v>
      </c>
    </row>
    <row r="3891" spans="1:20" x14ac:dyDescent="0.25">
      <c r="A3891" t="s">
        <v>1436</v>
      </c>
      <c r="B3891" t="s">
        <v>1649</v>
      </c>
      <c r="C3891" t="s">
        <v>1438</v>
      </c>
      <c r="D3891" t="s">
        <v>523</v>
      </c>
      <c r="E3891" t="s">
        <v>4750</v>
      </c>
      <c r="F3891" t="s">
        <v>4751</v>
      </c>
      <c r="G3891" t="s">
        <v>1436</v>
      </c>
      <c r="H3891" t="s">
        <v>458</v>
      </c>
      <c r="I3891" t="s">
        <v>1438</v>
      </c>
      <c r="J3891" t="s">
        <v>849</v>
      </c>
      <c r="K3891">
        <v>0</v>
      </c>
      <c r="L3891" s="6">
        <v>0</v>
      </c>
      <c r="M3891" s="7">
        <v>0</v>
      </c>
      <c r="N3891" s="7">
        <v>0</v>
      </c>
      <c r="O3891" s="7">
        <v>0</v>
      </c>
      <c r="P3891" s="7">
        <v>0</v>
      </c>
      <c r="Q3891" s="7">
        <v>0</v>
      </c>
      <c r="R3891" s="6">
        <v>0</v>
      </c>
      <c r="S3891" s="6">
        <v>0</v>
      </c>
      <c r="T3891" t="str">
        <f t="shared" si="332"/>
        <v>Ipe S4S E4E Random Lenght 2x2 Random Lenght</v>
      </c>
    </row>
    <row r="3892" spans="1:20" x14ac:dyDescent="0.25">
      <c r="A3892" t="s">
        <v>1436</v>
      </c>
      <c r="B3892" t="s">
        <v>1669</v>
      </c>
      <c r="C3892" t="s">
        <v>1438</v>
      </c>
      <c r="D3892" t="s">
        <v>523</v>
      </c>
      <c r="E3892" t="s">
        <v>4752</v>
      </c>
      <c r="F3892" t="s">
        <v>4753</v>
      </c>
      <c r="G3892" t="s">
        <v>1436</v>
      </c>
      <c r="H3892" t="s">
        <v>458</v>
      </c>
      <c r="I3892" t="s">
        <v>1438</v>
      </c>
      <c r="J3892" t="s">
        <v>881</v>
      </c>
      <c r="K3892">
        <v>0</v>
      </c>
      <c r="L3892" s="6">
        <v>0</v>
      </c>
      <c r="M3892" s="7">
        <v>0</v>
      </c>
      <c r="N3892" s="7">
        <v>0</v>
      </c>
      <c r="O3892" s="7">
        <v>0</v>
      </c>
      <c r="P3892" s="7">
        <v>0</v>
      </c>
      <c r="Q3892" s="7">
        <v>0</v>
      </c>
      <c r="R3892" s="6">
        <v>0</v>
      </c>
      <c r="S3892" s="6">
        <v>0</v>
      </c>
      <c r="T3892" t="str">
        <f t="shared" si="332"/>
        <v>Ipe S4S E4E Random Lenght 2x4 Random Lenght</v>
      </c>
    </row>
    <row r="3893" spans="1:20" x14ac:dyDescent="0.25">
      <c r="A3893" t="s">
        <v>1436</v>
      </c>
      <c r="B3893" t="s">
        <v>1705</v>
      </c>
      <c r="C3893" t="s">
        <v>1438</v>
      </c>
      <c r="D3893" t="s">
        <v>523</v>
      </c>
      <c r="E3893" t="s">
        <v>4754</v>
      </c>
      <c r="F3893" t="s">
        <v>4755</v>
      </c>
      <c r="G3893" t="s">
        <v>1436</v>
      </c>
      <c r="H3893" t="s">
        <v>458</v>
      </c>
      <c r="I3893" t="s">
        <v>1438</v>
      </c>
      <c r="J3893" t="s">
        <v>906</v>
      </c>
      <c r="K3893">
        <v>0</v>
      </c>
      <c r="L3893" s="6">
        <v>0</v>
      </c>
      <c r="M3893" s="7">
        <v>0</v>
      </c>
      <c r="N3893" s="7">
        <v>0</v>
      </c>
      <c r="O3893" s="7">
        <v>0</v>
      </c>
      <c r="P3893" s="7">
        <v>0</v>
      </c>
      <c r="Q3893" s="7">
        <v>0</v>
      </c>
      <c r="R3893" s="6">
        <v>0</v>
      </c>
      <c r="S3893" s="6">
        <v>0</v>
      </c>
      <c r="T3893" t="str">
        <f t="shared" si="332"/>
        <v>Ipe S4S E4E Random Lenght 2x6 Random Lenght</v>
      </c>
    </row>
    <row r="3894" spans="1:20" x14ac:dyDescent="0.25">
      <c r="A3894" t="s">
        <v>2965</v>
      </c>
      <c r="B3894" t="s">
        <v>2965</v>
      </c>
      <c r="C3894" t="s">
        <v>2965</v>
      </c>
      <c r="D3894" t="s">
        <v>2911</v>
      </c>
      <c r="E3894" t="s">
        <v>4756</v>
      </c>
      <c r="F3894" t="s">
        <v>4757</v>
      </c>
      <c r="G3894" t="s">
        <v>4757</v>
      </c>
      <c r="H3894" t="s">
        <v>374</v>
      </c>
      <c r="I3894" t="s">
        <v>374</v>
      </c>
      <c r="J3894">
        <v>0</v>
      </c>
      <c r="K3894">
        <v>0</v>
      </c>
      <c r="L3894" s="6">
        <v>0</v>
      </c>
      <c r="M3894" s="7">
        <v>0</v>
      </c>
      <c r="N3894" s="7">
        <v>0</v>
      </c>
      <c r="O3894" s="7">
        <v>0</v>
      </c>
      <c r="P3894" s="7">
        <v>0</v>
      </c>
      <c r="Q3894" s="7">
        <v>0</v>
      </c>
      <c r="R3894" s="6">
        <v>0</v>
      </c>
      <c r="S3894" s="6">
        <v>0</v>
      </c>
      <c r="T3894" t="str">
        <f t="shared" si="332"/>
        <v>Paper Samples</v>
      </c>
    </row>
    <row r="3895" spans="1:20" x14ac:dyDescent="0.25">
      <c r="A3895" t="s">
        <v>2965</v>
      </c>
      <c r="B3895" t="s">
        <v>2965</v>
      </c>
      <c r="C3895" t="s">
        <v>2965</v>
      </c>
      <c r="D3895" t="s">
        <v>2911</v>
      </c>
      <c r="E3895" t="s">
        <v>4758</v>
      </c>
      <c r="F3895" t="s">
        <v>4759</v>
      </c>
      <c r="G3895" t="s">
        <v>4759</v>
      </c>
      <c r="H3895" t="s">
        <v>374</v>
      </c>
      <c r="I3895" t="s">
        <v>374</v>
      </c>
      <c r="J3895">
        <v>0</v>
      </c>
      <c r="K3895">
        <v>0</v>
      </c>
      <c r="L3895" s="6">
        <v>0</v>
      </c>
      <c r="M3895" s="7">
        <v>0</v>
      </c>
      <c r="N3895" s="7">
        <v>0</v>
      </c>
      <c r="O3895" s="7">
        <v>0</v>
      </c>
      <c r="P3895" s="7">
        <v>0</v>
      </c>
      <c r="Q3895" s="7">
        <v>0</v>
      </c>
      <c r="R3895" s="6">
        <v>0</v>
      </c>
      <c r="S3895" s="6">
        <v>0</v>
      </c>
      <c r="T3895" t="str">
        <f t="shared" si="332"/>
        <v>Folders and cartons Samples</v>
      </c>
    </row>
    <row r="3896" spans="1:20" x14ac:dyDescent="0.25">
      <c r="A3896" t="s">
        <v>1436</v>
      </c>
      <c r="B3896" t="s">
        <v>1575</v>
      </c>
      <c r="C3896" t="s">
        <v>1438</v>
      </c>
      <c r="D3896" t="s">
        <v>523</v>
      </c>
      <c r="E3896" t="s">
        <v>4760</v>
      </c>
      <c r="F3896" t="s">
        <v>2274</v>
      </c>
      <c r="G3896" t="s">
        <v>1436</v>
      </c>
      <c r="H3896" t="s">
        <v>458</v>
      </c>
      <c r="I3896" t="s">
        <v>1438</v>
      </c>
      <c r="J3896" t="s">
        <v>429</v>
      </c>
      <c r="K3896">
        <v>0</v>
      </c>
      <c r="L3896" s="6">
        <v>0</v>
      </c>
      <c r="M3896" s="7">
        <v>0</v>
      </c>
      <c r="N3896" s="7">
        <v>0</v>
      </c>
      <c r="O3896" s="7">
        <v>0</v>
      </c>
      <c r="P3896" s="7">
        <v>0</v>
      </c>
      <c r="Q3896" s="7">
        <v>0</v>
      </c>
      <c r="R3896" s="6">
        <v>0</v>
      </c>
      <c r="S3896" s="6">
        <v>0</v>
      </c>
      <c r="T3896" t="str">
        <f t="shared" si="332"/>
        <v>Ipe S4S E4E Random Lenght 1x6 Random Lenght</v>
      </c>
    </row>
    <row r="3897" spans="1:20" x14ac:dyDescent="0.25">
      <c r="A3897" t="s">
        <v>1436</v>
      </c>
      <c r="B3897" t="s">
        <v>1575</v>
      </c>
      <c r="C3897" t="s">
        <v>1438</v>
      </c>
      <c r="D3897" t="s">
        <v>523</v>
      </c>
      <c r="E3897" t="s">
        <v>4761</v>
      </c>
      <c r="F3897" t="s">
        <v>2274</v>
      </c>
      <c r="G3897" t="s">
        <v>1436</v>
      </c>
      <c r="H3897" t="s">
        <v>458</v>
      </c>
      <c r="I3897" t="s">
        <v>1438</v>
      </c>
      <c r="J3897" t="s">
        <v>429</v>
      </c>
      <c r="K3897">
        <v>0</v>
      </c>
      <c r="L3897" s="6">
        <v>0</v>
      </c>
      <c r="M3897" s="7">
        <v>0</v>
      </c>
      <c r="N3897" s="7">
        <v>0</v>
      </c>
      <c r="O3897" s="7">
        <v>0</v>
      </c>
      <c r="P3897" s="7">
        <v>0</v>
      </c>
      <c r="Q3897" s="7">
        <v>0</v>
      </c>
      <c r="R3897" s="6">
        <v>0</v>
      </c>
      <c r="S3897" s="6">
        <v>0</v>
      </c>
      <c r="T3897" t="str">
        <f t="shared" si="332"/>
        <v>Ipe S4S E4E Random Lenght 1x6 Random Lenght</v>
      </c>
    </row>
    <row r="3898" spans="1:20" x14ac:dyDescent="0.25">
      <c r="A3898" t="s">
        <v>1436</v>
      </c>
      <c r="B3898" t="s">
        <v>1437</v>
      </c>
      <c r="C3898" t="s">
        <v>1438</v>
      </c>
      <c r="D3898" t="s">
        <v>523</v>
      </c>
      <c r="E3898" t="s">
        <v>4762</v>
      </c>
      <c r="F3898" t="s">
        <v>4745</v>
      </c>
      <c r="G3898" t="s">
        <v>1436</v>
      </c>
      <c r="H3898" t="s">
        <v>458</v>
      </c>
      <c r="I3898" t="s">
        <v>1438</v>
      </c>
      <c r="J3898" t="s">
        <v>386</v>
      </c>
      <c r="K3898">
        <v>0</v>
      </c>
      <c r="L3898" s="6">
        <v>0</v>
      </c>
      <c r="M3898" s="7">
        <v>0</v>
      </c>
      <c r="N3898" s="7">
        <v>0</v>
      </c>
      <c r="O3898" s="7">
        <v>0</v>
      </c>
      <c r="P3898" s="7">
        <v>0</v>
      </c>
      <c r="Q3898" s="7">
        <v>0</v>
      </c>
      <c r="R3898" s="6">
        <v>0</v>
      </c>
      <c r="S3898" s="6">
        <v>0</v>
      </c>
      <c r="T3898" t="str">
        <f t="shared" si="332"/>
        <v>Ipe S4S E4E Random Lenght 5/4x6 Random Lenght</v>
      </c>
    </row>
    <row r="3899" spans="1:20" x14ac:dyDescent="0.25">
      <c r="A3899" t="s">
        <v>523</v>
      </c>
      <c r="B3899" t="s">
        <v>523</v>
      </c>
      <c r="C3899" t="s">
        <v>4763</v>
      </c>
      <c r="D3899" t="s">
        <v>2911</v>
      </c>
      <c r="E3899" t="s">
        <v>4764</v>
      </c>
      <c r="F3899" t="s">
        <v>4765</v>
      </c>
      <c r="G3899" t="s">
        <v>523</v>
      </c>
      <c r="H3899" t="s">
        <v>4766</v>
      </c>
      <c r="I3899" t="s">
        <v>374</v>
      </c>
      <c r="J3899">
        <v>0</v>
      </c>
      <c r="K3899">
        <v>0</v>
      </c>
      <c r="L3899" s="6">
        <v>0</v>
      </c>
      <c r="M3899" s="7">
        <v>0</v>
      </c>
      <c r="N3899" s="7">
        <v>0</v>
      </c>
      <c r="O3899" s="7">
        <v>0</v>
      </c>
      <c r="P3899" s="7">
        <v>0</v>
      </c>
      <c r="Q3899" s="7">
        <v>0</v>
      </c>
      <c r="R3899" s="6">
        <v>0</v>
      </c>
      <c r="S3899" s="6">
        <v>0</v>
      </c>
      <c r="T3899" t="str">
        <f t="shared" si="332"/>
        <v>Hardwoods Random Length Consigment RL</v>
      </c>
    </row>
    <row r="3900" spans="1:20" x14ac:dyDescent="0.25">
      <c r="A3900" t="s">
        <v>523</v>
      </c>
      <c r="B3900" t="s">
        <v>523</v>
      </c>
      <c r="C3900" t="s">
        <v>4763</v>
      </c>
      <c r="D3900" t="s">
        <v>2911</v>
      </c>
      <c r="E3900" t="s">
        <v>4767</v>
      </c>
      <c r="F3900" t="s">
        <v>4765</v>
      </c>
      <c r="G3900" t="s">
        <v>523</v>
      </c>
      <c r="H3900" t="s">
        <v>4766</v>
      </c>
      <c r="I3900" t="s">
        <v>374</v>
      </c>
      <c r="J3900">
        <v>0</v>
      </c>
      <c r="K3900">
        <v>0</v>
      </c>
      <c r="L3900" s="6">
        <v>0</v>
      </c>
      <c r="M3900" s="7">
        <v>0</v>
      </c>
      <c r="N3900" s="7">
        <v>0</v>
      </c>
      <c r="O3900" s="7">
        <v>0</v>
      </c>
      <c r="P3900" s="7">
        <v>0</v>
      </c>
      <c r="Q3900" s="7">
        <v>0</v>
      </c>
      <c r="R3900" s="6">
        <v>0</v>
      </c>
      <c r="S3900" s="6">
        <v>0</v>
      </c>
      <c r="T3900" t="str">
        <f t="shared" si="332"/>
        <v>Hardwoods Random Length Consigment RL</v>
      </c>
    </row>
    <row r="3901" spans="1:20" x14ac:dyDescent="0.25">
      <c r="A3901" t="s">
        <v>523</v>
      </c>
      <c r="B3901" t="s">
        <v>523</v>
      </c>
      <c r="C3901" t="s">
        <v>4763</v>
      </c>
      <c r="D3901" t="s">
        <v>2911</v>
      </c>
      <c r="E3901" t="s">
        <v>4768</v>
      </c>
      <c r="F3901" t="s">
        <v>4765</v>
      </c>
      <c r="G3901" t="s">
        <v>523</v>
      </c>
      <c r="H3901" t="s">
        <v>4766</v>
      </c>
      <c r="I3901" t="s">
        <v>374</v>
      </c>
      <c r="J3901">
        <v>0</v>
      </c>
      <c r="K3901">
        <v>0</v>
      </c>
      <c r="L3901" s="6">
        <v>0</v>
      </c>
      <c r="M3901" s="7">
        <v>0</v>
      </c>
      <c r="N3901" s="7">
        <v>0</v>
      </c>
      <c r="O3901" s="7">
        <v>0</v>
      </c>
      <c r="P3901" s="7">
        <v>0</v>
      </c>
      <c r="Q3901" s="7">
        <v>0</v>
      </c>
      <c r="R3901" s="6">
        <v>0</v>
      </c>
      <c r="S3901" s="6">
        <v>0</v>
      </c>
      <c r="T3901" t="str">
        <f t="shared" si="332"/>
        <v>Hardwoods Random Length Consigment RL</v>
      </c>
    </row>
    <row r="3902" spans="1:20" x14ac:dyDescent="0.25">
      <c r="A3902" t="s">
        <v>523</v>
      </c>
      <c r="B3902" t="s">
        <v>523</v>
      </c>
      <c r="C3902" t="s">
        <v>4763</v>
      </c>
      <c r="D3902" t="s">
        <v>2911</v>
      </c>
      <c r="E3902" t="s">
        <v>4769</v>
      </c>
      <c r="F3902" t="s">
        <v>4765</v>
      </c>
      <c r="G3902" t="s">
        <v>523</v>
      </c>
      <c r="H3902" t="s">
        <v>4766</v>
      </c>
      <c r="I3902" t="s">
        <v>374</v>
      </c>
      <c r="J3902">
        <v>0</v>
      </c>
      <c r="K3902">
        <v>0</v>
      </c>
      <c r="L3902" s="6">
        <v>0</v>
      </c>
      <c r="M3902" s="7">
        <v>0</v>
      </c>
      <c r="N3902" s="7">
        <v>0</v>
      </c>
      <c r="O3902" s="7">
        <v>0</v>
      </c>
      <c r="P3902" s="7">
        <v>0</v>
      </c>
      <c r="Q3902" s="7">
        <v>0</v>
      </c>
      <c r="R3902" s="6">
        <v>0</v>
      </c>
      <c r="S3902" s="6">
        <v>0</v>
      </c>
      <c r="T3902" t="str">
        <f t="shared" si="332"/>
        <v>Hardwoods Random Length Consigment RL</v>
      </c>
    </row>
    <row r="3903" spans="1:20" x14ac:dyDescent="0.25">
      <c r="A3903" t="s">
        <v>523</v>
      </c>
      <c r="B3903" t="s">
        <v>523</v>
      </c>
      <c r="C3903" t="s">
        <v>4763</v>
      </c>
      <c r="D3903" t="s">
        <v>2911</v>
      </c>
      <c r="E3903" t="s">
        <v>4770</v>
      </c>
      <c r="F3903" t="s">
        <v>4765</v>
      </c>
      <c r="G3903" t="s">
        <v>523</v>
      </c>
      <c r="H3903" t="s">
        <v>4766</v>
      </c>
      <c r="I3903" t="s">
        <v>374</v>
      </c>
      <c r="J3903">
        <v>0</v>
      </c>
      <c r="K3903">
        <v>0</v>
      </c>
      <c r="L3903" s="6">
        <v>0</v>
      </c>
      <c r="M3903" s="7">
        <v>0</v>
      </c>
      <c r="N3903" s="7">
        <v>0</v>
      </c>
      <c r="O3903" s="7">
        <v>0</v>
      </c>
      <c r="P3903" s="7">
        <v>0</v>
      </c>
      <c r="Q3903" s="7">
        <v>0</v>
      </c>
      <c r="R3903" s="6">
        <v>0</v>
      </c>
      <c r="S3903" s="6">
        <v>0</v>
      </c>
      <c r="T3903" t="str">
        <f t="shared" si="332"/>
        <v>Hardwoods Random Length Consigment RL</v>
      </c>
    </row>
    <row r="3904" spans="1:20" x14ac:dyDescent="0.25">
      <c r="A3904" t="s">
        <v>523</v>
      </c>
      <c r="B3904" t="s">
        <v>523</v>
      </c>
      <c r="C3904" t="s">
        <v>4763</v>
      </c>
      <c r="D3904" t="s">
        <v>2911</v>
      </c>
      <c r="E3904" t="s">
        <v>4771</v>
      </c>
      <c r="F3904" t="s">
        <v>4765</v>
      </c>
      <c r="G3904" t="s">
        <v>523</v>
      </c>
      <c r="H3904" t="s">
        <v>4766</v>
      </c>
      <c r="I3904" t="s">
        <v>374</v>
      </c>
      <c r="J3904">
        <v>0</v>
      </c>
      <c r="K3904">
        <v>0</v>
      </c>
      <c r="L3904" s="6">
        <v>0</v>
      </c>
      <c r="M3904" s="7">
        <v>0</v>
      </c>
      <c r="N3904" s="7">
        <v>0</v>
      </c>
      <c r="O3904" s="7">
        <v>0</v>
      </c>
      <c r="P3904" s="7">
        <v>0</v>
      </c>
      <c r="Q3904" s="7">
        <v>0</v>
      </c>
      <c r="R3904" s="6">
        <v>0</v>
      </c>
      <c r="S3904" s="6">
        <v>0</v>
      </c>
      <c r="T3904" t="str">
        <f t="shared" si="332"/>
        <v>Hardwoods Random Length Consigment RL</v>
      </c>
    </row>
    <row r="3905" spans="1:20" x14ac:dyDescent="0.25">
      <c r="A3905" t="s">
        <v>523</v>
      </c>
      <c r="B3905" t="s">
        <v>523</v>
      </c>
      <c r="C3905" t="s">
        <v>4763</v>
      </c>
      <c r="D3905" t="s">
        <v>2911</v>
      </c>
      <c r="E3905" t="s">
        <v>4772</v>
      </c>
      <c r="F3905" t="s">
        <v>4765</v>
      </c>
      <c r="G3905" t="s">
        <v>523</v>
      </c>
      <c r="H3905" t="s">
        <v>4766</v>
      </c>
      <c r="I3905" t="s">
        <v>374</v>
      </c>
      <c r="J3905">
        <v>0</v>
      </c>
      <c r="K3905">
        <v>0</v>
      </c>
      <c r="L3905" s="6">
        <v>0</v>
      </c>
      <c r="M3905" s="7">
        <v>0</v>
      </c>
      <c r="N3905" s="7">
        <v>0</v>
      </c>
      <c r="O3905" s="7">
        <v>0</v>
      </c>
      <c r="P3905" s="7">
        <v>0</v>
      </c>
      <c r="Q3905" s="7">
        <v>0</v>
      </c>
      <c r="R3905" s="6">
        <v>0</v>
      </c>
      <c r="S3905" s="6">
        <v>0</v>
      </c>
      <c r="T3905" t="str">
        <f t="shared" si="332"/>
        <v>Hardwoods Random Length Consigment RL</v>
      </c>
    </row>
    <row r="3906" spans="1:20" x14ac:dyDescent="0.25">
      <c r="A3906" t="s">
        <v>523</v>
      </c>
      <c r="B3906" t="s">
        <v>523</v>
      </c>
      <c r="C3906" t="s">
        <v>4763</v>
      </c>
      <c r="D3906" t="s">
        <v>2911</v>
      </c>
      <c r="E3906" t="s">
        <v>4773</v>
      </c>
      <c r="F3906" t="s">
        <v>4765</v>
      </c>
      <c r="G3906" t="s">
        <v>523</v>
      </c>
      <c r="H3906" t="s">
        <v>4766</v>
      </c>
      <c r="I3906" t="s">
        <v>374</v>
      </c>
      <c r="J3906">
        <v>0</v>
      </c>
      <c r="K3906">
        <v>0</v>
      </c>
      <c r="L3906" s="6">
        <v>0</v>
      </c>
      <c r="M3906" s="7">
        <v>0</v>
      </c>
      <c r="N3906" s="7">
        <v>0</v>
      </c>
      <c r="O3906" s="7">
        <v>0</v>
      </c>
      <c r="P3906" s="7">
        <v>0</v>
      </c>
      <c r="Q3906" s="7">
        <v>0</v>
      </c>
      <c r="R3906" s="6">
        <v>0</v>
      </c>
      <c r="S3906" s="6">
        <v>0</v>
      </c>
      <c r="T3906" t="str">
        <f t="shared" ref="T3906:T3969" si="337">F3906&amp;" "&amp;C3906</f>
        <v>Hardwoods Random Length Consigment RL</v>
      </c>
    </row>
    <row r="3907" spans="1:20" x14ac:dyDescent="0.25">
      <c r="A3907" t="s">
        <v>523</v>
      </c>
      <c r="B3907" t="s">
        <v>523</v>
      </c>
      <c r="C3907" t="s">
        <v>4763</v>
      </c>
      <c r="D3907" t="s">
        <v>2911</v>
      </c>
      <c r="E3907" t="s">
        <v>4774</v>
      </c>
      <c r="F3907" t="s">
        <v>4765</v>
      </c>
      <c r="G3907" t="s">
        <v>523</v>
      </c>
      <c r="H3907" t="s">
        <v>4766</v>
      </c>
      <c r="I3907" t="s">
        <v>374</v>
      </c>
      <c r="J3907">
        <v>0</v>
      </c>
      <c r="K3907">
        <v>0</v>
      </c>
      <c r="L3907" s="6">
        <v>0</v>
      </c>
      <c r="M3907" s="7">
        <v>0</v>
      </c>
      <c r="N3907" s="7">
        <v>0</v>
      </c>
      <c r="O3907" s="7">
        <v>0</v>
      </c>
      <c r="P3907" s="7">
        <v>0</v>
      </c>
      <c r="Q3907" s="7">
        <v>0</v>
      </c>
      <c r="R3907" s="6">
        <v>0</v>
      </c>
      <c r="S3907" s="6">
        <v>0</v>
      </c>
      <c r="T3907" t="str">
        <f t="shared" si="337"/>
        <v>Hardwoods Random Length Consigment RL</v>
      </c>
    </row>
    <row r="3908" spans="1:20" x14ac:dyDescent="0.25">
      <c r="A3908" t="s">
        <v>523</v>
      </c>
      <c r="B3908" t="s">
        <v>523</v>
      </c>
      <c r="C3908" t="s">
        <v>4763</v>
      </c>
      <c r="D3908" t="s">
        <v>2911</v>
      </c>
      <c r="E3908" t="s">
        <v>4775</v>
      </c>
      <c r="F3908" t="s">
        <v>4765</v>
      </c>
      <c r="G3908" t="s">
        <v>523</v>
      </c>
      <c r="H3908" t="s">
        <v>4766</v>
      </c>
      <c r="I3908" t="s">
        <v>374</v>
      </c>
      <c r="J3908">
        <v>0</v>
      </c>
      <c r="K3908">
        <v>0</v>
      </c>
      <c r="L3908" s="6">
        <v>0</v>
      </c>
      <c r="M3908" s="7">
        <v>0</v>
      </c>
      <c r="N3908" s="7">
        <v>0</v>
      </c>
      <c r="O3908" s="7">
        <v>0</v>
      </c>
      <c r="P3908" s="7">
        <v>0</v>
      </c>
      <c r="Q3908" s="7">
        <v>0</v>
      </c>
      <c r="R3908" s="6">
        <v>0</v>
      </c>
      <c r="S3908" s="6">
        <v>0</v>
      </c>
      <c r="T3908" t="str">
        <f t="shared" si="337"/>
        <v>Hardwoods Random Length Consigment RL</v>
      </c>
    </row>
    <row r="3909" spans="1:20" x14ac:dyDescent="0.25">
      <c r="A3909" t="s">
        <v>523</v>
      </c>
      <c r="B3909" t="s">
        <v>523</v>
      </c>
      <c r="C3909" t="s">
        <v>4763</v>
      </c>
      <c r="D3909" t="s">
        <v>2911</v>
      </c>
      <c r="E3909" t="s">
        <v>4776</v>
      </c>
      <c r="F3909" t="s">
        <v>4765</v>
      </c>
      <c r="G3909" t="s">
        <v>523</v>
      </c>
      <c r="H3909" t="s">
        <v>4766</v>
      </c>
      <c r="I3909" t="s">
        <v>374</v>
      </c>
      <c r="J3909">
        <v>0</v>
      </c>
      <c r="K3909">
        <v>0</v>
      </c>
      <c r="L3909" s="6">
        <v>0</v>
      </c>
      <c r="M3909" s="7">
        <v>0</v>
      </c>
      <c r="N3909" s="7">
        <v>0</v>
      </c>
      <c r="O3909" s="7">
        <v>0</v>
      </c>
      <c r="P3909" s="7">
        <v>0</v>
      </c>
      <c r="Q3909" s="7">
        <v>0</v>
      </c>
      <c r="R3909" s="6">
        <v>0</v>
      </c>
      <c r="S3909" s="6">
        <v>0</v>
      </c>
      <c r="T3909" t="str">
        <f t="shared" si="337"/>
        <v>Hardwoods Random Length Consigment RL</v>
      </c>
    </row>
    <row r="3910" spans="1:20" x14ac:dyDescent="0.25">
      <c r="A3910" t="s">
        <v>523</v>
      </c>
      <c r="B3910" t="s">
        <v>523</v>
      </c>
      <c r="C3910" t="s">
        <v>4763</v>
      </c>
      <c r="D3910" t="s">
        <v>2911</v>
      </c>
      <c r="E3910" t="s">
        <v>4777</v>
      </c>
      <c r="F3910" t="s">
        <v>4765</v>
      </c>
      <c r="G3910" t="s">
        <v>523</v>
      </c>
      <c r="H3910" t="s">
        <v>4766</v>
      </c>
      <c r="I3910" t="s">
        <v>374</v>
      </c>
      <c r="J3910">
        <v>0</v>
      </c>
      <c r="K3910">
        <v>0</v>
      </c>
      <c r="L3910" s="6">
        <v>0</v>
      </c>
      <c r="M3910" s="7">
        <v>0</v>
      </c>
      <c r="N3910" s="7">
        <v>0</v>
      </c>
      <c r="O3910" s="7">
        <v>0</v>
      </c>
      <c r="P3910" s="7">
        <v>0</v>
      </c>
      <c r="Q3910" s="7">
        <v>0</v>
      </c>
      <c r="R3910" s="6">
        <v>0</v>
      </c>
      <c r="S3910" s="6">
        <v>0</v>
      </c>
      <c r="T3910" t="str">
        <f t="shared" si="337"/>
        <v>Hardwoods Random Length Consigment RL</v>
      </c>
    </row>
    <row r="3911" spans="1:20" x14ac:dyDescent="0.25">
      <c r="A3911" t="s">
        <v>523</v>
      </c>
      <c r="B3911" t="s">
        <v>523</v>
      </c>
      <c r="C3911" t="s">
        <v>4763</v>
      </c>
      <c r="D3911" t="s">
        <v>2911</v>
      </c>
      <c r="E3911" t="s">
        <v>4778</v>
      </c>
      <c r="F3911" t="s">
        <v>4765</v>
      </c>
      <c r="G3911" t="s">
        <v>523</v>
      </c>
      <c r="H3911" t="s">
        <v>4766</v>
      </c>
      <c r="I3911" t="s">
        <v>374</v>
      </c>
      <c r="J3911">
        <v>0</v>
      </c>
      <c r="K3911">
        <v>0</v>
      </c>
      <c r="L3911" s="6">
        <v>0</v>
      </c>
      <c r="M3911" s="7">
        <v>0</v>
      </c>
      <c r="N3911" s="7">
        <v>0</v>
      </c>
      <c r="O3911" s="7">
        <v>0</v>
      </c>
      <c r="P3911" s="7">
        <v>0</v>
      </c>
      <c r="Q3911" s="7">
        <v>0</v>
      </c>
      <c r="R3911" s="6">
        <v>0</v>
      </c>
      <c r="S3911" s="6">
        <v>0</v>
      </c>
      <c r="T3911" t="str">
        <f t="shared" si="337"/>
        <v>Hardwoods Random Length Consigment RL</v>
      </c>
    </row>
    <row r="3912" spans="1:20" x14ac:dyDescent="0.25">
      <c r="A3912" t="s">
        <v>523</v>
      </c>
      <c r="B3912" t="s">
        <v>523</v>
      </c>
      <c r="C3912" t="s">
        <v>4763</v>
      </c>
      <c r="D3912" t="s">
        <v>2911</v>
      </c>
      <c r="E3912" t="s">
        <v>4779</v>
      </c>
      <c r="F3912" t="s">
        <v>4765</v>
      </c>
      <c r="G3912" t="s">
        <v>523</v>
      </c>
      <c r="H3912" t="s">
        <v>4766</v>
      </c>
      <c r="I3912" t="s">
        <v>374</v>
      </c>
      <c r="J3912">
        <v>0</v>
      </c>
      <c r="K3912">
        <v>0</v>
      </c>
      <c r="L3912" s="6">
        <v>0</v>
      </c>
      <c r="M3912" s="7">
        <v>0</v>
      </c>
      <c r="N3912" s="7">
        <v>0</v>
      </c>
      <c r="O3912" s="7">
        <v>0</v>
      </c>
      <c r="P3912" s="7">
        <v>0</v>
      </c>
      <c r="Q3912" s="7">
        <v>0</v>
      </c>
      <c r="R3912" s="6">
        <v>0</v>
      </c>
      <c r="S3912" s="6">
        <v>0</v>
      </c>
      <c r="T3912" t="str">
        <f t="shared" si="337"/>
        <v>Hardwoods Random Length Consigment RL</v>
      </c>
    </row>
    <row r="3913" spans="1:20" x14ac:dyDescent="0.25">
      <c r="A3913" t="s">
        <v>616</v>
      </c>
      <c r="B3913" t="s">
        <v>4780</v>
      </c>
      <c r="C3913" t="s">
        <v>368</v>
      </c>
      <c r="D3913" t="s">
        <v>523</v>
      </c>
      <c r="E3913" t="s">
        <v>4781</v>
      </c>
      <c r="F3913" t="s">
        <v>4782</v>
      </c>
      <c r="G3913" t="s">
        <v>616</v>
      </c>
      <c r="H3913" t="s">
        <v>458</v>
      </c>
      <c r="I3913" t="s">
        <v>374</v>
      </c>
      <c r="J3913" t="s">
        <v>4716</v>
      </c>
      <c r="K3913">
        <v>16</v>
      </c>
      <c r="L3913" s="6">
        <v>4.8768000000000002</v>
      </c>
      <c r="M3913" s="7">
        <v>203.2</v>
      </c>
      <c r="N3913" s="7">
        <v>254</v>
      </c>
      <c r="O3913" s="7">
        <f t="shared" ref="O3913:O3921" si="338">L3913/0.0254</f>
        <v>192.00000000000003</v>
      </c>
      <c r="P3913" s="7">
        <f t="shared" ref="P3913:Q3921" si="339">M3913/25.4</f>
        <v>8</v>
      </c>
      <c r="Q3913" s="7">
        <f t="shared" si="339"/>
        <v>10</v>
      </c>
      <c r="R3913" s="6">
        <f t="shared" ref="R3913:R3921" si="340">ROUND(IFERROR(1/((M3913*N3913*0.3048)/1000000),0),3)</f>
        <v>63.566000000000003</v>
      </c>
      <c r="S3913" s="6">
        <f t="shared" ref="S3913:S3921" si="341">L3913*M3913/1000*N3913/1000</f>
        <v>0.25170530303999999</v>
      </c>
      <c r="T3913" t="str">
        <f t="shared" si="337"/>
        <v>Cumaru S4S E4E 8x10 Long</v>
      </c>
    </row>
    <row r="3914" spans="1:20" x14ac:dyDescent="0.25">
      <c r="A3914" t="s">
        <v>616</v>
      </c>
      <c r="B3914" t="s">
        <v>4783</v>
      </c>
      <c r="C3914" t="s">
        <v>368</v>
      </c>
      <c r="D3914" t="s">
        <v>523</v>
      </c>
      <c r="E3914" t="s">
        <v>4784</v>
      </c>
      <c r="F3914" t="s">
        <v>4785</v>
      </c>
      <c r="G3914" t="s">
        <v>616</v>
      </c>
      <c r="H3914" t="s">
        <v>458</v>
      </c>
      <c r="I3914" t="s">
        <v>374</v>
      </c>
      <c r="J3914" t="s">
        <v>4741</v>
      </c>
      <c r="K3914">
        <v>14</v>
      </c>
      <c r="L3914" s="6">
        <v>4.2671999999999999</v>
      </c>
      <c r="M3914" s="7">
        <v>152.39999999999998</v>
      </c>
      <c r="N3914" s="7">
        <v>254</v>
      </c>
      <c r="O3914" s="7">
        <f t="shared" si="338"/>
        <v>168</v>
      </c>
      <c r="P3914" s="7">
        <f t="shared" si="339"/>
        <v>5.9999999999999991</v>
      </c>
      <c r="Q3914" s="7">
        <f t="shared" si="339"/>
        <v>10</v>
      </c>
      <c r="R3914" s="6">
        <f t="shared" si="340"/>
        <v>84.754999999999995</v>
      </c>
      <c r="S3914" s="6">
        <f t="shared" si="341"/>
        <v>0.16518160511999996</v>
      </c>
      <c r="T3914" t="str">
        <f t="shared" si="337"/>
        <v>Cumaru S4S E4E 6x10 Long</v>
      </c>
    </row>
    <row r="3915" spans="1:20" x14ac:dyDescent="0.25">
      <c r="A3915" t="s">
        <v>616</v>
      </c>
      <c r="B3915" t="s">
        <v>4786</v>
      </c>
      <c r="C3915" t="s">
        <v>368</v>
      </c>
      <c r="D3915" t="s">
        <v>523</v>
      </c>
      <c r="E3915" t="s">
        <v>4787</v>
      </c>
      <c r="F3915" t="s">
        <v>4788</v>
      </c>
      <c r="G3915" t="s">
        <v>616</v>
      </c>
      <c r="H3915" t="s">
        <v>458</v>
      </c>
      <c r="I3915" t="s">
        <v>374</v>
      </c>
      <c r="J3915" t="s">
        <v>4789</v>
      </c>
      <c r="K3915">
        <v>8</v>
      </c>
      <c r="L3915" s="6">
        <v>2.4384000000000001</v>
      </c>
      <c r="M3915" s="7">
        <v>76.199999999999989</v>
      </c>
      <c r="N3915" s="7">
        <v>76.199999999999989</v>
      </c>
      <c r="O3915" s="7">
        <f t="shared" si="338"/>
        <v>96.000000000000014</v>
      </c>
      <c r="P3915" s="7">
        <f t="shared" si="339"/>
        <v>2.9999999999999996</v>
      </c>
      <c r="Q3915" s="7">
        <f t="shared" si="339"/>
        <v>2.9999999999999996</v>
      </c>
      <c r="R3915" s="6">
        <f t="shared" si="340"/>
        <v>565.03499999999997</v>
      </c>
      <c r="S3915" s="6">
        <f t="shared" si="341"/>
        <v>1.4158423295999997E-2</v>
      </c>
      <c r="T3915" t="str">
        <f t="shared" si="337"/>
        <v>Cumaru S4S E4E 76x76 Long</v>
      </c>
    </row>
    <row r="3916" spans="1:20" x14ac:dyDescent="0.25">
      <c r="A3916" t="s">
        <v>616</v>
      </c>
      <c r="B3916" t="s">
        <v>4790</v>
      </c>
      <c r="C3916" t="s">
        <v>368</v>
      </c>
      <c r="D3916" t="s">
        <v>523</v>
      </c>
      <c r="E3916" t="s">
        <v>4791</v>
      </c>
      <c r="F3916" t="s">
        <v>4792</v>
      </c>
      <c r="G3916" t="s">
        <v>616</v>
      </c>
      <c r="H3916" t="s">
        <v>458</v>
      </c>
      <c r="I3916" t="s">
        <v>374</v>
      </c>
      <c r="J3916" t="s">
        <v>4793</v>
      </c>
      <c r="K3916">
        <v>12</v>
      </c>
      <c r="L3916" s="6">
        <v>3.6576</v>
      </c>
      <c r="M3916" s="7">
        <v>63.5</v>
      </c>
      <c r="N3916" s="7">
        <v>215.89999999999998</v>
      </c>
      <c r="O3916" s="7">
        <f t="shared" si="338"/>
        <v>144</v>
      </c>
      <c r="P3916" s="7">
        <f t="shared" si="339"/>
        <v>2.5</v>
      </c>
      <c r="Q3916" s="7">
        <f t="shared" si="339"/>
        <v>8.5</v>
      </c>
      <c r="R3916" s="6">
        <f t="shared" si="340"/>
        <v>239.309</v>
      </c>
      <c r="S3916" s="6">
        <f t="shared" si="341"/>
        <v>5.0144415839999991E-2</v>
      </c>
      <c r="T3916" t="str">
        <f t="shared" si="337"/>
        <v>Cumaru S4S E4E 63x215 Long</v>
      </c>
    </row>
    <row r="3917" spans="1:20" x14ac:dyDescent="0.25">
      <c r="A3917" t="s">
        <v>616</v>
      </c>
      <c r="B3917" t="s">
        <v>4794</v>
      </c>
      <c r="C3917" t="s">
        <v>368</v>
      </c>
      <c r="D3917" t="s">
        <v>523</v>
      </c>
      <c r="E3917" t="s">
        <v>4795</v>
      </c>
      <c r="F3917" t="s">
        <v>4796</v>
      </c>
      <c r="G3917" t="s">
        <v>616</v>
      </c>
      <c r="H3917" t="s">
        <v>458</v>
      </c>
      <c r="I3917" t="s">
        <v>374</v>
      </c>
      <c r="J3917" t="s">
        <v>4797</v>
      </c>
      <c r="K3917">
        <v>20</v>
      </c>
      <c r="L3917" s="6">
        <v>6.0960000000000001</v>
      </c>
      <c r="M3917" s="7">
        <v>63.5</v>
      </c>
      <c r="N3917" s="7">
        <v>241.29999999999998</v>
      </c>
      <c r="O3917" s="7">
        <f t="shared" si="338"/>
        <v>240</v>
      </c>
      <c r="P3917" s="7">
        <f t="shared" si="339"/>
        <v>2.5</v>
      </c>
      <c r="Q3917" s="7">
        <f t="shared" si="339"/>
        <v>9.5</v>
      </c>
      <c r="R3917" s="6">
        <f t="shared" si="340"/>
        <v>214.11799999999999</v>
      </c>
      <c r="S3917" s="6">
        <f t="shared" si="341"/>
        <v>9.3406264799999986E-2</v>
      </c>
      <c r="T3917" t="str">
        <f t="shared" si="337"/>
        <v>Cumaru S4S E4E 63x241 Long</v>
      </c>
    </row>
    <row r="3918" spans="1:20" x14ac:dyDescent="0.25">
      <c r="A3918" t="s">
        <v>616</v>
      </c>
      <c r="B3918" t="s">
        <v>1233</v>
      </c>
      <c r="C3918" t="s">
        <v>368</v>
      </c>
      <c r="D3918" t="s">
        <v>523</v>
      </c>
      <c r="E3918" t="s">
        <v>1234</v>
      </c>
      <c r="F3918" t="s">
        <v>1235</v>
      </c>
      <c r="G3918" t="s">
        <v>616</v>
      </c>
      <c r="H3918" t="s">
        <v>458</v>
      </c>
      <c r="I3918" t="s">
        <v>374</v>
      </c>
      <c r="J3918" t="s">
        <v>1236</v>
      </c>
      <c r="K3918">
        <v>14</v>
      </c>
      <c r="L3918" s="6">
        <v>4.2671999999999999</v>
      </c>
      <c r="M3918" s="7">
        <v>50.8</v>
      </c>
      <c r="N3918" s="7">
        <v>139.69999999999999</v>
      </c>
      <c r="O3918" s="7">
        <f t="shared" si="338"/>
        <v>168</v>
      </c>
      <c r="P3918" s="7">
        <f t="shared" si="339"/>
        <v>2</v>
      </c>
      <c r="Q3918" s="7">
        <f t="shared" si="339"/>
        <v>5.5</v>
      </c>
      <c r="R3918" s="6">
        <f t="shared" si="340"/>
        <v>462.30099999999999</v>
      </c>
      <c r="S3918" s="6">
        <f t="shared" si="341"/>
        <v>3.0283294271999994E-2</v>
      </c>
      <c r="T3918" t="str">
        <f t="shared" si="337"/>
        <v>Cumaru S4S E4E 50x140 Long</v>
      </c>
    </row>
    <row r="3919" spans="1:20" x14ac:dyDescent="0.25">
      <c r="A3919" t="s">
        <v>616</v>
      </c>
      <c r="B3919" t="s">
        <v>4798</v>
      </c>
      <c r="C3919" t="s">
        <v>368</v>
      </c>
      <c r="D3919" t="s">
        <v>523</v>
      </c>
      <c r="E3919" t="s">
        <v>4799</v>
      </c>
      <c r="F3919" t="s">
        <v>4800</v>
      </c>
      <c r="G3919" t="s">
        <v>616</v>
      </c>
      <c r="H3919" t="s">
        <v>458</v>
      </c>
      <c r="I3919" t="s">
        <v>374</v>
      </c>
      <c r="J3919" t="s">
        <v>4801</v>
      </c>
      <c r="K3919">
        <v>18</v>
      </c>
      <c r="L3919" s="6">
        <v>5.4863999999999997</v>
      </c>
      <c r="M3919" s="7">
        <v>50.8</v>
      </c>
      <c r="N3919" s="7">
        <v>114.3</v>
      </c>
      <c r="O3919" s="7">
        <f t="shared" si="338"/>
        <v>216</v>
      </c>
      <c r="P3919" s="7">
        <f t="shared" si="339"/>
        <v>2</v>
      </c>
      <c r="Q3919" s="7">
        <f t="shared" si="339"/>
        <v>4.5</v>
      </c>
      <c r="R3919" s="6">
        <f t="shared" si="340"/>
        <v>565.03499999999997</v>
      </c>
      <c r="S3919" s="6">
        <f t="shared" si="341"/>
        <v>3.1856452415999999E-2</v>
      </c>
      <c r="T3919" t="str">
        <f t="shared" si="337"/>
        <v>Cumaru S4S E4E 50x114 Long</v>
      </c>
    </row>
    <row r="3920" spans="1:20" x14ac:dyDescent="0.25">
      <c r="A3920" t="s">
        <v>616</v>
      </c>
      <c r="B3920" t="s">
        <v>4802</v>
      </c>
      <c r="C3920" t="s">
        <v>368</v>
      </c>
      <c r="D3920" t="s">
        <v>523</v>
      </c>
      <c r="E3920" t="s">
        <v>4803</v>
      </c>
      <c r="F3920" t="s">
        <v>4804</v>
      </c>
      <c r="G3920" t="s">
        <v>616</v>
      </c>
      <c r="H3920" t="s">
        <v>458</v>
      </c>
      <c r="I3920" t="s">
        <v>374</v>
      </c>
      <c r="J3920" t="s">
        <v>4805</v>
      </c>
      <c r="K3920">
        <v>12</v>
      </c>
      <c r="L3920" s="6">
        <v>3.6576</v>
      </c>
      <c r="M3920" s="7">
        <v>38.099999999999994</v>
      </c>
      <c r="N3920" s="7">
        <v>76.199999999999989</v>
      </c>
      <c r="O3920" s="7">
        <f t="shared" si="338"/>
        <v>144</v>
      </c>
      <c r="P3920" s="7">
        <f t="shared" si="339"/>
        <v>1.4999999999999998</v>
      </c>
      <c r="Q3920" s="7">
        <f t="shared" si="339"/>
        <v>2.9999999999999996</v>
      </c>
      <c r="R3920" s="6">
        <f t="shared" si="340"/>
        <v>1130.069</v>
      </c>
      <c r="S3920" s="6">
        <f t="shared" si="341"/>
        <v>1.0618817471999994E-2</v>
      </c>
      <c r="T3920" t="str">
        <f t="shared" si="337"/>
        <v>Cumaru S4S E4E 38x76 Long</v>
      </c>
    </row>
    <row r="3921" spans="1:20" x14ac:dyDescent="0.25">
      <c r="A3921" t="s">
        <v>2567</v>
      </c>
      <c r="B3921" t="s">
        <v>2582</v>
      </c>
      <c r="C3921" t="s">
        <v>609</v>
      </c>
      <c r="D3921" t="s">
        <v>523</v>
      </c>
      <c r="E3921" t="s">
        <v>4806</v>
      </c>
      <c r="F3921" t="s">
        <v>2584</v>
      </c>
      <c r="G3921" t="s">
        <v>2567</v>
      </c>
      <c r="H3921" t="s">
        <v>458</v>
      </c>
      <c r="I3921" t="s">
        <v>374</v>
      </c>
      <c r="J3921" t="s">
        <v>429</v>
      </c>
      <c r="K3921">
        <v>7</v>
      </c>
      <c r="L3921" s="6">
        <v>2.1335999999999999</v>
      </c>
      <c r="M3921" s="7">
        <v>19.05</v>
      </c>
      <c r="N3921" s="7">
        <v>139.69999999999999</v>
      </c>
      <c r="O3921" s="7">
        <f t="shared" si="338"/>
        <v>84</v>
      </c>
      <c r="P3921" s="7">
        <f t="shared" si="339"/>
        <v>0.75000000000000011</v>
      </c>
      <c r="Q3921" s="7">
        <f t="shared" si="339"/>
        <v>5.5</v>
      </c>
      <c r="R3921" s="6">
        <f t="shared" si="340"/>
        <v>1232.8030000000001</v>
      </c>
      <c r="S3921" s="6">
        <f t="shared" si="341"/>
        <v>5.6781176759999998E-3</v>
      </c>
      <c r="T3921" t="str">
        <f t="shared" si="337"/>
        <v>Tigerwood S4S E4E 1x6 Short</v>
      </c>
    </row>
    <row r="3922" spans="1:20" x14ac:dyDescent="0.25">
      <c r="A3922" t="s">
        <v>2909</v>
      </c>
      <c r="B3922" t="s">
        <v>2921</v>
      </c>
      <c r="C3922" t="s">
        <v>2909</v>
      </c>
      <c r="D3922" t="s">
        <v>2911</v>
      </c>
      <c r="E3922" t="s">
        <v>4807</v>
      </c>
      <c r="F3922" t="s">
        <v>2923</v>
      </c>
      <c r="G3922" t="s">
        <v>2923</v>
      </c>
      <c r="H3922" t="s">
        <v>374</v>
      </c>
      <c r="I3922" t="s">
        <v>374</v>
      </c>
      <c r="J3922">
        <v>0</v>
      </c>
      <c r="K3922">
        <v>0</v>
      </c>
      <c r="L3922" s="6">
        <v>0</v>
      </c>
      <c r="M3922" s="7">
        <v>0</v>
      </c>
      <c r="N3922" s="7">
        <v>0</v>
      </c>
      <c r="O3922" s="7">
        <v>0</v>
      </c>
      <c r="P3922" s="7">
        <v>0</v>
      </c>
      <c r="Q3922" s="7">
        <v>0</v>
      </c>
      <c r="R3922" s="6">
        <v>0</v>
      </c>
      <c r="S3922" s="6">
        <v>0</v>
      </c>
      <c r="T3922" t="str">
        <f t="shared" si="337"/>
        <v>Freight Services Services</v>
      </c>
    </row>
    <row r="3923" spans="1:20" x14ac:dyDescent="0.25">
      <c r="A3923" t="s">
        <v>4656</v>
      </c>
      <c r="B3923" t="s">
        <v>4378</v>
      </c>
      <c r="C3923" t="s">
        <v>1341</v>
      </c>
      <c r="D3923" t="s">
        <v>4656</v>
      </c>
      <c r="E3923">
        <v>31032</v>
      </c>
      <c r="F3923" t="s">
        <v>4808</v>
      </c>
      <c r="G3923" t="s">
        <v>4658</v>
      </c>
      <c r="H3923" t="s">
        <v>4809</v>
      </c>
      <c r="I3923" t="s">
        <v>374</v>
      </c>
      <c r="J3923">
        <v>0</v>
      </c>
      <c r="K3923">
        <v>0</v>
      </c>
      <c r="L3923" s="6">
        <v>0</v>
      </c>
      <c r="M3923" s="7">
        <v>0</v>
      </c>
      <c r="N3923" s="7">
        <v>0</v>
      </c>
      <c r="O3923" s="7">
        <v>0</v>
      </c>
      <c r="P3923" s="7">
        <v>0</v>
      </c>
      <c r="Q3923" s="7">
        <v>0</v>
      </c>
      <c r="R3923" s="6">
        <v>0</v>
      </c>
      <c r="S3923" s="6">
        <v>0</v>
      </c>
      <c r="T3923" t="str">
        <f t="shared" si="337"/>
        <v>Deck Tile Connector Tiles</v>
      </c>
    </row>
    <row r="3924" spans="1:20" x14ac:dyDescent="0.25">
      <c r="A3924" t="s">
        <v>4656</v>
      </c>
      <c r="B3924" t="s">
        <v>4378</v>
      </c>
      <c r="C3924" t="s">
        <v>4650</v>
      </c>
      <c r="D3924" t="s">
        <v>2911</v>
      </c>
      <c r="E3924" t="s">
        <v>4810</v>
      </c>
      <c r="F3924" t="s">
        <v>4811</v>
      </c>
      <c r="G3924" t="s">
        <v>4812</v>
      </c>
      <c r="H3924" t="s">
        <v>4813</v>
      </c>
      <c r="I3924" t="s">
        <v>374</v>
      </c>
      <c r="J3924" t="s">
        <v>4654</v>
      </c>
      <c r="K3924">
        <v>0</v>
      </c>
      <c r="L3924" s="6">
        <v>0</v>
      </c>
      <c r="M3924" s="7">
        <v>0</v>
      </c>
      <c r="N3924" s="7">
        <v>0</v>
      </c>
      <c r="O3924" s="7">
        <v>0</v>
      </c>
      <c r="P3924" s="7">
        <v>0</v>
      </c>
      <c r="Q3924" s="7">
        <v>0</v>
      </c>
      <c r="R3924" s="6">
        <v>0</v>
      </c>
      <c r="S3924" s="6">
        <v>0</v>
      </c>
      <c r="T3924" t="str">
        <f t="shared" si="337"/>
        <v>Plug Kit Wood Ipe 3/8"x3/8" Plug</v>
      </c>
    </row>
    <row r="3925" spans="1:20" x14ac:dyDescent="0.25">
      <c r="A3925" t="s">
        <v>2909</v>
      </c>
      <c r="B3925" t="s">
        <v>2951</v>
      </c>
      <c r="C3925" t="s">
        <v>2909</v>
      </c>
      <c r="D3925" t="s">
        <v>2911</v>
      </c>
      <c r="E3925" t="s">
        <v>4814</v>
      </c>
      <c r="F3925" t="s">
        <v>2951</v>
      </c>
      <c r="G3925" t="s">
        <v>374</v>
      </c>
      <c r="H3925" t="s">
        <v>374</v>
      </c>
      <c r="I3925" t="s">
        <v>374</v>
      </c>
      <c r="J3925">
        <v>0</v>
      </c>
      <c r="K3925">
        <v>0</v>
      </c>
      <c r="L3925" s="6">
        <v>0</v>
      </c>
      <c r="M3925" s="7">
        <v>0</v>
      </c>
      <c r="N3925" s="7">
        <v>0</v>
      </c>
      <c r="O3925" s="7">
        <v>0</v>
      </c>
      <c r="P3925" s="7">
        <v>0</v>
      </c>
      <c r="Q3925" s="7">
        <v>0</v>
      </c>
      <c r="R3925" s="6">
        <v>0</v>
      </c>
      <c r="S3925" s="6">
        <v>0</v>
      </c>
      <c r="T3925" t="str">
        <f t="shared" si="337"/>
        <v>Milling Services</v>
      </c>
    </row>
    <row r="3926" spans="1:20" x14ac:dyDescent="0.25">
      <c r="A3926" t="s">
        <v>2909</v>
      </c>
      <c r="B3926" t="s">
        <v>2956</v>
      </c>
      <c r="C3926" t="s">
        <v>2909</v>
      </c>
      <c r="D3926" t="s">
        <v>2911</v>
      </c>
      <c r="E3926" t="s">
        <v>4815</v>
      </c>
      <c r="F3926" t="s">
        <v>2956</v>
      </c>
      <c r="G3926" t="s">
        <v>374</v>
      </c>
      <c r="H3926" t="s">
        <v>374</v>
      </c>
      <c r="I3926" t="s">
        <v>374</v>
      </c>
      <c r="J3926">
        <v>0</v>
      </c>
      <c r="K3926">
        <v>0</v>
      </c>
      <c r="L3926" s="6">
        <v>0</v>
      </c>
      <c r="M3926" s="7">
        <v>0</v>
      </c>
      <c r="N3926" s="7">
        <v>0</v>
      </c>
      <c r="O3926" s="7">
        <v>0</v>
      </c>
      <c r="P3926" s="7">
        <v>0</v>
      </c>
      <c r="Q3926" s="7">
        <v>0</v>
      </c>
      <c r="R3926" s="6">
        <v>0</v>
      </c>
      <c r="S3926" s="6">
        <v>0</v>
      </c>
      <c r="T3926" t="str">
        <f t="shared" si="337"/>
        <v>Painting Services</v>
      </c>
    </row>
    <row r="3927" spans="1:20" x14ac:dyDescent="0.25">
      <c r="A3927" t="s">
        <v>2909</v>
      </c>
      <c r="B3927" t="s">
        <v>2951</v>
      </c>
      <c r="C3927" t="s">
        <v>2909</v>
      </c>
      <c r="D3927" t="s">
        <v>2911</v>
      </c>
      <c r="E3927" t="s">
        <v>4816</v>
      </c>
      <c r="F3927" t="s">
        <v>2951</v>
      </c>
      <c r="G3927" t="s">
        <v>374</v>
      </c>
      <c r="H3927" t="s">
        <v>374</v>
      </c>
      <c r="I3927" t="s">
        <v>374</v>
      </c>
      <c r="J3927">
        <v>0</v>
      </c>
      <c r="K3927">
        <v>0</v>
      </c>
      <c r="L3927" s="6">
        <v>0</v>
      </c>
      <c r="M3927" s="7">
        <v>0</v>
      </c>
      <c r="N3927" s="7">
        <v>0</v>
      </c>
      <c r="O3927" s="7">
        <v>0</v>
      </c>
      <c r="P3927" s="7">
        <v>0</v>
      </c>
      <c r="Q3927" s="7">
        <v>0</v>
      </c>
      <c r="R3927" s="6">
        <v>0</v>
      </c>
      <c r="S3927" s="6">
        <v>0</v>
      </c>
      <c r="T3927" t="str">
        <f t="shared" si="337"/>
        <v>Milling Services</v>
      </c>
    </row>
    <row r="3928" spans="1:20" x14ac:dyDescent="0.25">
      <c r="A3928" t="s">
        <v>3158</v>
      </c>
      <c r="B3928" t="s">
        <v>3802</v>
      </c>
      <c r="C3928" t="s">
        <v>368</v>
      </c>
      <c r="D3928" t="s">
        <v>3129</v>
      </c>
      <c r="E3928" t="s">
        <v>4817</v>
      </c>
      <c r="F3928" t="s">
        <v>4818</v>
      </c>
      <c r="G3928" t="s">
        <v>3162</v>
      </c>
      <c r="H3928" t="s">
        <v>458</v>
      </c>
      <c r="I3928" t="s">
        <v>3937</v>
      </c>
      <c r="J3928" t="s">
        <v>698</v>
      </c>
      <c r="K3928">
        <v>10</v>
      </c>
      <c r="L3928" s="6">
        <v>3</v>
      </c>
      <c r="M3928" s="7">
        <v>19</v>
      </c>
      <c r="N3928" s="7">
        <v>92</v>
      </c>
      <c r="O3928" s="7">
        <f t="shared" ref="O3928:O3991" si="342">L3928/0.0254</f>
        <v>118.11023622047244</v>
      </c>
      <c r="P3928" s="7">
        <f t="shared" ref="P3928:Q3943" si="343">M3928/25.4</f>
        <v>0.74803149606299213</v>
      </c>
      <c r="Q3928" s="7">
        <f t="shared" si="343"/>
        <v>3.6220472440944884</v>
      </c>
      <c r="R3928" s="6">
        <f t="shared" ref="R3928:R3991" si="344">ROUND(IFERROR(1/((M3928*N3928*0.3048)/1000000),0),3)</f>
        <v>1876.9110000000001</v>
      </c>
      <c r="S3928" s="6">
        <f t="shared" ref="S3928:S3991" si="345">L3928*M3928/1000*N3928/1000</f>
        <v>5.2439999999999995E-3</v>
      </c>
      <c r="T3928" t="str">
        <f t="shared" si="337"/>
        <v>Maximo Thermo Ayous S4S E4E Burn Blocked 1x4 Long</v>
      </c>
    </row>
    <row r="3929" spans="1:20" x14ac:dyDescent="0.25">
      <c r="A3929" t="s">
        <v>3158</v>
      </c>
      <c r="B3929" t="s">
        <v>3802</v>
      </c>
      <c r="C3929" t="s">
        <v>368</v>
      </c>
      <c r="D3929" t="s">
        <v>3129</v>
      </c>
      <c r="E3929" t="s">
        <v>4819</v>
      </c>
      <c r="F3929" t="s">
        <v>4818</v>
      </c>
      <c r="G3929" t="s">
        <v>3162</v>
      </c>
      <c r="H3929" t="s">
        <v>458</v>
      </c>
      <c r="I3929" t="s">
        <v>3937</v>
      </c>
      <c r="J3929" t="s">
        <v>698</v>
      </c>
      <c r="K3929">
        <v>11</v>
      </c>
      <c r="L3929" s="6">
        <v>3.3</v>
      </c>
      <c r="M3929" s="7">
        <v>19</v>
      </c>
      <c r="N3929" s="7">
        <v>92</v>
      </c>
      <c r="O3929" s="7">
        <f t="shared" si="342"/>
        <v>129.92125984251967</v>
      </c>
      <c r="P3929" s="7">
        <f t="shared" si="343"/>
        <v>0.74803149606299213</v>
      </c>
      <c r="Q3929" s="7">
        <f t="shared" si="343"/>
        <v>3.6220472440944884</v>
      </c>
      <c r="R3929" s="6">
        <f t="shared" si="344"/>
        <v>1876.9110000000001</v>
      </c>
      <c r="S3929" s="6">
        <f t="shared" si="345"/>
        <v>5.768399999999999E-3</v>
      </c>
      <c r="T3929" t="str">
        <f t="shared" si="337"/>
        <v>Maximo Thermo Ayous S4S E4E Burn Blocked 1x4 Long</v>
      </c>
    </row>
    <row r="3930" spans="1:20" x14ac:dyDescent="0.25">
      <c r="A3930" t="s">
        <v>3158</v>
      </c>
      <c r="B3930" t="s">
        <v>3802</v>
      </c>
      <c r="C3930" t="s">
        <v>368</v>
      </c>
      <c r="D3930" t="s">
        <v>3129</v>
      </c>
      <c r="E3930" t="s">
        <v>4820</v>
      </c>
      <c r="F3930" t="s">
        <v>4818</v>
      </c>
      <c r="G3930" t="s">
        <v>3162</v>
      </c>
      <c r="H3930" t="s">
        <v>458</v>
      </c>
      <c r="I3930" t="s">
        <v>3937</v>
      </c>
      <c r="J3930" t="s">
        <v>698</v>
      </c>
      <c r="K3930">
        <v>12</v>
      </c>
      <c r="L3930" s="6">
        <v>3.6</v>
      </c>
      <c r="M3930" s="7">
        <v>19</v>
      </c>
      <c r="N3930" s="7">
        <v>92</v>
      </c>
      <c r="O3930" s="7">
        <f t="shared" si="342"/>
        <v>141.73228346456693</v>
      </c>
      <c r="P3930" s="7">
        <f t="shared" si="343"/>
        <v>0.74803149606299213</v>
      </c>
      <c r="Q3930" s="7">
        <f t="shared" si="343"/>
        <v>3.6220472440944884</v>
      </c>
      <c r="R3930" s="6">
        <f t="shared" si="344"/>
        <v>1876.9110000000001</v>
      </c>
      <c r="S3930" s="6">
        <f t="shared" si="345"/>
        <v>6.2928000000000003E-3</v>
      </c>
      <c r="T3930" t="str">
        <f t="shared" si="337"/>
        <v>Maximo Thermo Ayous S4S E4E Burn Blocked 1x4 Long</v>
      </c>
    </row>
    <row r="3931" spans="1:20" x14ac:dyDescent="0.25">
      <c r="A3931" t="s">
        <v>3158</v>
      </c>
      <c r="B3931" t="s">
        <v>3802</v>
      </c>
      <c r="C3931" t="s">
        <v>368</v>
      </c>
      <c r="D3931" t="s">
        <v>3129</v>
      </c>
      <c r="E3931" t="s">
        <v>4821</v>
      </c>
      <c r="F3931" t="s">
        <v>4818</v>
      </c>
      <c r="G3931" t="s">
        <v>3162</v>
      </c>
      <c r="H3931" t="s">
        <v>458</v>
      </c>
      <c r="I3931" t="s">
        <v>3937</v>
      </c>
      <c r="J3931" t="s">
        <v>698</v>
      </c>
      <c r="K3931">
        <v>13</v>
      </c>
      <c r="L3931" s="6">
        <v>3.9</v>
      </c>
      <c r="M3931" s="7">
        <v>19</v>
      </c>
      <c r="N3931" s="7">
        <v>92</v>
      </c>
      <c r="O3931" s="7">
        <f t="shared" si="342"/>
        <v>153.54330708661416</v>
      </c>
      <c r="P3931" s="7">
        <f t="shared" si="343"/>
        <v>0.74803149606299213</v>
      </c>
      <c r="Q3931" s="7">
        <f t="shared" si="343"/>
        <v>3.6220472440944884</v>
      </c>
      <c r="R3931" s="6">
        <f t="shared" si="344"/>
        <v>1876.9110000000001</v>
      </c>
      <c r="S3931" s="6">
        <f t="shared" si="345"/>
        <v>6.8171999999999998E-3</v>
      </c>
      <c r="T3931" t="str">
        <f t="shared" si="337"/>
        <v>Maximo Thermo Ayous S4S E4E Burn Blocked 1x4 Long</v>
      </c>
    </row>
    <row r="3932" spans="1:20" x14ac:dyDescent="0.25">
      <c r="A3932" t="s">
        <v>3158</v>
      </c>
      <c r="B3932" t="s">
        <v>3802</v>
      </c>
      <c r="C3932" t="s">
        <v>368</v>
      </c>
      <c r="D3932" t="s">
        <v>3129</v>
      </c>
      <c r="E3932" t="s">
        <v>4822</v>
      </c>
      <c r="F3932" t="s">
        <v>4818</v>
      </c>
      <c r="G3932" t="s">
        <v>3162</v>
      </c>
      <c r="H3932" t="s">
        <v>458</v>
      </c>
      <c r="I3932" t="s">
        <v>3937</v>
      </c>
      <c r="J3932" t="s">
        <v>698</v>
      </c>
      <c r="K3932">
        <v>14</v>
      </c>
      <c r="L3932" s="6">
        <v>4.2</v>
      </c>
      <c r="M3932" s="7">
        <v>19</v>
      </c>
      <c r="N3932" s="7">
        <v>92</v>
      </c>
      <c r="O3932" s="7">
        <f t="shared" si="342"/>
        <v>165.35433070866142</v>
      </c>
      <c r="P3932" s="7">
        <f t="shared" si="343"/>
        <v>0.74803149606299213</v>
      </c>
      <c r="Q3932" s="7">
        <f t="shared" si="343"/>
        <v>3.6220472440944884</v>
      </c>
      <c r="R3932" s="6">
        <f t="shared" si="344"/>
        <v>1876.9110000000001</v>
      </c>
      <c r="S3932" s="6">
        <f t="shared" si="345"/>
        <v>7.3415999999999993E-3</v>
      </c>
      <c r="T3932" t="str">
        <f t="shared" si="337"/>
        <v>Maximo Thermo Ayous S4S E4E Burn Blocked 1x4 Long</v>
      </c>
    </row>
    <row r="3933" spans="1:20" x14ac:dyDescent="0.25">
      <c r="A3933" t="s">
        <v>3158</v>
      </c>
      <c r="B3933" t="s">
        <v>3802</v>
      </c>
      <c r="C3933" t="s">
        <v>368</v>
      </c>
      <c r="D3933" t="s">
        <v>3129</v>
      </c>
      <c r="E3933" t="s">
        <v>4823</v>
      </c>
      <c r="F3933" t="s">
        <v>4818</v>
      </c>
      <c r="G3933" t="s">
        <v>3162</v>
      </c>
      <c r="H3933" t="s">
        <v>458</v>
      </c>
      <c r="I3933" t="s">
        <v>3937</v>
      </c>
      <c r="J3933" t="s">
        <v>698</v>
      </c>
      <c r="K3933">
        <v>15</v>
      </c>
      <c r="L3933" s="6">
        <v>4.5</v>
      </c>
      <c r="M3933" s="7">
        <v>19</v>
      </c>
      <c r="N3933" s="7">
        <v>92</v>
      </c>
      <c r="O3933" s="7">
        <f t="shared" si="342"/>
        <v>177.16535433070868</v>
      </c>
      <c r="P3933" s="7">
        <f t="shared" si="343"/>
        <v>0.74803149606299213</v>
      </c>
      <c r="Q3933" s="7">
        <f t="shared" si="343"/>
        <v>3.6220472440944884</v>
      </c>
      <c r="R3933" s="6">
        <f t="shared" si="344"/>
        <v>1876.9110000000001</v>
      </c>
      <c r="S3933" s="6">
        <f t="shared" si="345"/>
        <v>7.8659999999999997E-3</v>
      </c>
      <c r="T3933" t="str">
        <f t="shared" si="337"/>
        <v>Maximo Thermo Ayous S4S E4E Burn Blocked 1x4 Long</v>
      </c>
    </row>
    <row r="3934" spans="1:20" x14ac:dyDescent="0.25">
      <c r="A3934" t="s">
        <v>3158</v>
      </c>
      <c r="B3934" t="s">
        <v>3802</v>
      </c>
      <c r="C3934" t="s">
        <v>368</v>
      </c>
      <c r="D3934" t="s">
        <v>3129</v>
      </c>
      <c r="E3934" t="s">
        <v>4824</v>
      </c>
      <c r="F3934" t="s">
        <v>4818</v>
      </c>
      <c r="G3934" t="s">
        <v>3162</v>
      </c>
      <c r="H3934" t="s">
        <v>458</v>
      </c>
      <c r="I3934" t="s">
        <v>3937</v>
      </c>
      <c r="J3934" t="s">
        <v>698</v>
      </c>
      <c r="K3934">
        <v>16</v>
      </c>
      <c r="L3934" s="6">
        <v>4.8</v>
      </c>
      <c r="M3934" s="7">
        <v>19</v>
      </c>
      <c r="N3934" s="7">
        <v>92</v>
      </c>
      <c r="O3934" s="7">
        <f t="shared" si="342"/>
        <v>188.97637795275591</v>
      </c>
      <c r="P3934" s="7">
        <f t="shared" si="343"/>
        <v>0.74803149606299213</v>
      </c>
      <c r="Q3934" s="7">
        <f t="shared" si="343"/>
        <v>3.6220472440944884</v>
      </c>
      <c r="R3934" s="6">
        <f t="shared" si="344"/>
        <v>1876.9110000000001</v>
      </c>
      <c r="S3934" s="6">
        <f t="shared" si="345"/>
        <v>8.3903999999999992E-3</v>
      </c>
      <c r="T3934" t="str">
        <f t="shared" si="337"/>
        <v>Maximo Thermo Ayous S4S E4E Burn Blocked 1x4 Long</v>
      </c>
    </row>
    <row r="3935" spans="1:20" x14ac:dyDescent="0.25">
      <c r="A3935" t="s">
        <v>3158</v>
      </c>
      <c r="B3935" t="s">
        <v>3802</v>
      </c>
      <c r="C3935" t="s">
        <v>368</v>
      </c>
      <c r="D3935" t="s">
        <v>3129</v>
      </c>
      <c r="E3935" t="s">
        <v>4825</v>
      </c>
      <c r="F3935" t="s">
        <v>4818</v>
      </c>
      <c r="G3935" t="s">
        <v>3162</v>
      </c>
      <c r="H3935" t="s">
        <v>458</v>
      </c>
      <c r="I3935" t="s">
        <v>3937</v>
      </c>
      <c r="J3935" t="s">
        <v>698</v>
      </c>
      <c r="K3935">
        <v>17</v>
      </c>
      <c r="L3935" s="6">
        <v>5.0999999999999996</v>
      </c>
      <c r="M3935" s="7">
        <v>19</v>
      </c>
      <c r="N3935" s="7">
        <v>92</v>
      </c>
      <c r="O3935" s="7">
        <f t="shared" si="342"/>
        <v>200.78740157480314</v>
      </c>
      <c r="P3935" s="7">
        <f t="shared" si="343"/>
        <v>0.74803149606299213</v>
      </c>
      <c r="Q3935" s="7">
        <f t="shared" si="343"/>
        <v>3.6220472440944884</v>
      </c>
      <c r="R3935" s="6">
        <f t="shared" si="344"/>
        <v>1876.9110000000001</v>
      </c>
      <c r="S3935" s="6">
        <f t="shared" si="345"/>
        <v>8.9147999999999988E-3</v>
      </c>
      <c r="T3935" t="str">
        <f t="shared" si="337"/>
        <v>Maximo Thermo Ayous S4S E4E Burn Blocked 1x4 Long</v>
      </c>
    </row>
    <row r="3936" spans="1:20" x14ac:dyDescent="0.25">
      <c r="A3936" t="s">
        <v>3158</v>
      </c>
      <c r="B3936" t="s">
        <v>3802</v>
      </c>
      <c r="C3936" t="s">
        <v>368</v>
      </c>
      <c r="D3936" t="s">
        <v>3129</v>
      </c>
      <c r="E3936" t="s">
        <v>4826</v>
      </c>
      <c r="F3936" t="s">
        <v>4818</v>
      </c>
      <c r="G3936" t="s">
        <v>3162</v>
      </c>
      <c r="H3936" t="s">
        <v>458</v>
      </c>
      <c r="I3936" t="s">
        <v>3937</v>
      </c>
      <c r="J3936" t="s">
        <v>698</v>
      </c>
      <c r="K3936">
        <v>18</v>
      </c>
      <c r="L3936" s="6">
        <v>5.4</v>
      </c>
      <c r="M3936" s="7">
        <v>19</v>
      </c>
      <c r="N3936" s="7">
        <v>92</v>
      </c>
      <c r="O3936" s="7">
        <f t="shared" si="342"/>
        <v>212.59842519685043</v>
      </c>
      <c r="P3936" s="7">
        <f t="shared" si="343"/>
        <v>0.74803149606299213</v>
      </c>
      <c r="Q3936" s="7">
        <f t="shared" si="343"/>
        <v>3.6220472440944884</v>
      </c>
      <c r="R3936" s="6">
        <f t="shared" si="344"/>
        <v>1876.9110000000001</v>
      </c>
      <c r="S3936" s="6">
        <f t="shared" si="345"/>
        <v>9.4392000000000018E-3</v>
      </c>
      <c r="T3936" t="str">
        <f t="shared" si="337"/>
        <v>Maximo Thermo Ayous S4S E4E Burn Blocked 1x4 Long</v>
      </c>
    </row>
    <row r="3937" spans="1:20" x14ac:dyDescent="0.25">
      <c r="A3937" t="s">
        <v>3158</v>
      </c>
      <c r="B3937" t="s">
        <v>3802</v>
      </c>
      <c r="C3937" t="s">
        <v>609</v>
      </c>
      <c r="D3937" t="s">
        <v>3129</v>
      </c>
      <c r="E3937" t="s">
        <v>4827</v>
      </c>
      <c r="F3937" t="s">
        <v>4818</v>
      </c>
      <c r="G3937" t="s">
        <v>3162</v>
      </c>
      <c r="H3937" t="s">
        <v>458</v>
      </c>
      <c r="I3937" t="s">
        <v>3937</v>
      </c>
      <c r="J3937" t="s">
        <v>698</v>
      </c>
      <c r="K3937">
        <v>4</v>
      </c>
      <c r="L3937" s="6">
        <v>1.2</v>
      </c>
      <c r="M3937" s="7">
        <v>19</v>
      </c>
      <c r="N3937" s="7">
        <v>92</v>
      </c>
      <c r="O3937" s="7">
        <f t="shared" si="342"/>
        <v>47.244094488188978</v>
      </c>
      <c r="P3937" s="7">
        <f t="shared" si="343"/>
        <v>0.74803149606299213</v>
      </c>
      <c r="Q3937" s="7">
        <f t="shared" si="343"/>
        <v>3.6220472440944884</v>
      </c>
      <c r="R3937" s="6">
        <f t="shared" si="344"/>
        <v>1876.9110000000001</v>
      </c>
      <c r="S3937" s="6">
        <f t="shared" si="345"/>
        <v>2.0975999999999998E-3</v>
      </c>
      <c r="T3937" t="str">
        <f t="shared" si="337"/>
        <v>Maximo Thermo Ayous S4S E4E Burn Blocked 1x4 Short</v>
      </c>
    </row>
    <row r="3938" spans="1:20" x14ac:dyDescent="0.25">
      <c r="A3938" t="s">
        <v>3158</v>
      </c>
      <c r="B3938" t="s">
        <v>3802</v>
      </c>
      <c r="C3938" t="s">
        <v>609</v>
      </c>
      <c r="D3938" t="s">
        <v>3129</v>
      </c>
      <c r="E3938" t="s">
        <v>4828</v>
      </c>
      <c r="F3938" t="s">
        <v>4818</v>
      </c>
      <c r="G3938" t="s">
        <v>3162</v>
      </c>
      <c r="H3938" t="s">
        <v>458</v>
      </c>
      <c r="I3938" t="s">
        <v>3937</v>
      </c>
      <c r="J3938" t="s">
        <v>698</v>
      </c>
      <c r="K3938">
        <v>5</v>
      </c>
      <c r="L3938" s="6">
        <v>1.5</v>
      </c>
      <c r="M3938" s="7">
        <v>19</v>
      </c>
      <c r="N3938" s="7">
        <v>92</v>
      </c>
      <c r="O3938" s="7">
        <f t="shared" si="342"/>
        <v>59.055118110236222</v>
      </c>
      <c r="P3938" s="7">
        <f t="shared" si="343"/>
        <v>0.74803149606299213</v>
      </c>
      <c r="Q3938" s="7">
        <f t="shared" si="343"/>
        <v>3.6220472440944884</v>
      </c>
      <c r="R3938" s="6">
        <f t="shared" si="344"/>
        <v>1876.9110000000001</v>
      </c>
      <c r="S3938" s="6">
        <f t="shared" si="345"/>
        <v>2.6219999999999998E-3</v>
      </c>
      <c r="T3938" t="str">
        <f t="shared" si="337"/>
        <v>Maximo Thermo Ayous S4S E4E Burn Blocked 1x4 Short</v>
      </c>
    </row>
    <row r="3939" spans="1:20" x14ac:dyDescent="0.25">
      <c r="A3939" t="s">
        <v>3158</v>
      </c>
      <c r="B3939" t="s">
        <v>3802</v>
      </c>
      <c r="C3939" t="s">
        <v>609</v>
      </c>
      <c r="D3939" t="s">
        <v>3129</v>
      </c>
      <c r="E3939" t="s">
        <v>4829</v>
      </c>
      <c r="F3939" t="s">
        <v>4818</v>
      </c>
      <c r="G3939" t="s">
        <v>3162</v>
      </c>
      <c r="H3939" t="s">
        <v>458</v>
      </c>
      <c r="I3939" t="s">
        <v>3937</v>
      </c>
      <c r="J3939" t="s">
        <v>698</v>
      </c>
      <c r="K3939">
        <v>6</v>
      </c>
      <c r="L3939" s="6">
        <v>1.8</v>
      </c>
      <c r="M3939" s="7">
        <v>19</v>
      </c>
      <c r="N3939" s="7">
        <v>92</v>
      </c>
      <c r="O3939" s="7">
        <f t="shared" si="342"/>
        <v>70.866141732283467</v>
      </c>
      <c r="P3939" s="7">
        <f t="shared" si="343"/>
        <v>0.74803149606299213</v>
      </c>
      <c r="Q3939" s="7">
        <f t="shared" si="343"/>
        <v>3.6220472440944884</v>
      </c>
      <c r="R3939" s="6">
        <f t="shared" si="344"/>
        <v>1876.9110000000001</v>
      </c>
      <c r="S3939" s="6">
        <f t="shared" si="345"/>
        <v>3.1464000000000002E-3</v>
      </c>
      <c r="T3939" t="str">
        <f t="shared" si="337"/>
        <v>Maximo Thermo Ayous S4S E4E Burn Blocked 1x4 Short</v>
      </c>
    </row>
    <row r="3940" spans="1:20" x14ac:dyDescent="0.25">
      <c r="A3940" t="s">
        <v>3158</v>
      </c>
      <c r="B3940" t="s">
        <v>3802</v>
      </c>
      <c r="C3940" t="s">
        <v>609</v>
      </c>
      <c r="D3940" t="s">
        <v>3129</v>
      </c>
      <c r="E3940" t="s">
        <v>4830</v>
      </c>
      <c r="F3940" t="s">
        <v>4818</v>
      </c>
      <c r="G3940" t="s">
        <v>3162</v>
      </c>
      <c r="H3940" t="s">
        <v>458</v>
      </c>
      <c r="I3940" t="s">
        <v>3937</v>
      </c>
      <c r="J3940" t="s">
        <v>698</v>
      </c>
      <c r="K3940">
        <v>7</v>
      </c>
      <c r="L3940" s="6">
        <v>2.1</v>
      </c>
      <c r="M3940" s="7">
        <v>19</v>
      </c>
      <c r="N3940" s="7">
        <v>92</v>
      </c>
      <c r="O3940" s="7">
        <f t="shared" si="342"/>
        <v>82.677165354330711</v>
      </c>
      <c r="P3940" s="7">
        <f t="shared" si="343"/>
        <v>0.74803149606299213</v>
      </c>
      <c r="Q3940" s="7">
        <f t="shared" si="343"/>
        <v>3.6220472440944884</v>
      </c>
      <c r="R3940" s="6">
        <f t="shared" si="344"/>
        <v>1876.9110000000001</v>
      </c>
      <c r="S3940" s="6">
        <f t="shared" si="345"/>
        <v>3.6707999999999997E-3</v>
      </c>
      <c r="T3940" t="str">
        <f t="shared" si="337"/>
        <v>Maximo Thermo Ayous S4S E4E Burn Blocked 1x4 Short</v>
      </c>
    </row>
    <row r="3941" spans="1:20" x14ac:dyDescent="0.25">
      <c r="A3941" t="s">
        <v>3158</v>
      </c>
      <c r="B3941" t="s">
        <v>3802</v>
      </c>
      <c r="C3941" t="s">
        <v>368</v>
      </c>
      <c r="D3941" t="s">
        <v>3129</v>
      </c>
      <c r="E3941" t="s">
        <v>4831</v>
      </c>
      <c r="F3941" t="s">
        <v>4818</v>
      </c>
      <c r="G3941" t="s">
        <v>3162</v>
      </c>
      <c r="H3941" t="s">
        <v>458</v>
      </c>
      <c r="I3941" t="s">
        <v>3937</v>
      </c>
      <c r="J3941" t="s">
        <v>698</v>
      </c>
      <c r="K3941">
        <v>8</v>
      </c>
      <c r="L3941" s="6">
        <v>2.4</v>
      </c>
      <c r="M3941" s="7">
        <v>19</v>
      </c>
      <c r="N3941" s="7">
        <v>92</v>
      </c>
      <c r="O3941" s="7">
        <f t="shared" si="342"/>
        <v>94.488188976377955</v>
      </c>
      <c r="P3941" s="7">
        <f t="shared" si="343"/>
        <v>0.74803149606299213</v>
      </c>
      <c r="Q3941" s="7">
        <f t="shared" si="343"/>
        <v>3.6220472440944884</v>
      </c>
      <c r="R3941" s="6">
        <f t="shared" si="344"/>
        <v>1876.9110000000001</v>
      </c>
      <c r="S3941" s="6">
        <f t="shared" si="345"/>
        <v>4.1951999999999996E-3</v>
      </c>
      <c r="T3941" t="str">
        <f t="shared" si="337"/>
        <v>Maximo Thermo Ayous S4S E4E Burn Blocked 1x4 Long</v>
      </c>
    </row>
    <row r="3942" spans="1:20" x14ac:dyDescent="0.25">
      <c r="A3942" t="s">
        <v>3158</v>
      </c>
      <c r="B3942" t="s">
        <v>3802</v>
      </c>
      <c r="C3942" t="s">
        <v>368</v>
      </c>
      <c r="D3942" t="s">
        <v>3129</v>
      </c>
      <c r="E3942" t="s">
        <v>4832</v>
      </c>
      <c r="F3942" t="s">
        <v>4818</v>
      </c>
      <c r="G3942" t="s">
        <v>3162</v>
      </c>
      <c r="H3942" t="s">
        <v>458</v>
      </c>
      <c r="I3942" t="s">
        <v>3937</v>
      </c>
      <c r="J3942" t="s">
        <v>698</v>
      </c>
      <c r="K3942">
        <v>9</v>
      </c>
      <c r="L3942" s="6">
        <v>2.7</v>
      </c>
      <c r="M3942" s="7">
        <v>19</v>
      </c>
      <c r="N3942" s="7">
        <v>92</v>
      </c>
      <c r="O3942" s="7">
        <f t="shared" si="342"/>
        <v>106.29921259842521</v>
      </c>
      <c r="P3942" s="7">
        <f t="shared" si="343"/>
        <v>0.74803149606299213</v>
      </c>
      <c r="Q3942" s="7">
        <f t="shared" si="343"/>
        <v>3.6220472440944884</v>
      </c>
      <c r="R3942" s="6">
        <f t="shared" si="344"/>
        <v>1876.9110000000001</v>
      </c>
      <c r="S3942" s="6">
        <f t="shared" si="345"/>
        <v>4.7196000000000009E-3</v>
      </c>
      <c r="T3942" t="str">
        <f t="shared" si="337"/>
        <v>Maximo Thermo Ayous S4S E4E Burn Blocked 1x4 Long</v>
      </c>
    </row>
    <row r="3943" spans="1:20" x14ac:dyDescent="0.25">
      <c r="A3943" t="s">
        <v>3158</v>
      </c>
      <c r="B3943" t="s">
        <v>3165</v>
      </c>
      <c r="C3943" t="s">
        <v>368</v>
      </c>
      <c r="D3943" t="s">
        <v>3129</v>
      </c>
      <c r="E3943" t="s">
        <v>4833</v>
      </c>
      <c r="F3943" t="s">
        <v>4834</v>
      </c>
      <c r="G3943" t="s">
        <v>3162</v>
      </c>
      <c r="H3943" t="s">
        <v>458</v>
      </c>
      <c r="I3943" t="s">
        <v>3937</v>
      </c>
      <c r="J3943" t="s">
        <v>429</v>
      </c>
      <c r="K3943">
        <v>10</v>
      </c>
      <c r="L3943" s="6">
        <v>3</v>
      </c>
      <c r="M3943" s="7">
        <v>19</v>
      </c>
      <c r="N3943" s="7">
        <v>140</v>
      </c>
      <c r="O3943" s="7">
        <f t="shared" si="342"/>
        <v>118.11023622047244</v>
      </c>
      <c r="P3943" s="7">
        <f t="shared" si="343"/>
        <v>0.74803149606299213</v>
      </c>
      <c r="Q3943" s="7">
        <f t="shared" si="343"/>
        <v>5.5118110236220472</v>
      </c>
      <c r="R3943" s="6">
        <f t="shared" si="344"/>
        <v>1233.3979999999999</v>
      </c>
      <c r="S3943" s="6">
        <f t="shared" si="345"/>
        <v>7.980000000000001E-3</v>
      </c>
      <c r="T3943" t="str">
        <f t="shared" si="337"/>
        <v>Maximo Thermo Ayous S4S E4E Burn Blocked 1x6 Long</v>
      </c>
    </row>
    <row r="3944" spans="1:20" x14ac:dyDescent="0.25">
      <c r="A3944" t="s">
        <v>3158</v>
      </c>
      <c r="B3944" t="s">
        <v>3165</v>
      </c>
      <c r="C3944" t="s">
        <v>368</v>
      </c>
      <c r="D3944" t="s">
        <v>3129</v>
      </c>
      <c r="E3944" t="s">
        <v>4835</v>
      </c>
      <c r="F3944" t="s">
        <v>4834</v>
      </c>
      <c r="G3944" t="s">
        <v>3162</v>
      </c>
      <c r="H3944" t="s">
        <v>458</v>
      </c>
      <c r="I3944" t="s">
        <v>3937</v>
      </c>
      <c r="J3944" t="s">
        <v>429</v>
      </c>
      <c r="K3944">
        <v>11</v>
      </c>
      <c r="L3944" s="6">
        <v>3.3</v>
      </c>
      <c r="M3944" s="7">
        <v>19</v>
      </c>
      <c r="N3944" s="7">
        <v>140</v>
      </c>
      <c r="O3944" s="7">
        <f t="shared" si="342"/>
        <v>129.92125984251967</v>
      </c>
      <c r="P3944" s="7">
        <f t="shared" ref="P3944:Q3959" si="346">M3944/25.4</f>
        <v>0.74803149606299213</v>
      </c>
      <c r="Q3944" s="7">
        <f t="shared" si="346"/>
        <v>5.5118110236220472</v>
      </c>
      <c r="R3944" s="6">
        <f t="shared" si="344"/>
        <v>1233.3979999999999</v>
      </c>
      <c r="S3944" s="6">
        <f t="shared" si="345"/>
        <v>8.7779999999999993E-3</v>
      </c>
      <c r="T3944" t="str">
        <f t="shared" si="337"/>
        <v>Maximo Thermo Ayous S4S E4E Burn Blocked 1x6 Long</v>
      </c>
    </row>
    <row r="3945" spans="1:20" x14ac:dyDescent="0.25">
      <c r="A3945" t="s">
        <v>3158</v>
      </c>
      <c r="B3945" t="s">
        <v>3165</v>
      </c>
      <c r="C3945" t="s">
        <v>368</v>
      </c>
      <c r="D3945" t="s">
        <v>3129</v>
      </c>
      <c r="E3945" t="s">
        <v>4836</v>
      </c>
      <c r="F3945" t="s">
        <v>4834</v>
      </c>
      <c r="G3945" t="s">
        <v>3162</v>
      </c>
      <c r="H3945" t="s">
        <v>458</v>
      </c>
      <c r="I3945" t="s">
        <v>3937</v>
      </c>
      <c r="J3945" t="s">
        <v>429</v>
      </c>
      <c r="K3945">
        <v>12</v>
      </c>
      <c r="L3945" s="6">
        <v>3.6</v>
      </c>
      <c r="M3945" s="7">
        <v>19</v>
      </c>
      <c r="N3945" s="7">
        <v>140</v>
      </c>
      <c r="O3945" s="7">
        <f t="shared" si="342"/>
        <v>141.73228346456693</v>
      </c>
      <c r="P3945" s="7">
        <f t="shared" si="346"/>
        <v>0.74803149606299213</v>
      </c>
      <c r="Q3945" s="7">
        <f t="shared" si="346"/>
        <v>5.5118110236220472</v>
      </c>
      <c r="R3945" s="6">
        <f t="shared" si="344"/>
        <v>1233.3979999999999</v>
      </c>
      <c r="S3945" s="6">
        <f t="shared" si="345"/>
        <v>9.5760000000000012E-3</v>
      </c>
      <c r="T3945" t="str">
        <f t="shared" si="337"/>
        <v>Maximo Thermo Ayous S4S E4E Burn Blocked 1x6 Long</v>
      </c>
    </row>
    <row r="3946" spans="1:20" x14ac:dyDescent="0.25">
      <c r="A3946" t="s">
        <v>3158</v>
      </c>
      <c r="B3946" t="s">
        <v>3165</v>
      </c>
      <c r="C3946" t="s">
        <v>368</v>
      </c>
      <c r="D3946" t="s">
        <v>3129</v>
      </c>
      <c r="E3946" t="s">
        <v>4837</v>
      </c>
      <c r="F3946" t="s">
        <v>4834</v>
      </c>
      <c r="G3946" t="s">
        <v>3162</v>
      </c>
      <c r="H3946" t="s">
        <v>458</v>
      </c>
      <c r="I3946" t="s">
        <v>3937</v>
      </c>
      <c r="J3946" t="s">
        <v>429</v>
      </c>
      <c r="K3946">
        <v>13</v>
      </c>
      <c r="L3946" s="6">
        <v>3.9</v>
      </c>
      <c r="M3946" s="7">
        <v>19</v>
      </c>
      <c r="N3946" s="7">
        <v>140</v>
      </c>
      <c r="O3946" s="7">
        <f t="shared" si="342"/>
        <v>153.54330708661416</v>
      </c>
      <c r="P3946" s="7">
        <f t="shared" si="346"/>
        <v>0.74803149606299213</v>
      </c>
      <c r="Q3946" s="7">
        <f t="shared" si="346"/>
        <v>5.5118110236220472</v>
      </c>
      <c r="R3946" s="6">
        <f t="shared" si="344"/>
        <v>1233.3979999999999</v>
      </c>
      <c r="S3946" s="6">
        <f t="shared" si="345"/>
        <v>1.0374000000000001E-2</v>
      </c>
      <c r="T3946" t="str">
        <f t="shared" si="337"/>
        <v>Maximo Thermo Ayous S4S E4E Burn Blocked 1x6 Long</v>
      </c>
    </row>
    <row r="3947" spans="1:20" x14ac:dyDescent="0.25">
      <c r="A3947" t="s">
        <v>3158</v>
      </c>
      <c r="B3947" t="s">
        <v>3165</v>
      </c>
      <c r="C3947" t="s">
        <v>368</v>
      </c>
      <c r="D3947" t="s">
        <v>3129</v>
      </c>
      <c r="E3947" t="s">
        <v>4838</v>
      </c>
      <c r="F3947" t="s">
        <v>4834</v>
      </c>
      <c r="G3947" t="s">
        <v>3162</v>
      </c>
      <c r="H3947" t="s">
        <v>458</v>
      </c>
      <c r="I3947" t="s">
        <v>3937</v>
      </c>
      <c r="J3947" t="s">
        <v>429</v>
      </c>
      <c r="K3947">
        <v>14</v>
      </c>
      <c r="L3947" s="6">
        <v>4.2</v>
      </c>
      <c r="M3947" s="7">
        <v>19</v>
      </c>
      <c r="N3947" s="7">
        <v>140</v>
      </c>
      <c r="O3947" s="7">
        <f t="shared" si="342"/>
        <v>165.35433070866142</v>
      </c>
      <c r="P3947" s="7">
        <f t="shared" si="346"/>
        <v>0.74803149606299213</v>
      </c>
      <c r="Q3947" s="7">
        <f t="shared" si="346"/>
        <v>5.5118110236220472</v>
      </c>
      <c r="R3947" s="6">
        <f t="shared" si="344"/>
        <v>1233.3979999999999</v>
      </c>
      <c r="S3947" s="6">
        <f t="shared" si="345"/>
        <v>1.1172E-2</v>
      </c>
      <c r="T3947" t="str">
        <f t="shared" si="337"/>
        <v>Maximo Thermo Ayous S4S E4E Burn Blocked 1x6 Long</v>
      </c>
    </row>
    <row r="3948" spans="1:20" x14ac:dyDescent="0.25">
      <c r="A3948" t="s">
        <v>3158</v>
      </c>
      <c r="B3948" t="s">
        <v>3165</v>
      </c>
      <c r="C3948" t="s">
        <v>368</v>
      </c>
      <c r="D3948" t="s">
        <v>3129</v>
      </c>
      <c r="E3948" t="s">
        <v>4839</v>
      </c>
      <c r="F3948" t="s">
        <v>4834</v>
      </c>
      <c r="G3948" t="s">
        <v>3162</v>
      </c>
      <c r="H3948" t="s">
        <v>458</v>
      </c>
      <c r="I3948" t="s">
        <v>3937</v>
      </c>
      <c r="J3948" t="s">
        <v>429</v>
      </c>
      <c r="K3948">
        <v>15</v>
      </c>
      <c r="L3948" s="6">
        <v>4.5</v>
      </c>
      <c r="M3948" s="7">
        <v>19</v>
      </c>
      <c r="N3948" s="7">
        <v>140</v>
      </c>
      <c r="O3948" s="7">
        <f t="shared" si="342"/>
        <v>177.16535433070868</v>
      </c>
      <c r="P3948" s="7">
        <f t="shared" si="346"/>
        <v>0.74803149606299213</v>
      </c>
      <c r="Q3948" s="7">
        <f t="shared" si="346"/>
        <v>5.5118110236220472</v>
      </c>
      <c r="R3948" s="6">
        <f t="shared" si="344"/>
        <v>1233.3979999999999</v>
      </c>
      <c r="S3948" s="6">
        <f t="shared" si="345"/>
        <v>1.1970000000000001E-2</v>
      </c>
      <c r="T3948" t="str">
        <f t="shared" si="337"/>
        <v>Maximo Thermo Ayous S4S E4E Burn Blocked 1x6 Long</v>
      </c>
    </row>
    <row r="3949" spans="1:20" x14ac:dyDescent="0.25">
      <c r="A3949" t="s">
        <v>3158</v>
      </c>
      <c r="B3949" t="s">
        <v>3165</v>
      </c>
      <c r="C3949" t="s">
        <v>368</v>
      </c>
      <c r="D3949" t="s">
        <v>3129</v>
      </c>
      <c r="E3949" t="s">
        <v>4840</v>
      </c>
      <c r="F3949" t="s">
        <v>4834</v>
      </c>
      <c r="G3949" t="s">
        <v>3162</v>
      </c>
      <c r="H3949" t="s">
        <v>458</v>
      </c>
      <c r="I3949" t="s">
        <v>3937</v>
      </c>
      <c r="J3949" t="s">
        <v>429</v>
      </c>
      <c r="K3949">
        <v>16</v>
      </c>
      <c r="L3949" s="6">
        <v>4.8</v>
      </c>
      <c r="M3949" s="7">
        <v>19</v>
      </c>
      <c r="N3949" s="7">
        <v>140</v>
      </c>
      <c r="O3949" s="7">
        <f t="shared" si="342"/>
        <v>188.97637795275591</v>
      </c>
      <c r="P3949" s="7">
        <f t="shared" si="346"/>
        <v>0.74803149606299213</v>
      </c>
      <c r="Q3949" s="7">
        <f t="shared" si="346"/>
        <v>5.5118110236220472</v>
      </c>
      <c r="R3949" s="6">
        <f t="shared" si="344"/>
        <v>1233.3979999999999</v>
      </c>
      <c r="S3949" s="6">
        <f t="shared" si="345"/>
        <v>1.2768E-2</v>
      </c>
      <c r="T3949" t="str">
        <f t="shared" si="337"/>
        <v>Maximo Thermo Ayous S4S E4E Burn Blocked 1x6 Long</v>
      </c>
    </row>
    <row r="3950" spans="1:20" x14ac:dyDescent="0.25">
      <c r="A3950" t="s">
        <v>3158</v>
      </c>
      <c r="B3950" t="s">
        <v>3165</v>
      </c>
      <c r="C3950" t="s">
        <v>368</v>
      </c>
      <c r="D3950" t="s">
        <v>3129</v>
      </c>
      <c r="E3950" t="s">
        <v>4841</v>
      </c>
      <c r="F3950" t="s">
        <v>4834</v>
      </c>
      <c r="G3950" t="s">
        <v>3162</v>
      </c>
      <c r="H3950" t="s">
        <v>458</v>
      </c>
      <c r="I3950" t="s">
        <v>3937</v>
      </c>
      <c r="J3950" t="s">
        <v>429</v>
      </c>
      <c r="K3950">
        <v>17</v>
      </c>
      <c r="L3950" s="6">
        <v>5.0999999999999996</v>
      </c>
      <c r="M3950" s="7">
        <v>19</v>
      </c>
      <c r="N3950" s="7">
        <v>140</v>
      </c>
      <c r="O3950" s="7">
        <f t="shared" si="342"/>
        <v>200.78740157480314</v>
      </c>
      <c r="P3950" s="7">
        <f t="shared" si="346"/>
        <v>0.74803149606299213</v>
      </c>
      <c r="Q3950" s="7">
        <f t="shared" si="346"/>
        <v>5.5118110236220472</v>
      </c>
      <c r="R3950" s="6">
        <f t="shared" si="344"/>
        <v>1233.3979999999999</v>
      </c>
      <c r="S3950" s="6">
        <f t="shared" si="345"/>
        <v>1.3565999999999998E-2</v>
      </c>
      <c r="T3950" t="str">
        <f t="shared" si="337"/>
        <v>Maximo Thermo Ayous S4S E4E Burn Blocked 1x6 Long</v>
      </c>
    </row>
    <row r="3951" spans="1:20" x14ac:dyDescent="0.25">
      <c r="A3951" t="s">
        <v>3158</v>
      </c>
      <c r="B3951" t="s">
        <v>3165</v>
      </c>
      <c r="C3951" t="s">
        <v>368</v>
      </c>
      <c r="D3951" t="s">
        <v>3129</v>
      </c>
      <c r="E3951" t="s">
        <v>4842</v>
      </c>
      <c r="F3951" t="s">
        <v>4834</v>
      </c>
      <c r="G3951" t="s">
        <v>3162</v>
      </c>
      <c r="H3951" t="s">
        <v>458</v>
      </c>
      <c r="I3951" t="s">
        <v>3937</v>
      </c>
      <c r="J3951" t="s">
        <v>429</v>
      </c>
      <c r="K3951">
        <v>18</v>
      </c>
      <c r="L3951" s="6">
        <v>5.4</v>
      </c>
      <c r="M3951" s="7">
        <v>19</v>
      </c>
      <c r="N3951" s="7">
        <v>140</v>
      </c>
      <c r="O3951" s="7">
        <f t="shared" si="342"/>
        <v>212.59842519685043</v>
      </c>
      <c r="P3951" s="7">
        <f t="shared" si="346"/>
        <v>0.74803149606299213</v>
      </c>
      <c r="Q3951" s="7">
        <f t="shared" si="346"/>
        <v>5.5118110236220472</v>
      </c>
      <c r="R3951" s="6">
        <f t="shared" si="344"/>
        <v>1233.3979999999999</v>
      </c>
      <c r="S3951" s="6">
        <f t="shared" si="345"/>
        <v>1.4364E-2</v>
      </c>
      <c r="T3951" t="str">
        <f t="shared" si="337"/>
        <v>Maximo Thermo Ayous S4S E4E Burn Blocked 1x6 Long</v>
      </c>
    </row>
    <row r="3952" spans="1:20" x14ac:dyDescent="0.25">
      <c r="A3952" t="s">
        <v>3158</v>
      </c>
      <c r="B3952" t="s">
        <v>3165</v>
      </c>
      <c r="C3952" t="s">
        <v>609</v>
      </c>
      <c r="D3952" t="s">
        <v>3129</v>
      </c>
      <c r="E3952" t="s">
        <v>4843</v>
      </c>
      <c r="F3952" t="s">
        <v>4834</v>
      </c>
      <c r="G3952" t="s">
        <v>3162</v>
      </c>
      <c r="H3952" t="s">
        <v>458</v>
      </c>
      <c r="I3952" t="s">
        <v>3937</v>
      </c>
      <c r="J3952" t="s">
        <v>429</v>
      </c>
      <c r="K3952">
        <v>4</v>
      </c>
      <c r="L3952" s="6">
        <v>1.2</v>
      </c>
      <c r="M3952" s="7">
        <v>19</v>
      </c>
      <c r="N3952" s="7">
        <v>140</v>
      </c>
      <c r="O3952" s="7">
        <f t="shared" si="342"/>
        <v>47.244094488188978</v>
      </c>
      <c r="P3952" s="7">
        <f t="shared" si="346"/>
        <v>0.74803149606299213</v>
      </c>
      <c r="Q3952" s="7">
        <f t="shared" si="346"/>
        <v>5.5118110236220472</v>
      </c>
      <c r="R3952" s="6">
        <f t="shared" si="344"/>
        <v>1233.3979999999999</v>
      </c>
      <c r="S3952" s="6">
        <f t="shared" si="345"/>
        <v>3.192E-3</v>
      </c>
      <c r="T3952" t="str">
        <f t="shared" si="337"/>
        <v>Maximo Thermo Ayous S4S E4E Burn Blocked 1x6 Short</v>
      </c>
    </row>
    <row r="3953" spans="1:20" x14ac:dyDescent="0.25">
      <c r="A3953" t="s">
        <v>3158</v>
      </c>
      <c r="B3953" t="s">
        <v>3165</v>
      </c>
      <c r="C3953" t="s">
        <v>609</v>
      </c>
      <c r="D3953" t="s">
        <v>3129</v>
      </c>
      <c r="E3953" t="s">
        <v>4844</v>
      </c>
      <c r="F3953" t="s">
        <v>4834</v>
      </c>
      <c r="G3953" t="s">
        <v>3162</v>
      </c>
      <c r="H3953" t="s">
        <v>458</v>
      </c>
      <c r="I3953" t="s">
        <v>3937</v>
      </c>
      <c r="J3953" t="s">
        <v>429</v>
      </c>
      <c r="K3953">
        <v>5</v>
      </c>
      <c r="L3953" s="6">
        <v>1.5</v>
      </c>
      <c r="M3953" s="7">
        <v>19</v>
      </c>
      <c r="N3953" s="7">
        <v>140</v>
      </c>
      <c r="O3953" s="7">
        <f t="shared" si="342"/>
        <v>59.055118110236222</v>
      </c>
      <c r="P3953" s="7">
        <f t="shared" si="346"/>
        <v>0.74803149606299213</v>
      </c>
      <c r="Q3953" s="7">
        <f t="shared" si="346"/>
        <v>5.5118110236220472</v>
      </c>
      <c r="R3953" s="6">
        <f t="shared" si="344"/>
        <v>1233.3979999999999</v>
      </c>
      <c r="S3953" s="6">
        <f t="shared" si="345"/>
        <v>3.9900000000000005E-3</v>
      </c>
      <c r="T3953" t="str">
        <f t="shared" si="337"/>
        <v>Maximo Thermo Ayous S4S E4E Burn Blocked 1x6 Short</v>
      </c>
    </row>
    <row r="3954" spans="1:20" x14ac:dyDescent="0.25">
      <c r="A3954" t="s">
        <v>3158</v>
      </c>
      <c r="B3954" t="s">
        <v>3165</v>
      </c>
      <c r="C3954" t="s">
        <v>609</v>
      </c>
      <c r="D3954" t="s">
        <v>3129</v>
      </c>
      <c r="E3954" t="s">
        <v>4845</v>
      </c>
      <c r="F3954" t="s">
        <v>4834</v>
      </c>
      <c r="G3954" t="s">
        <v>3162</v>
      </c>
      <c r="H3954" t="s">
        <v>458</v>
      </c>
      <c r="I3954" t="s">
        <v>3937</v>
      </c>
      <c r="J3954" t="s">
        <v>429</v>
      </c>
      <c r="K3954">
        <v>6</v>
      </c>
      <c r="L3954" s="6">
        <v>1.8</v>
      </c>
      <c r="M3954" s="7">
        <v>19</v>
      </c>
      <c r="N3954" s="7">
        <v>140</v>
      </c>
      <c r="O3954" s="7">
        <f t="shared" si="342"/>
        <v>70.866141732283467</v>
      </c>
      <c r="P3954" s="7">
        <f t="shared" si="346"/>
        <v>0.74803149606299213</v>
      </c>
      <c r="Q3954" s="7">
        <f t="shared" si="346"/>
        <v>5.5118110236220472</v>
      </c>
      <c r="R3954" s="6">
        <f t="shared" si="344"/>
        <v>1233.3979999999999</v>
      </c>
      <c r="S3954" s="6">
        <f t="shared" si="345"/>
        <v>4.7880000000000006E-3</v>
      </c>
      <c r="T3954" t="str">
        <f t="shared" si="337"/>
        <v>Maximo Thermo Ayous S4S E4E Burn Blocked 1x6 Short</v>
      </c>
    </row>
    <row r="3955" spans="1:20" x14ac:dyDescent="0.25">
      <c r="A3955" t="s">
        <v>3158</v>
      </c>
      <c r="B3955" t="s">
        <v>3165</v>
      </c>
      <c r="C3955" t="s">
        <v>609</v>
      </c>
      <c r="D3955" t="s">
        <v>3129</v>
      </c>
      <c r="E3955" t="s">
        <v>4846</v>
      </c>
      <c r="F3955" t="s">
        <v>4834</v>
      </c>
      <c r="G3955" t="s">
        <v>3162</v>
      </c>
      <c r="H3955" t="s">
        <v>458</v>
      </c>
      <c r="I3955" t="s">
        <v>3937</v>
      </c>
      <c r="J3955" t="s">
        <v>429</v>
      </c>
      <c r="K3955">
        <v>7</v>
      </c>
      <c r="L3955" s="6">
        <v>2.1</v>
      </c>
      <c r="M3955" s="7">
        <v>19</v>
      </c>
      <c r="N3955" s="7">
        <v>140</v>
      </c>
      <c r="O3955" s="7">
        <f t="shared" si="342"/>
        <v>82.677165354330711</v>
      </c>
      <c r="P3955" s="7">
        <f t="shared" si="346"/>
        <v>0.74803149606299213</v>
      </c>
      <c r="Q3955" s="7">
        <f t="shared" si="346"/>
        <v>5.5118110236220472</v>
      </c>
      <c r="R3955" s="6">
        <f t="shared" si="344"/>
        <v>1233.3979999999999</v>
      </c>
      <c r="S3955" s="6">
        <f t="shared" si="345"/>
        <v>5.5859999999999998E-3</v>
      </c>
      <c r="T3955" t="str">
        <f t="shared" si="337"/>
        <v>Maximo Thermo Ayous S4S E4E Burn Blocked 1x6 Short</v>
      </c>
    </row>
    <row r="3956" spans="1:20" x14ac:dyDescent="0.25">
      <c r="A3956" t="s">
        <v>3158</v>
      </c>
      <c r="B3956" t="s">
        <v>3165</v>
      </c>
      <c r="C3956" t="s">
        <v>368</v>
      </c>
      <c r="D3956" t="s">
        <v>3129</v>
      </c>
      <c r="E3956" t="s">
        <v>4847</v>
      </c>
      <c r="F3956" t="s">
        <v>4834</v>
      </c>
      <c r="G3956" t="s">
        <v>3162</v>
      </c>
      <c r="H3956" t="s">
        <v>458</v>
      </c>
      <c r="I3956" t="s">
        <v>3937</v>
      </c>
      <c r="J3956" t="s">
        <v>429</v>
      </c>
      <c r="K3956">
        <v>8</v>
      </c>
      <c r="L3956" s="6">
        <v>2.4</v>
      </c>
      <c r="M3956" s="7">
        <v>19</v>
      </c>
      <c r="N3956" s="7">
        <v>140</v>
      </c>
      <c r="O3956" s="7">
        <f t="shared" si="342"/>
        <v>94.488188976377955</v>
      </c>
      <c r="P3956" s="7">
        <f t="shared" si="346"/>
        <v>0.74803149606299213</v>
      </c>
      <c r="Q3956" s="7">
        <f t="shared" si="346"/>
        <v>5.5118110236220472</v>
      </c>
      <c r="R3956" s="6">
        <f t="shared" si="344"/>
        <v>1233.3979999999999</v>
      </c>
      <c r="S3956" s="6">
        <f t="shared" si="345"/>
        <v>6.3839999999999999E-3</v>
      </c>
      <c r="T3956" t="str">
        <f t="shared" si="337"/>
        <v>Maximo Thermo Ayous S4S E4E Burn Blocked 1x6 Long</v>
      </c>
    </row>
    <row r="3957" spans="1:20" x14ac:dyDescent="0.25">
      <c r="A3957" t="s">
        <v>3158</v>
      </c>
      <c r="B3957" t="s">
        <v>3165</v>
      </c>
      <c r="C3957" t="s">
        <v>368</v>
      </c>
      <c r="D3957" t="s">
        <v>3129</v>
      </c>
      <c r="E3957" t="s">
        <v>4848</v>
      </c>
      <c r="F3957" t="s">
        <v>4834</v>
      </c>
      <c r="G3957" t="s">
        <v>3162</v>
      </c>
      <c r="H3957" t="s">
        <v>458</v>
      </c>
      <c r="I3957" t="s">
        <v>3937</v>
      </c>
      <c r="J3957" t="s">
        <v>429</v>
      </c>
      <c r="K3957">
        <v>9</v>
      </c>
      <c r="L3957" s="6">
        <v>2.7</v>
      </c>
      <c r="M3957" s="7">
        <v>19</v>
      </c>
      <c r="N3957" s="7">
        <v>140</v>
      </c>
      <c r="O3957" s="7">
        <f t="shared" si="342"/>
        <v>106.29921259842521</v>
      </c>
      <c r="P3957" s="7">
        <f t="shared" si="346"/>
        <v>0.74803149606299213</v>
      </c>
      <c r="Q3957" s="7">
        <f t="shared" si="346"/>
        <v>5.5118110236220472</v>
      </c>
      <c r="R3957" s="6">
        <f t="shared" si="344"/>
        <v>1233.3979999999999</v>
      </c>
      <c r="S3957" s="6">
        <f t="shared" si="345"/>
        <v>7.182E-3</v>
      </c>
      <c r="T3957" t="str">
        <f t="shared" si="337"/>
        <v>Maximo Thermo Ayous S4S E4E Burn Blocked 1x6 Long</v>
      </c>
    </row>
    <row r="3958" spans="1:20" x14ac:dyDescent="0.25">
      <c r="A3958" t="s">
        <v>3158</v>
      </c>
      <c r="B3958" t="s">
        <v>3839</v>
      </c>
      <c r="C3958" t="s">
        <v>368</v>
      </c>
      <c r="D3958" t="s">
        <v>3129</v>
      </c>
      <c r="E3958" t="s">
        <v>4849</v>
      </c>
      <c r="F3958" t="s">
        <v>4850</v>
      </c>
      <c r="G3958" t="s">
        <v>3162</v>
      </c>
      <c r="H3958" t="s">
        <v>458</v>
      </c>
      <c r="I3958" t="s">
        <v>3937</v>
      </c>
      <c r="J3958" t="s">
        <v>849</v>
      </c>
      <c r="K3958">
        <v>10</v>
      </c>
      <c r="L3958" s="6">
        <v>3</v>
      </c>
      <c r="M3958" s="7">
        <v>40</v>
      </c>
      <c r="N3958" s="7">
        <v>40</v>
      </c>
      <c r="O3958" s="7">
        <f t="shared" si="342"/>
        <v>118.11023622047244</v>
      </c>
      <c r="P3958" s="7">
        <f t="shared" si="346"/>
        <v>1.5748031496062993</v>
      </c>
      <c r="Q3958" s="7">
        <f t="shared" si="346"/>
        <v>1.5748031496062993</v>
      </c>
      <c r="R3958" s="6">
        <f t="shared" si="344"/>
        <v>2050.5250000000001</v>
      </c>
      <c r="S3958" s="6">
        <f t="shared" si="345"/>
        <v>4.7999999999999996E-3</v>
      </c>
      <c r="T3958" t="str">
        <f t="shared" si="337"/>
        <v>Maximo Thermo Ayous S4S E4E Burn Blocked 2x2 Long</v>
      </c>
    </row>
    <row r="3959" spans="1:20" x14ac:dyDescent="0.25">
      <c r="A3959" t="s">
        <v>3158</v>
      </c>
      <c r="B3959" t="s">
        <v>3839</v>
      </c>
      <c r="C3959" t="s">
        <v>368</v>
      </c>
      <c r="D3959" t="s">
        <v>3129</v>
      </c>
      <c r="E3959" t="s">
        <v>4851</v>
      </c>
      <c r="F3959" t="s">
        <v>4850</v>
      </c>
      <c r="G3959" t="s">
        <v>3162</v>
      </c>
      <c r="H3959" t="s">
        <v>458</v>
      </c>
      <c r="I3959" t="s">
        <v>3937</v>
      </c>
      <c r="J3959" t="s">
        <v>849</v>
      </c>
      <c r="K3959">
        <v>11</v>
      </c>
      <c r="L3959" s="6">
        <v>3.3</v>
      </c>
      <c r="M3959" s="7">
        <v>40</v>
      </c>
      <c r="N3959" s="7">
        <v>40</v>
      </c>
      <c r="O3959" s="7">
        <f t="shared" si="342"/>
        <v>129.92125984251967</v>
      </c>
      <c r="P3959" s="7">
        <f t="shared" si="346"/>
        <v>1.5748031496062993</v>
      </c>
      <c r="Q3959" s="7">
        <f t="shared" si="346"/>
        <v>1.5748031496062993</v>
      </c>
      <c r="R3959" s="6">
        <f t="shared" si="344"/>
        <v>2050.5250000000001</v>
      </c>
      <c r="S3959" s="6">
        <f t="shared" si="345"/>
        <v>5.28E-3</v>
      </c>
      <c r="T3959" t="str">
        <f t="shared" si="337"/>
        <v>Maximo Thermo Ayous S4S E4E Burn Blocked 2x2 Long</v>
      </c>
    </row>
    <row r="3960" spans="1:20" x14ac:dyDescent="0.25">
      <c r="A3960" t="s">
        <v>3158</v>
      </c>
      <c r="B3960" t="s">
        <v>3839</v>
      </c>
      <c r="C3960" t="s">
        <v>368</v>
      </c>
      <c r="D3960" t="s">
        <v>3129</v>
      </c>
      <c r="E3960" t="s">
        <v>4852</v>
      </c>
      <c r="F3960" t="s">
        <v>4850</v>
      </c>
      <c r="G3960" t="s">
        <v>3162</v>
      </c>
      <c r="H3960" t="s">
        <v>458</v>
      </c>
      <c r="I3960" t="s">
        <v>3937</v>
      </c>
      <c r="J3960" t="s">
        <v>849</v>
      </c>
      <c r="K3960">
        <v>12</v>
      </c>
      <c r="L3960" s="6">
        <v>3.6</v>
      </c>
      <c r="M3960" s="7">
        <v>40</v>
      </c>
      <c r="N3960" s="7">
        <v>40</v>
      </c>
      <c r="O3960" s="7">
        <f t="shared" si="342"/>
        <v>141.73228346456693</v>
      </c>
      <c r="P3960" s="7">
        <f t="shared" ref="P3960:Q3975" si="347">M3960/25.4</f>
        <v>1.5748031496062993</v>
      </c>
      <c r="Q3960" s="7">
        <f t="shared" si="347"/>
        <v>1.5748031496062993</v>
      </c>
      <c r="R3960" s="6">
        <f t="shared" si="344"/>
        <v>2050.5250000000001</v>
      </c>
      <c r="S3960" s="6">
        <f t="shared" si="345"/>
        <v>5.7599999999999995E-3</v>
      </c>
      <c r="T3960" t="str">
        <f t="shared" si="337"/>
        <v>Maximo Thermo Ayous S4S E4E Burn Blocked 2x2 Long</v>
      </c>
    </row>
    <row r="3961" spans="1:20" x14ac:dyDescent="0.25">
      <c r="A3961" t="s">
        <v>3158</v>
      </c>
      <c r="B3961" t="s">
        <v>3839</v>
      </c>
      <c r="C3961" t="s">
        <v>368</v>
      </c>
      <c r="D3961" t="s">
        <v>3129</v>
      </c>
      <c r="E3961" t="s">
        <v>4853</v>
      </c>
      <c r="F3961" t="s">
        <v>4850</v>
      </c>
      <c r="G3961" t="s">
        <v>3162</v>
      </c>
      <c r="H3961" t="s">
        <v>458</v>
      </c>
      <c r="I3961" t="s">
        <v>3937</v>
      </c>
      <c r="J3961" t="s">
        <v>849</v>
      </c>
      <c r="K3961">
        <v>13</v>
      </c>
      <c r="L3961" s="6">
        <v>3.9</v>
      </c>
      <c r="M3961" s="7">
        <v>40</v>
      </c>
      <c r="N3961" s="7">
        <v>40</v>
      </c>
      <c r="O3961" s="7">
        <f t="shared" si="342"/>
        <v>153.54330708661416</v>
      </c>
      <c r="P3961" s="7">
        <f t="shared" si="347"/>
        <v>1.5748031496062993</v>
      </c>
      <c r="Q3961" s="7">
        <f t="shared" si="347"/>
        <v>1.5748031496062993</v>
      </c>
      <c r="R3961" s="6">
        <f t="shared" si="344"/>
        <v>2050.5250000000001</v>
      </c>
      <c r="S3961" s="6">
        <f t="shared" si="345"/>
        <v>6.2399999999999999E-3</v>
      </c>
      <c r="T3961" t="str">
        <f t="shared" si="337"/>
        <v>Maximo Thermo Ayous S4S E4E Burn Blocked 2x2 Long</v>
      </c>
    </row>
    <row r="3962" spans="1:20" x14ac:dyDescent="0.25">
      <c r="A3962" t="s">
        <v>3158</v>
      </c>
      <c r="B3962" t="s">
        <v>3839</v>
      </c>
      <c r="C3962" t="s">
        <v>368</v>
      </c>
      <c r="D3962" t="s">
        <v>3129</v>
      </c>
      <c r="E3962" t="s">
        <v>4854</v>
      </c>
      <c r="F3962" t="s">
        <v>4850</v>
      </c>
      <c r="G3962" t="s">
        <v>3162</v>
      </c>
      <c r="H3962" t="s">
        <v>458</v>
      </c>
      <c r="I3962" t="s">
        <v>3937</v>
      </c>
      <c r="J3962" t="s">
        <v>849</v>
      </c>
      <c r="K3962">
        <v>14</v>
      </c>
      <c r="L3962" s="6">
        <v>4.2</v>
      </c>
      <c r="M3962" s="7">
        <v>40</v>
      </c>
      <c r="N3962" s="7">
        <v>40</v>
      </c>
      <c r="O3962" s="7">
        <f t="shared" si="342"/>
        <v>165.35433070866142</v>
      </c>
      <c r="P3962" s="7">
        <f t="shared" si="347"/>
        <v>1.5748031496062993</v>
      </c>
      <c r="Q3962" s="7">
        <f t="shared" si="347"/>
        <v>1.5748031496062993</v>
      </c>
      <c r="R3962" s="6">
        <f t="shared" si="344"/>
        <v>2050.5250000000001</v>
      </c>
      <c r="S3962" s="6">
        <f t="shared" si="345"/>
        <v>6.7200000000000003E-3</v>
      </c>
      <c r="T3962" t="str">
        <f t="shared" si="337"/>
        <v>Maximo Thermo Ayous S4S E4E Burn Blocked 2x2 Long</v>
      </c>
    </row>
    <row r="3963" spans="1:20" x14ac:dyDescent="0.25">
      <c r="A3963" t="s">
        <v>3158</v>
      </c>
      <c r="B3963" t="s">
        <v>3839</v>
      </c>
      <c r="C3963" t="s">
        <v>368</v>
      </c>
      <c r="D3963" t="s">
        <v>3129</v>
      </c>
      <c r="E3963" t="s">
        <v>4855</v>
      </c>
      <c r="F3963" t="s">
        <v>4850</v>
      </c>
      <c r="G3963" t="s">
        <v>3162</v>
      </c>
      <c r="H3963" t="s">
        <v>458</v>
      </c>
      <c r="I3963" t="s">
        <v>3937</v>
      </c>
      <c r="J3963" t="s">
        <v>849</v>
      </c>
      <c r="K3963">
        <v>15</v>
      </c>
      <c r="L3963" s="6">
        <v>4.5</v>
      </c>
      <c r="M3963" s="7">
        <v>40</v>
      </c>
      <c r="N3963" s="7">
        <v>40</v>
      </c>
      <c r="O3963" s="7">
        <f t="shared" si="342"/>
        <v>177.16535433070868</v>
      </c>
      <c r="P3963" s="7">
        <f t="shared" si="347"/>
        <v>1.5748031496062993</v>
      </c>
      <c r="Q3963" s="7">
        <f t="shared" si="347"/>
        <v>1.5748031496062993</v>
      </c>
      <c r="R3963" s="6">
        <f t="shared" si="344"/>
        <v>2050.5250000000001</v>
      </c>
      <c r="S3963" s="6">
        <f t="shared" si="345"/>
        <v>7.1999999999999989E-3</v>
      </c>
      <c r="T3963" t="str">
        <f t="shared" si="337"/>
        <v>Maximo Thermo Ayous S4S E4E Burn Blocked 2x2 Long</v>
      </c>
    </row>
    <row r="3964" spans="1:20" x14ac:dyDescent="0.25">
      <c r="A3964" t="s">
        <v>3158</v>
      </c>
      <c r="B3964" t="s">
        <v>3839</v>
      </c>
      <c r="C3964" t="s">
        <v>368</v>
      </c>
      <c r="D3964" t="s">
        <v>3129</v>
      </c>
      <c r="E3964" t="s">
        <v>4856</v>
      </c>
      <c r="F3964" t="s">
        <v>4850</v>
      </c>
      <c r="G3964" t="s">
        <v>3162</v>
      </c>
      <c r="H3964" t="s">
        <v>458</v>
      </c>
      <c r="I3964" t="s">
        <v>3937</v>
      </c>
      <c r="J3964" t="s">
        <v>849</v>
      </c>
      <c r="K3964">
        <v>16</v>
      </c>
      <c r="L3964" s="6">
        <v>4.8</v>
      </c>
      <c r="M3964" s="7">
        <v>40</v>
      </c>
      <c r="N3964" s="7">
        <v>40</v>
      </c>
      <c r="O3964" s="7">
        <f t="shared" si="342"/>
        <v>188.97637795275591</v>
      </c>
      <c r="P3964" s="7">
        <f t="shared" si="347"/>
        <v>1.5748031496062993</v>
      </c>
      <c r="Q3964" s="7">
        <f t="shared" si="347"/>
        <v>1.5748031496062993</v>
      </c>
      <c r="R3964" s="6">
        <f t="shared" si="344"/>
        <v>2050.5250000000001</v>
      </c>
      <c r="S3964" s="6">
        <f t="shared" si="345"/>
        <v>7.6799999999999993E-3</v>
      </c>
      <c r="T3964" t="str">
        <f t="shared" si="337"/>
        <v>Maximo Thermo Ayous S4S E4E Burn Blocked 2x2 Long</v>
      </c>
    </row>
    <row r="3965" spans="1:20" x14ac:dyDescent="0.25">
      <c r="A3965" t="s">
        <v>3158</v>
      </c>
      <c r="B3965" t="s">
        <v>3839</v>
      </c>
      <c r="C3965" t="s">
        <v>368</v>
      </c>
      <c r="D3965" t="s">
        <v>3129</v>
      </c>
      <c r="E3965" t="s">
        <v>4857</v>
      </c>
      <c r="F3965" t="s">
        <v>4850</v>
      </c>
      <c r="G3965" t="s">
        <v>3162</v>
      </c>
      <c r="H3965" t="s">
        <v>458</v>
      </c>
      <c r="I3965" t="s">
        <v>3937</v>
      </c>
      <c r="J3965" t="s">
        <v>849</v>
      </c>
      <c r="K3965">
        <v>17</v>
      </c>
      <c r="L3965" s="6">
        <v>5.0999999999999996</v>
      </c>
      <c r="M3965" s="7">
        <v>40</v>
      </c>
      <c r="N3965" s="7">
        <v>40</v>
      </c>
      <c r="O3965" s="7">
        <f t="shared" si="342"/>
        <v>200.78740157480314</v>
      </c>
      <c r="P3965" s="7">
        <f t="shared" si="347"/>
        <v>1.5748031496062993</v>
      </c>
      <c r="Q3965" s="7">
        <f t="shared" si="347"/>
        <v>1.5748031496062993</v>
      </c>
      <c r="R3965" s="6">
        <f t="shared" si="344"/>
        <v>2050.5250000000001</v>
      </c>
      <c r="S3965" s="6">
        <f t="shared" si="345"/>
        <v>8.1600000000000006E-3</v>
      </c>
      <c r="T3965" t="str">
        <f t="shared" si="337"/>
        <v>Maximo Thermo Ayous S4S E4E Burn Blocked 2x2 Long</v>
      </c>
    </row>
    <row r="3966" spans="1:20" x14ac:dyDescent="0.25">
      <c r="A3966" t="s">
        <v>3158</v>
      </c>
      <c r="B3966" t="s">
        <v>3839</v>
      </c>
      <c r="C3966" t="s">
        <v>368</v>
      </c>
      <c r="D3966" t="s">
        <v>3129</v>
      </c>
      <c r="E3966" t="s">
        <v>4858</v>
      </c>
      <c r="F3966" t="s">
        <v>4850</v>
      </c>
      <c r="G3966" t="s">
        <v>3162</v>
      </c>
      <c r="H3966" t="s">
        <v>458</v>
      </c>
      <c r="I3966" t="s">
        <v>3937</v>
      </c>
      <c r="J3966" t="s">
        <v>849</v>
      </c>
      <c r="K3966">
        <v>18</v>
      </c>
      <c r="L3966" s="6">
        <v>5.4</v>
      </c>
      <c r="M3966" s="7">
        <v>40</v>
      </c>
      <c r="N3966" s="7">
        <v>40</v>
      </c>
      <c r="O3966" s="7">
        <f t="shared" si="342"/>
        <v>212.59842519685043</v>
      </c>
      <c r="P3966" s="7">
        <f t="shared" si="347"/>
        <v>1.5748031496062993</v>
      </c>
      <c r="Q3966" s="7">
        <f t="shared" si="347"/>
        <v>1.5748031496062993</v>
      </c>
      <c r="R3966" s="6">
        <f t="shared" si="344"/>
        <v>2050.5250000000001</v>
      </c>
      <c r="S3966" s="6">
        <f t="shared" si="345"/>
        <v>8.6400000000000001E-3</v>
      </c>
      <c r="T3966" t="str">
        <f t="shared" si="337"/>
        <v>Maximo Thermo Ayous S4S E4E Burn Blocked 2x2 Long</v>
      </c>
    </row>
    <row r="3967" spans="1:20" x14ac:dyDescent="0.25">
      <c r="A3967" t="s">
        <v>3158</v>
      </c>
      <c r="B3967" t="s">
        <v>3839</v>
      </c>
      <c r="C3967" t="s">
        <v>609</v>
      </c>
      <c r="D3967" t="s">
        <v>3129</v>
      </c>
      <c r="E3967" t="s">
        <v>4859</v>
      </c>
      <c r="F3967" t="s">
        <v>4850</v>
      </c>
      <c r="G3967" t="s">
        <v>3162</v>
      </c>
      <c r="H3967" t="s">
        <v>458</v>
      </c>
      <c r="I3967" t="s">
        <v>3937</v>
      </c>
      <c r="J3967" t="s">
        <v>849</v>
      </c>
      <c r="K3967">
        <v>4</v>
      </c>
      <c r="L3967" s="6">
        <v>1.2</v>
      </c>
      <c r="M3967" s="7">
        <v>40</v>
      </c>
      <c r="N3967" s="7">
        <v>40</v>
      </c>
      <c r="O3967" s="7">
        <f t="shared" si="342"/>
        <v>47.244094488188978</v>
      </c>
      <c r="P3967" s="7">
        <f t="shared" si="347"/>
        <v>1.5748031496062993</v>
      </c>
      <c r="Q3967" s="7">
        <f t="shared" si="347"/>
        <v>1.5748031496062993</v>
      </c>
      <c r="R3967" s="6">
        <f t="shared" si="344"/>
        <v>2050.5250000000001</v>
      </c>
      <c r="S3967" s="6">
        <f t="shared" si="345"/>
        <v>1.9199999999999998E-3</v>
      </c>
      <c r="T3967" t="str">
        <f t="shared" si="337"/>
        <v>Maximo Thermo Ayous S4S E4E Burn Blocked 2x2 Short</v>
      </c>
    </row>
    <row r="3968" spans="1:20" x14ac:dyDescent="0.25">
      <c r="A3968" t="s">
        <v>3158</v>
      </c>
      <c r="B3968" t="s">
        <v>3839</v>
      </c>
      <c r="C3968" t="s">
        <v>609</v>
      </c>
      <c r="D3968" t="s">
        <v>3129</v>
      </c>
      <c r="E3968" t="s">
        <v>4860</v>
      </c>
      <c r="F3968" t="s">
        <v>4850</v>
      </c>
      <c r="G3968" t="s">
        <v>3162</v>
      </c>
      <c r="H3968" t="s">
        <v>458</v>
      </c>
      <c r="I3968" t="s">
        <v>3937</v>
      </c>
      <c r="J3968" t="s">
        <v>849</v>
      </c>
      <c r="K3968">
        <v>5</v>
      </c>
      <c r="L3968" s="6">
        <v>1.5</v>
      </c>
      <c r="M3968" s="7">
        <v>40</v>
      </c>
      <c r="N3968" s="7">
        <v>40</v>
      </c>
      <c r="O3968" s="7">
        <f t="shared" si="342"/>
        <v>59.055118110236222</v>
      </c>
      <c r="P3968" s="7">
        <f t="shared" si="347"/>
        <v>1.5748031496062993</v>
      </c>
      <c r="Q3968" s="7">
        <f t="shared" si="347"/>
        <v>1.5748031496062993</v>
      </c>
      <c r="R3968" s="6">
        <f t="shared" si="344"/>
        <v>2050.5250000000001</v>
      </c>
      <c r="S3968" s="6">
        <f t="shared" si="345"/>
        <v>2.3999999999999998E-3</v>
      </c>
      <c r="T3968" t="str">
        <f t="shared" si="337"/>
        <v>Maximo Thermo Ayous S4S E4E Burn Blocked 2x2 Short</v>
      </c>
    </row>
    <row r="3969" spans="1:20" x14ac:dyDescent="0.25">
      <c r="A3969" t="s">
        <v>3158</v>
      </c>
      <c r="B3969" t="s">
        <v>3839</v>
      </c>
      <c r="C3969" t="s">
        <v>609</v>
      </c>
      <c r="D3969" t="s">
        <v>3129</v>
      </c>
      <c r="E3969" t="s">
        <v>4861</v>
      </c>
      <c r="F3969" t="s">
        <v>4850</v>
      </c>
      <c r="G3969" t="s">
        <v>3162</v>
      </c>
      <c r="H3969" t="s">
        <v>458</v>
      </c>
      <c r="I3969" t="s">
        <v>3937</v>
      </c>
      <c r="J3969" t="s">
        <v>849</v>
      </c>
      <c r="K3969">
        <v>6</v>
      </c>
      <c r="L3969" s="6">
        <v>1.8</v>
      </c>
      <c r="M3969" s="7">
        <v>40</v>
      </c>
      <c r="N3969" s="7">
        <v>40</v>
      </c>
      <c r="O3969" s="7">
        <f t="shared" si="342"/>
        <v>70.866141732283467</v>
      </c>
      <c r="P3969" s="7">
        <f t="shared" si="347"/>
        <v>1.5748031496062993</v>
      </c>
      <c r="Q3969" s="7">
        <f t="shared" si="347"/>
        <v>1.5748031496062993</v>
      </c>
      <c r="R3969" s="6">
        <f t="shared" si="344"/>
        <v>2050.5250000000001</v>
      </c>
      <c r="S3969" s="6">
        <f t="shared" si="345"/>
        <v>2.8799999999999997E-3</v>
      </c>
      <c r="T3969" t="str">
        <f t="shared" si="337"/>
        <v>Maximo Thermo Ayous S4S E4E Burn Blocked 2x2 Short</v>
      </c>
    </row>
    <row r="3970" spans="1:20" x14ac:dyDescent="0.25">
      <c r="A3970" t="s">
        <v>3158</v>
      </c>
      <c r="B3970" t="s">
        <v>3839</v>
      </c>
      <c r="C3970" t="s">
        <v>609</v>
      </c>
      <c r="D3970" t="s">
        <v>3129</v>
      </c>
      <c r="E3970" t="s">
        <v>4862</v>
      </c>
      <c r="F3970" t="s">
        <v>4850</v>
      </c>
      <c r="G3970" t="s">
        <v>3162</v>
      </c>
      <c r="H3970" t="s">
        <v>458</v>
      </c>
      <c r="I3970" t="s">
        <v>3937</v>
      </c>
      <c r="J3970" t="s">
        <v>849</v>
      </c>
      <c r="K3970">
        <v>7</v>
      </c>
      <c r="L3970" s="6">
        <v>2.1</v>
      </c>
      <c r="M3970" s="7">
        <v>40</v>
      </c>
      <c r="N3970" s="7">
        <v>40</v>
      </c>
      <c r="O3970" s="7">
        <f t="shared" si="342"/>
        <v>82.677165354330711</v>
      </c>
      <c r="P3970" s="7">
        <f t="shared" si="347"/>
        <v>1.5748031496062993</v>
      </c>
      <c r="Q3970" s="7">
        <f t="shared" si="347"/>
        <v>1.5748031496062993</v>
      </c>
      <c r="R3970" s="6">
        <f t="shared" si="344"/>
        <v>2050.5250000000001</v>
      </c>
      <c r="S3970" s="6">
        <f t="shared" si="345"/>
        <v>3.3600000000000001E-3</v>
      </c>
      <c r="T3970" t="str">
        <f t="shared" ref="T3970:T4017" si="348">F3970&amp;" "&amp;C3970</f>
        <v>Maximo Thermo Ayous S4S E4E Burn Blocked 2x2 Short</v>
      </c>
    </row>
    <row r="3971" spans="1:20" x14ac:dyDescent="0.25">
      <c r="A3971" t="s">
        <v>3158</v>
      </c>
      <c r="B3971" t="s">
        <v>3839</v>
      </c>
      <c r="C3971" t="s">
        <v>368</v>
      </c>
      <c r="D3971" t="s">
        <v>3129</v>
      </c>
      <c r="E3971" t="s">
        <v>4863</v>
      </c>
      <c r="F3971" t="s">
        <v>4850</v>
      </c>
      <c r="G3971" t="s">
        <v>3162</v>
      </c>
      <c r="H3971" t="s">
        <v>458</v>
      </c>
      <c r="I3971" t="s">
        <v>3937</v>
      </c>
      <c r="J3971" t="s">
        <v>849</v>
      </c>
      <c r="K3971">
        <v>8</v>
      </c>
      <c r="L3971" s="6">
        <v>2.4</v>
      </c>
      <c r="M3971" s="7">
        <v>40</v>
      </c>
      <c r="N3971" s="7">
        <v>40</v>
      </c>
      <c r="O3971" s="7">
        <f t="shared" si="342"/>
        <v>94.488188976377955</v>
      </c>
      <c r="P3971" s="7">
        <f t="shared" si="347"/>
        <v>1.5748031496062993</v>
      </c>
      <c r="Q3971" s="7">
        <f t="shared" si="347"/>
        <v>1.5748031496062993</v>
      </c>
      <c r="R3971" s="6">
        <f t="shared" si="344"/>
        <v>2050.5250000000001</v>
      </c>
      <c r="S3971" s="6">
        <f t="shared" si="345"/>
        <v>3.8399999999999997E-3</v>
      </c>
      <c r="T3971" t="str">
        <f t="shared" si="348"/>
        <v>Maximo Thermo Ayous S4S E4E Burn Blocked 2x2 Long</v>
      </c>
    </row>
    <row r="3972" spans="1:20" x14ac:dyDescent="0.25">
      <c r="A3972" t="s">
        <v>3158</v>
      </c>
      <c r="B3972" t="s">
        <v>3839</v>
      </c>
      <c r="C3972" t="s">
        <v>368</v>
      </c>
      <c r="D3972" t="s">
        <v>3129</v>
      </c>
      <c r="E3972" t="s">
        <v>4864</v>
      </c>
      <c r="F3972" t="s">
        <v>4850</v>
      </c>
      <c r="G3972" t="s">
        <v>3162</v>
      </c>
      <c r="H3972" t="s">
        <v>458</v>
      </c>
      <c r="I3972" t="s">
        <v>3937</v>
      </c>
      <c r="J3972" t="s">
        <v>849</v>
      </c>
      <c r="K3972">
        <v>9</v>
      </c>
      <c r="L3972" s="6">
        <v>2.7</v>
      </c>
      <c r="M3972" s="7">
        <v>40</v>
      </c>
      <c r="N3972" s="7">
        <v>40</v>
      </c>
      <c r="O3972" s="7">
        <f t="shared" si="342"/>
        <v>106.29921259842521</v>
      </c>
      <c r="P3972" s="7">
        <f t="shared" si="347"/>
        <v>1.5748031496062993</v>
      </c>
      <c r="Q3972" s="7">
        <f t="shared" si="347"/>
        <v>1.5748031496062993</v>
      </c>
      <c r="R3972" s="6">
        <f t="shared" si="344"/>
        <v>2050.5250000000001</v>
      </c>
      <c r="S3972" s="6">
        <f t="shared" si="345"/>
        <v>4.3200000000000001E-3</v>
      </c>
      <c r="T3972" t="str">
        <f t="shared" si="348"/>
        <v>Maximo Thermo Ayous S4S E4E Burn Blocked 2x2 Long</v>
      </c>
    </row>
    <row r="3973" spans="1:20" x14ac:dyDescent="0.25">
      <c r="A3973" t="s">
        <v>3158</v>
      </c>
      <c r="B3973" t="s">
        <v>3874</v>
      </c>
      <c r="C3973" t="s">
        <v>368</v>
      </c>
      <c r="D3973" t="s">
        <v>3129</v>
      </c>
      <c r="E3973" t="s">
        <v>4865</v>
      </c>
      <c r="F3973" t="s">
        <v>4866</v>
      </c>
      <c r="G3973" t="s">
        <v>3162</v>
      </c>
      <c r="H3973" t="s">
        <v>458</v>
      </c>
      <c r="I3973" t="s">
        <v>3937</v>
      </c>
      <c r="J3973" t="s">
        <v>881</v>
      </c>
      <c r="K3973">
        <v>10</v>
      </c>
      <c r="L3973" s="6">
        <v>3</v>
      </c>
      <c r="M3973" s="7">
        <v>40</v>
      </c>
      <c r="N3973" s="7">
        <v>90</v>
      </c>
      <c r="O3973" s="7">
        <f t="shared" si="342"/>
        <v>118.11023622047244</v>
      </c>
      <c r="P3973" s="7">
        <f t="shared" si="347"/>
        <v>1.5748031496062993</v>
      </c>
      <c r="Q3973" s="7">
        <f t="shared" si="347"/>
        <v>3.5433070866141736</v>
      </c>
      <c r="R3973" s="6">
        <f t="shared" si="344"/>
        <v>911.34400000000005</v>
      </c>
      <c r="S3973" s="6">
        <f t="shared" si="345"/>
        <v>1.0799999999999999E-2</v>
      </c>
      <c r="T3973" t="str">
        <f t="shared" si="348"/>
        <v>Maximo Thermo Ayous S4S E4E Burn Blocked 2x4 Long</v>
      </c>
    </row>
    <row r="3974" spans="1:20" x14ac:dyDescent="0.25">
      <c r="A3974" t="s">
        <v>3158</v>
      </c>
      <c r="B3974" t="s">
        <v>3874</v>
      </c>
      <c r="C3974" t="s">
        <v>368</v>
      </c>
      <c r="D3974" t="s">
        <v>3129</v>
      </c>
      <c r="E3974" t="s">
        <v>4867</v>
      </c>
      <c r="F3974" t="s">
        <v>4866</v>
      </c>
      <c r="G3974" t="s">
        <v>3162</v>
      </c>
      <c r="H3974" t="s">
        <v>458</v>
      </c>
      <c r="I3974" t="s">
        <v>3937</v>
      </c>
      <c r="J3974" t="s">
        <v>881</v>
      </c>
      <c r="K3974">
        <v>11</v>
      </c>
      <c r="L3974" s="6">
        <v>3.3</v>
      </c>
      <c r="M3974" s="7">
        <v>40</v>
      </c>
      <c r="N3974" s="7">
        <v>90</v>
      </c>
      <c r="O3974" s="7">
        <f t="shared" si="342"/>
        <v>129.92125984251967</v>
      </c>
      <c r="P3974" s="7">
        <f t="shared" si="347"/>
        <v>1.5748031496062993</v>
      </c>
      <c r="Q3974" s="7">
        <f t="shared" si="347"/>
        <v>3.5433070866141736</v>
      </c>
      <c r="R3974" s="6">
        <f t="shared" si="344"/>
        <v>911.34400000000005</v>
      </c>
      <c r="S3974" s="6">
        <f t="shared" si="345"/>
        <v>1.188E-2</v>
      </c>
      <c r="T3974" t="str">
        <f t="shared" si="348"/>
        <v>Maximo Thermo Ayous S4S E4E Burn Blocked 2x4 Long</v>
      </c>
    </row>
    <row r="3975" spans="1:20" x14ac:dyDescent="0.25">
      <c r="A3975" t="s">
        <v>3158</v>
      </c>
      <c r="B3975" t="s">
        <v>3874</v>
      </c>
      <c r="C3975" t="s">
        <v>368</v>
      </c>
      <c r="D3975" t="s">
        <v>3129</v>
      </c>
      <c r="E3975" t="s">
        <v>4868</v>
      </c>
      <c r="F3975" t="s">
        <v>4866</v>
      </c>
      <c r="G3975" t="s">
        <v>3162</v>
      </c>
      <c r="H3975" t="s">
        <v>458</v>
      </c>
      <c r="I3975" t="s">
        <v>3937</v>
      </c>
      <c r="J3975" t="s">
        <v>881</v>
      </c>
      <c r="K3975">
        <v>12</v>
      </c>
      <c r="L3975" s="6">
        <v>3.6</v>
      </c>
      <c r="M3975" s="7">
        <v>40</v>
      </c>
      <c r="N3975" s="7">
        <v>90</v>
      </c>
      <c r="O3975" s="7">
        <f t="shared" si="342"/>
        <v>141.73228346456693</v>
      </c>
      <c r="P3975" s="7">
        <f t="shared" si="347"/>
        <v>1.5748031496062993</v>
      </c>
      <c r="Q3975" s="7">
        <f t="shared" si="347"/>
        <v>3.5433070866141736</v>
      </c>
      <c r="R3975" s="6">
        <f t="shared" si="344"/>
        <v>911.34400000000005</v>
      </c>
      <c r="S3975" s="6">
        <f t="shared" si="345"/>
        <v>1.2959999999999999E-2</v>
      </c>
      <c r="T3975" t="str">
        <f t="shared" si="348"/>
        <v>Maximo Thermo Ayous S4S E4E Burn Blocked 2x4 Long</v>
      </c>
    </row>
    <row r="3976" spans="1:20" x14ac:dyDescent="0.25">
      <c r="A3976" t="s">
        <v>3158</v>
      </c>
      <c r="B3976" t="s">
        <v>3874</v>
      </c>
      <c r="C3976" t="s">
        <v>368</v>
      </c>
      <c r="D3976" t="s">
        <v>3129</v>
      </c>
      <c r="E3976" t="s">
        <v>4869</v>
      </c>
      <c r="F3976" t="s">
        <v>4866</v>
      </c>
      <c r="G3976" t="s">
        <v>3162</v>
      </c>
      <c r="H3976" t="s">
        <v>458</v>
      </c>
      <c r="I3976" t="s">
        <v>3937</v>
      </c>
      <c r="J3976" t="s">
        <v>881</v>
      </c>
      <c r="K3976">
        <v>13</v>
      </c>
      <c r="L3976" s="6">
        <v>3.9</v>
      </c>
      <c r="M3976" s="7">
        <v>40</v>
      </c>
      <c r="N3976" s="7">
        <v>90</v>
      </c>
      <c r="O3976" s="7">
        <f t="shared" si="342"/>
        <v>153.54330708661416</v>
      </c>
      <c r="P3976" s="7">
        <f t="shared" ref="P3976:Q3991" si="349">M3976/25.4</f>
        <v>1.5748031496062993</v>
      </c>
      <c r="Q3976" s="7">
        <f t="shared" si="349"/>
        <v>3.5433070866141736</v>
      </c>
      <c r="R3976" s="6">
        <f t="shared" si="344"/>
        <v>911.34400000000005</v>
      </c>
      <c r="S3976" s="6">
        <f t="shared" si="345"/>
        <v>1.4039999999999999E-2</v>
      </c>
      <c r="T3976" t="str">
        <f t="shared" si="348"/>
        <v>Maximo Thermo Ayous S4S E4E Burn Blocked 2x4 Long</v>
      </c>
    </row>
    <row r="3977" spans="1:20" x14ac:dyDescent="0.25">
      <c r="A3977" t="s">
        <v>3158</v>
      </c>
      <c r="B3977" t="s">
        <v>3874</v>
      </c>
      <c r="C3977" t="s">
        <v>368</v>
      </c>
      <c r="D3977" t="s">
        <v>3129</v>
      </c>
      <c r="E3977" t="s">
        <v>4870</v>
      </c>
      <c r="F3977" t="s">
        <v>4866</v>
      </c>
      <c r="G3977" t="s">
        <v>3162</v>
      </c>
      <c r="H3977" t="s">
        <v>458</v>
      </c>
      <c r="I3977" t="s">
        <v>3937</v>
      </c>
      <c r="J3977" t="s">
        <v>881</v>
      </c>
      <c r="K3977">
        <v>14</v>
      </c>
      <c r="L3977" s="6">
        <v>4.2</v>
      </c>
      <c r="M3977" s="7">
        <v>40</v>
      </c>
      <c r="N3977" s="7">
        <v>90</v>
      </c>
      <c r="O3977" s="7">
        <f t="shared" si="342"/>
        <v>165.35433070866142</v>
      </c>
      <c r="P3977" s="7">
        <f t="shared" si="349"/>
        <v>1.5748031496062993</v>
      </c>
      <c r="Q3977" s="7">
        <f t="shared" si="349"/>
        <v>3.5433070866141736</v>
      </c>
      <c r="R3977" s="6">
        <f t="shared" si="344"/>
        <v>911.34400000000005</v>
      </c>
      <c r="S3977" s="6">
        <f t="shared" si="345"/>
        <v>1.5120000000000001E-2</v>
      </c>
      <c r="T3977" t="str">
        <f t="shared" si="348"/>
        <v>Maximo Thermo Ayous S4S E4E Burn Blocked 2x4 Long</v>
      </c>
    </row>
    <row r="3978" spans="1:20" x14ac:dyDescent="0.25">
      <c r="A3978" t="s">
        <v>3158</v>
      </c>
      <c r="B3978" t="s">
        <v>3874</v>
      </c>
      <c r="C3978" t="s">
        <v>368</v>
      </c>
      <c r="D3978" t="s">
        <v>3129</v>
      </c>
      <c r="E3978" t="s">
        <v>4871</v>
      </c>
      <c r="F3978" t="s">
        <v>4866</v>
      </c>
      <c r="G3978" t="s">
        <v>3162</v>
      </c>
      <c r="H3978" t="s">
        <v>458</v>
      </c>
      <c r="I3978" t="s">
        <v>3937</v>
      </c>
      <c r="J3978" t="s">
        <v>881</v>
      </c>
      <c r="K3978">
        <v>15</v>
      </c>
      <c r="L3978" s="6">
        <v>4.5</v>
      </c>
      <c r="M3978" s="7">
        <v>40</v>
      </c>
      <c r="N3978" s="7">
        <v>90</v>
      </c>
      <c r="O3978" s="7">
        <f t="shared" si="342"/>
        <v>177.16535433070868</v>
      </c>
      <c r="P3978" s="7">
        <f t="shared" si="349"/>
        <v>1.5748031496062993</v>
      </c>
      <c r="Q3978" s="7">
        <f t="shared" si="349"/>
        <v>3.5433070866141736</v>
      </c>
      <c r="R3978" s="6">
        <f t="shared" si="344"/>
        <v>911.34400000000005</v>
      </c>
      <c r="S3978" s="6">
        <f t="shared" si="345"/>
        <v>1.6199999999999999E-2</v>
      </c>
      <c r="T3978" t="str">
        <f t="shared" si="348"/>
        <v>Maximo Thermo Ayous S4S E4E Burn Blocked 2x4 Long</v>
      </c>
    </row>
    <row r="3979" spans="1:20" x14ac:dyDescent="0.25">
      <c r="A3979" t="s">
        <v>3158</v>
      </c>
      <c r="B3979" t="s">
        <v>3874</v>
      </c>
      <c r="C3979" t="s">
        <v>368</v>
      </c>
      <c r="D3979" t="s">
        <v>3129</v>
      </c>
      <c r="E3979" t="s">
        <v>4872</v>
      </c>
      <c r="F3979" t="s">
        <v>4866</v>
      </c>
      <c r="G3979" t="s">
        <v>3162</v>
      </c>
      <c r="H3979" t="s">
        <v>458</v>
      </c>
      <c r="I3979" t="s">
        <v>3937</v>
      </c>
      <c r="J3979" t="s">
        <v>881</v>
      </c>
      <c r="K3979">
        <v>16</v>
      </c>
      <c r="L3979" s="6">
        <v>4.8</v>
      </c>
      <c r="M3979" s="7">
        <v>40</v>
      </c>
      <c r="N3979" s="7">
        <v>90</v>
      </c>
      <c r="O3979" s="7">
        <f t="shared" si="342"/>
        <v>188.97637795275591</v>
      </c>
      <c r="P3979" s="7">
        <f t="shared" si="349"/>
        <v>1.5748031496062993</v>
      </c>
      <c r="Q3979" s="7">
        <f t="shared" si="349"/>
        <v>3.5433070866141736</v>
      </c>
      <c r="R3979" s="6">
        <f t="shared" si="344"/>
        <v>911.34400000000005</v>
      </c>
      <c r="S3979" s="6">
        <f t="shared" si="345"/>
        <v>1.728E-2</v>
      </c>
      <c r="T3979" t="str">
        <f t="shared" si="348"/>
        <v>Maximo Thermo Ayous S4S E4E Burn Blocked 2x4 Long</v>
      </c>
    </row>
    <row r="3980" spans="1:20" x14ac:dyDescent="0.25">
      <c r="A3980" t="s">
        <v>3158</v>
      </c>
      <c r="B3980" t="s">
        <v>3874</v>
      </c>
      <c r="C3980" t="s">
        <v>368</v>
      </c>
      <c r="D3980" t="s">
        <v>3129</v>
      </c>
      <c r="E3980" t="s">
        <v>4873</v>
      </c>
      <c r="F3980" t="s">
        <v>4866</v>
      </c>
      <c r="G3980" t="s">
        <v>3162</v>
      </c>
      <c r="H3980" t="s">
        <v>458</v>
      </c>
      <c r="I3980" t="s">
        <v>3937</v>
      </c>
      <c r="J3980" t="s">
        <v>881</v>
      </c>
      <c r="K3980">
        <v>17</v>
      </c>
      <c r="L3980" s="6">
        <v>5.0999999999999996</v>
      </c>
      <c r="M3980" s="7">
        <v>40</v>
      </c>
      <c r="N3980" s="7">
        <v>90</v>
      </c>
      <c r="O3980" s="7">
        <f t="shared" si="342"/>
        <v>200.78740157480314</v>
      </c>
      <c r="P3980" s="7">
        <f t="shared" si="349"/>
        <v>1.5748031496062993</v>
      </c>
      <c r="Q3980" s="7">
        <f t="shared" si="349"/>
        <v>3.5433070866141736</v>
      </c>
      <c r="R3980" s="6">
        <f t="shared" si="344"/>
        <v>911.34400000000005</v>
      </c>
      <c r="S3980" s="6">
        <f t="shared" si="345"/>
        <v>1.8359999999999998E-2</v>
      </c>
      <c r="T3980" t="str">
        <f t="shared" si="348"/>
        <v>Maximo Thermo Ayous S4S E4E Burn Blocked 2x4 Long</v>
      </c>
    </row>
    <row r="3981" spans="1:20" x14ac:dyDescent="0.25">
      <c r="A3981" t="s">
        <v>3158</v>
      </c>
      <c r="B3981" t="s">
        <v>3874</v>
      </c>
      <c r="C3981" t="s">
        <v>368</v>
      </c>
      <c r="D3981" t="s">
        <v>3129</v>
      </c>
      <c r="E3981" t="s">
        <v>4874</v>
      </c>
      <c r="F3981" t="s">
        <v>4866</v>
      </c>
      <c r="G3981" t="s">
        <v>3162</v>
      </c>
      <c r="H3981" t="s">
        <v>458</v>
      </c>
      <c r="I3981" t="s">
        <v>3937</v>
      </c>
      <c r="J3981" t="s">
        <v>881</v>
      </c>
      <c r="K3981">
        <v>18</v>
      </c>
      <c r="L3981" s="6">
        <v>5.4</v>
      </c>
      <c r="M3981" s="7">
        <v>40</v>
      </c>
      <c r="N3981" s="7">
        <v>90</v>
      </c>
      <c r="O3981" s="7">
        <f t="shared" si="342"/>
        <v>212.59842519685043</v>
      </c>
      <c r="P3981" s="7">
        <f t="shared" si="349"/>
        <v>1.5748031496062993</v>
      </c>
      <c r="Q3981" s="7">
        <f t="shared" si="349"/>
        <v>3.5433070866141736</v>
      </c>
      <c r="R3981" s="6">
        <f t="shared" si="344"/>
        <v>911.34400000000005</v>
      </c>
      <c r="S3981" s="6">
        <f t="shared" si="345"/>
        <v>1.9440000000000002E-2</v>
      </c>
      <c r="T3981" t="str">
        <f t="shared" si="348"/>
        <v>Maximo Thermo Ayous S4S E4E Burn Blocked 2x4 Long</v>
      </c>
    </row>
    <row r="3982" spans="1:20" x14ac:dyDescent="0.25">
      <c r="A3982" t="s">
        <v>3158</v>
      </c>
      <c r="B3982" t="s">
        <v>3874</v>
      </c>
      <c r="C3982" t="s">
        <v>609</v>
      </c>
      <c r="D3982" t="s">
        <v>3129</v>
      </c>
      <c r="E3982" t="s">
        <v>4875</v>
      </c>
      <c r="F3982" t="s">
        <v>4866</v>
      </c>
      <c r="G3982" t="s">
        <v>3162</v>
      </c>
      <c r="H3982" t="s">
        <v>458</v>
      </c>
      <c r="I3982" t="s">
        <v>3937</v>
      </c>
      <c r="J3982" t="s">
        <v>881</v>
      </c>
      <c r="K3982">
        <v>4</v>
      </c>
      <c r="L3982" s="6">
        <v>1.2</v>
      </c>
      <c r="M3982" s="7">
        <v>40</v>
      </c>
      <c r="N3982" s="7">
        <v>90</v>
      </c>
      <c r="O3982" s="7">
        <f t="shared" si="342"/>
        <v>47.244094488188978</v>
      </c>
      <c r="P3982" s="7">
        <f t="shared" si="349"/>
        <v>1.5748031496062993</v>
      </c>
      <c r="Q3982" s="7">
        <f t="shared" si="349"/>
        <v>3.5433070866141736</v>
      </c>
      <c r="R3982" s="6">
        <f t="shared" si="344"/>
        <v>911.34400000000005</v>
      </c>
      <c r="S3982" s="6">
        <f t="shared" si="345"/>
        <v>4.3200000000000001E-3</v>
      </c>
      <c r="T3982" t="str">
        <f t="shared" si="348"/>
        <v>Maximo Thermo Ayous S4S E4E Burn Blocked 2x4 Short</v>
      </c>
    </row>
    <row r="3983" spans="1:20" x14ac:dyDescent="0.25">
      <c r="A3983" t="s">
        <v>3158</v>
      </c>
      <c r="B3983" t="s">
        <v>3874</v>
      </c>
      <c r="C3983" t="s">
        <v>609</v>
      </c>
      <c r="D3983" t="s">
        <v>3129</v>
      </c>
      <c r="E3983" t="s">
        <v>4876</v>
      </c>
      <c r="F3983" t="s">
        <v>4866</v>
      </c>
      <c r="G3983" t="s">
        <v>3162</v>
      </c>
      <c r="H3983" t="s">
        <v>458</v>
      </c>
      <c r="I3983" t="s">
        <v>3937</v>
      </c>
      <c r="J3983" t="s">
        <v>881</v>
      </c>
      <c r="K3983">
        <v>5</v>
      </c>
      <c r="L3983" s="6">
        <v>1.5</v>
      </c>
      <c r="M3983" s="7">
        <v>40</v>
      </c>
      <c r="N3983" s="7">
        <v>90</v>
      </c>
      <c r="O3983" s="7">
        <f t="shared" si="342"/>
        <v>59.055118110236222</v>
      </c>
      <c r="P3983" s="7">
        <f t="shared" si="349"/>
        <v>1.5748031496062993</v>
      </c>
      <c r="Q3983" s="7">
        <f t="shared" si="349"/>
        <v>3.5433070866141736</v>
      </c>
      <c r="R3983" s="6">
        <f t="shared" si="344"/>
        <v>911.34400000000005</v>
      </c>
      <c r="S3983" s="6">
        <f t="shared" si="345"/>
        <v>5.3999999999999994E-3</v>
      </c>
      <c r="T3983" t="str">
        <f t="shared" si="348"/>
        <v>Maximo Thermo Ayous S4S E4E Burn Blocked 2x4 Short</v>
      </c>
    </row>
    <row r="3984" spans="1:20" x14ac:dyDescent="0.25">
      <c r="A3984" t="s">
        <v>3158</v>
      </c>
      <c r="B3984" t="s">
        <v>3874</v>
      </c>
      <c r="C3984" t="s">
        <v>609</v>
      </c>
      <c r="D3984" t="s">
        <v>3129</v>
      </c>
      <c r="E3984" t="s">
        <v>4877</v>
      </c>
      <c r="F3984" t="s">
        <v>4866</v>
      </c>
      <c r="G3984" t="s">
        <v>3162</v>
      </c>
      <c r="H3984" t="s">
        <v>458</v>
      </c>
      <c r="I3984" t="s">
        <v>3937</v>
      </c>
      <c r="J3984" t="s">
        <v>881</v>
      </c>
      <c r="K3984">
        <v>6</v>
      </c>
      <c r="L3984" s="6">
        <v>1.8</v>
      </c>
      <c r="M3984" s="7">
        <v>40</v>
      </c>
      <c r="N3984" s="7">
        <v>90</v>
      </c>
      <c r="O3984" s="7">
        <f t="shared" si="342"/>
        <v>70.866141732283467</v>
      </c>
      <c r="P3984" s="7">
        <f t="shared" si="349"/>
        <v>1.5748031496062993</v>
      </c>
      <c r="Q3984" s="7">
        <f t="shared" si="349"/>
        <v>3.5433070866141736</v>
      </c>
      <c r="R3984" s="6">
        <f t="shared" si="344"/>
        <v>911.34400000000005</v>
      </c>
      <c r="S3984" s="6">
        <f t="shared" si="345"/>
        <v>6.4799999999999996E-3</v>
      </c>
      <c r="T3984" t="str">
        <f t="shared" si="348"/>
        <v>Maximo Thermo Ayous S4S E4E Burn Blocked 2x4 Short</v>
      </c>
    </row>
    <row r="3985" spans="1:20" x14ac:dyDescent="0.25">
      <c r="A3985" t="s">
        <v>3158</v>
      </c>
      <c r="B3985" t="s">
        <v>3874</v>
      </c>
      <c r="C3985" t="s">
        <v>609</v>
      </c>
      <c r="D3985" t="s">
        <v>3129</v>
      </c>
      <c r="E3985" t="s">
        <v>4878</v>
      </c>
      <c r="F3985" t="s">
        <v>4866</v>
      </c>
      <c r="G3985" t="s">
        <v>3162</v>
      </c>
      <c r="H3985" t="s">
        <v>458</v>
      </c>
      <c r="I3985" t="s">
        <v>3937</v>
      </c>
      <c r="J3985" t="s">
        <v>881</v>
      </c>
      <c r="K3985">
        <v>7</v>
      </c>
      <c r="L3985" s="6">
        <v>2.1</v>
      </c>
      <c r="M3985" s="7">
        <v>40</v>
      </c>
      <c r="N3985" s="7">
        <v>90</v>
      </c>
      <c r="O3985" s="7">
        <f t="shared" si="342"/>
        <v>82.677165354330711</v>
      </c>
      <c r="P3985" s="7">
        <f t="shared" si="349"/>
        <v>1.5748031496062993</v>
      </c>
      <c r="Q3985" s="7">
        <f t="shared" si="349"/>
        <v>3.5433070866141736</v>
      </c>
      <c r="R3985" s="6">
        <f t="shared" si="344"/>
        <v>911.34400000000005</v>
      </c>
      <c r="S3985" s="6">
        <f t="shared" si="345"/>
        <v>7.5600000000000007E-3</v>
      </c>
      <c r="T3985" t="str">
        <f t="shared" si="348"/>
        <v>Maximo Thermo Ayous S4S E4E Burn Blocked 2x4 Short</v>
      </c>
    </row>
    <row r="3986" spans="1:20" x14ac:dyDescent="0.25">
      <c r="A3986" t="s">
        <v>3158</v>
      </c>
      <c r="B3986" t="s">
        <v>3874</v>
      </c>
      <c r="C3986" t="s">
        <v>368</v>
      </c>
      <c r="D3986" t="s">
        <v>3129</v>
      </c>
      <c r="E3986" t="s">
        <v>4879</v>
      </c>
      <c r="F3986" t="s">
        <v>4866</v>
      </c>
      <c r="G3986" t="s">
        <v>3162</v>
      </c>
      <c r="H3986" t="s">
        <v>458</v>
      </c>
      <c r="I3986" t="s">
        <v>3937</v>
      </c>
      <c r="J3986" t="s">
        <v>881</v>
      </c>
      <c r="K3986">
        <v>8</v>
      </c>
      <c r="L3986" s="6">
        <v>2.4</v>
      </c>
      <c r="M3986" s="7">
        <v>40</v>
      </c>
      <c r="N3986" s="7">
        <v>90</v>
      </c>
      <c r="O3986" s="7">
        <f t="shared" si="342"/>
        <v>94.488188976377955</v>
      </c>
      <c r="P3986" s="7">
        <f t="shared" si="349"/>
        <v>1.5748031496062993</v>
      </c>
      <c r="Q3986" s="7">
        <f t="shared" si="349"/>
        <v>3.5433070866141736</v>
      </c>
      <c r="R3986" s="6">
        <f t="shared" si="344"/>
        <v>911.34400000000005</v>
      </c>
      <c r="S3986" s="6">
        <f t="shared" si="345"/>
        <v>8.6400000000000001E-3</v>
      </c>
      <c r="T3986" t="str">
        <f t="shared" si="348"/>
        <v>Maximo Thermo Ayous S4S E4E Burn Blocked 2x4 Long</v>
      </c>
    </row>
    <row r="3987" spans="1:20" x14ac:dyDescent="0.25">
      <c r="A3987" t="s">
        <v>3158</v>
      </c>
      <c r="B3987" t="s">
        <v>3874</v>
      </c>
      <c r="C3987" t="s">
        <v>368</v>
      </c>
      <c r="D3987" t="s">
        <v>3129</v>
      </c>
      <c r="E3987" t="s">
        <v>4880</v>
      </c>
      <c r="F3987" t="s">
        <v>4866</v>
      </c>
      <c r="G3987" t="s">
        <v>3162</v>
      </c>
      <c r="H3987" t="s">
        <v>458</v>
      </c>
      <c r="I3987" t="s">
        <v>3937</v>
      </c>
      <c r="J3987" t="s">
        <v>881</v>
      </c>
      <c r="K3987">
        <v>9</v>
      </c>
      <c r="L3987" s="6">
        <v>2.7</v>
      </c>
      <c r="M3987" s="7">
        <v>40</v>
      </c>
      <c r="N3987" s="7">
        <v>90</v>
      </c>
      <c r="O3987" s="7">
        <f t="shared" si="342"/>
        <v>106.29921259842521</v>
      </c>
      <c r="P3987" s="7">
        <f t="shared" si="349"/>
        <v>1.5748031496062993</v>
      </c>
      <c r="Q3987" s="7">
        <f t="shared" si="349"/>
        <v>3.5433070866141736</v>
      </c>
      <c r="R3987" s="6">
        <f t="shared" si="344"/>
        <v>911.34400000000005</v>
      </c>
      <c r="S3987" s="6">
        <f t="shared" si="345"/>
        <v>9.7200000000000012E-3</v>
      </c>
      <c r="T3987" t="str">
        <f t="shared" si="348"/>
        <v>Maximo Thermo Ayous S4S E4E Burn Blocked 2x4 Long</v>
      </c>
    </row>
    <row r="3988" spans="1:20" x14ac:dyDescent="0.25">
      <c r="A3988" t="s">
        <v>3158</v>
      </c>
      <c r="B3988" t="s">
        <v>3159</v>
      </c>
      <c r="C3988" t="s">
        <v>368</v>
      </c>
      <c r="D3988" t="s">
        <v>3129</v>
      </c>
      <c r="E3988" t="s">
        <v>4881</v>
      </c>
      <c r="F3988" t="s">
        <v>4882</v>
      </c>
      <c r="G3988" t="s">
        <v>3162</v>
      </c>
      <c r="H3988" t="s">
        <v>458</v>
      </c>
      <c r="I3988" t="s">
        <v>3937</v>
      </c>
      <c r="J3988" t="s">
        <v>906</v>
      </c>
      <c r="K3988">
        <v>10</v>
      </c>
      <c r="L3988" s="6">
        <v>3</v>
      </c>
      <c r="M3988" s="7">
        <v>40</v>
      </c>
      <c r="N3988" s="7">
        <v>140</v>
      </c>
      <c r="O3988" s="7">
        <f t="shared" si="342"/>
        <v>118.11023622047244</v>
      </c>
      <c r="P3988" s="7">
        <f t="shared" si="349"/>
        <v>1.5748031496062993</v>
      </c>
      <c r="Q3988" s="7">
        <f t="shared" si="349"/>
        <v>5.5118110236220472</v>
      </c>
      <c r="R3988" s="6">
        <f t="shared" si="344"/>
        <v>585.86400000000003</v>
      </c>
      <c r="S3988" s="6">
        <f t="shared" si="345"/>
        <v>1.6800000000000002E-2</v>
      </c>
      <c r="T3988" t="str">
        <f t="shared" si="348"/>
        <v>Maximo Thermo Ayous S4S E4E Burn Blocked 2x6 Long</v>
      </c>
    </row>
    <row r="3989" spans="1:20" x14ac:dyDescent="0.25">
      <c r="A3989" t="s">
        <v>3158</v>
      </c>
      <c r="B3989" t="s">
        <v>3159</v>
      </c>
      <c r="C3989" t="s">
        <v>368</v>
      </c>
      <c r="D3989" t="s">
        <v>3129</v>
      </c>
      <c r="E3989" t="s">
        <v>4883</v>
      </c>
      <c r="F3989" t="s">
        <v>4882</v>
      </c>
      <c r="G3989" t="s">
        <v>3162</v>
      </c>
      <c r="H3989" t="s">
        <v>458</v>
      </c>
      <c r="I3989" t="s">
        <v>3937</v>
      </c>
      <c r="J3989" t="s">
        <v>906</v>
      </c>
      <c r="K3989">
        <v>11</v>
      </c>
      <c r="L3989" s="6">
        <v>3.3</v>
      </c>
      <c r="M3989" s="7">
        <v>40</v>
      </c>
      <c r="N3989" s="7">
        <v>140</v>
      </c>
      <c r="O3989" s="7">
        <f t="shared" si="342"/>
        <v>129.92125984251967</v>
      </c>
      <c r="P3989" s="7">
        <f t="shared" si="349"/>
        <v>1.5748031496062993</v>
      </c>
      <c r="Q3989" s="7">
        <f t="shared" si="349"/>
        <v>5.5118110236220472</v>
      </c>
      <c r="R3989" s="6">
        <f t="shared" si="344"/>
        <v>585.86400000000003</v>
      </c>
      <c r="S3989" s="6">
        <f t="shared" si="345"/>
        <v>1.848E-2</v>
      </c>
      <c r="T3989" t="str">
        <f t="shared" si="348"/>
        <v>Maximo Thermo Ayous S4S E4E Burn Blocked 2x6 Long</v>
      </c>
    </row>
    <row r="3990" spans="1:20" x14ac:dyDescent="0.25">
      <c r="A3990" t="s">
        <v>3158</v>
      </c>
      <c r="B3990" t="s">
        <v>3159</v>
      </c>
      <c r="C3990" t="s">
        <v>368</v>
      </c>
      <c r="D3990" t="s">
        <v>3129</v>
      </c>
      <c r="E3990" t="s">
        <v>4884</v>
      </c>
      <c r="F3990" t="s">
        <v>4882</v>
      </c>
      <c r="G3990" t="s">
        <v>3162</v>
      </c>
      <c r="H3990" t="s">
        <v>458</v>
      </c>
      <c r="I3990" t="s">
        <v>3937</v>
      </c>
      <c r="J3990" t="s">
        <v>906</v>
      </c>
      <c r="K3990">
        <v>12</v>
      </c>
      <c r="L3990" s="6">
        <v>3.6</v>
      </c>
      <c r="M3990" s="7">
        <v>40</v>
      </c>
      <c r="N3990" s="7">
        <v>140</v>
      </c>
      <c r="O3990" s="7">
        <f t="shared" si="342"/>
        <v>141.73228346456693</v>
      </c>
      <c r="P3990" s="7">
        <f t="shared" si="349"/>
        <v>1.5748031496062993</v>
      </c>
      <c r="Q3990" s="7">
        <f t="shared" si="349"/>
        <v>5.5118110236220472</v>
      </c>
      <c r="R3990" s="6">
        <f t="shared" si="344"/>
        <v>585.86400000000003</v>
      </c>
      <c r="S3990" s="6">
        <f t="shared" si="345"/>
        <v>2.0160000000000001E-2</v>
      </c>
      <c r="T3990" t="str">
        <f t="shared" si="348"/>
        <v>Maximo Thermo Ayous S4S E4E Burn Blocked 2x6 Long</v>
      </c>
    </row>
    <row r="3991" spans="1:20" x14ac:dyDescent="0.25">
      <c r="A3991" t="s">
        <v>3158</v>
      </c>
      <c r="B3991" t="s">
        <v>3159</v>
      </c>
      <c r="C3991" t="s">
        <v>368</v>
      </c>
      <c r="D3991" t="s">
        <v>3129</v>
      </c>
      <c r="E3991" t="s">
        <v>4885</v>
      </c>
      <c r="F3991" t="s">
        <v>4882</v>
      </c>
      <c r="G3991" t="s">
        <v>3162</v>
      </c>
      <c r="H3991" t="s">
        <v>458</v>
      </c>
      <c r="I3991" t="s">
        <v>3937</v>
      </c>
      <c r="J3991" t="s">
        <v>906</v>
      </c>
      <c r="K3991">
        <v>13</v>
      </c>
      <c r="L3991" s="6">
        <v>3.9</v>
      </c>
      <c r="M3991" s="7">
        <v>40</v>
      </c>
      <c r="N3991" s="7">
        <v>140</v>
      </c>
      <c r="O3991" s="7">
        <f t="shared" si="342"/>
        <v>153.54330708661416</v>
      </c>
      <c r="P3991" s="7">
        <f t="shared" si="349"/>
        <v>1.5748031496062993</v>
      </c>
      <c r="Q3991" s="7">
        <f t="shared" si="349"/>
        <v>5.5118110236220472</v>
      </c>
      <c r="R3991" s="6">
        <f t="shared" si="344"/>
        <v>585.86400000000003</v>
      </c>
      <c r="S3991" s="6">
        <f t="shared" si="345"/>
        <v>2.1839999999999998E-2</v>
      </c>
      <c r="T3991" t="str">
        <f t="shared" si="348"/>
        <v>Maximo Thermo Ayous S4S E4E Burn Blocked 2x6 Long</v>
      </c>
    </row>
    <row r="3992" spans="1:20" x14ac:dyDescent="0.25">
      <c r="A3992" t="s">
        <v>3158</v>
      </c>
      <c r="B3992" t="s">
        <v>3159</v>
      </c>
      <c r="C3992" t="s">
        <v>368</v>
      </c>
      <c r="D3992" t="s">
        <v>3129</v>
      </c>
      <c r="E3992" t="s">
        <v>4886</v>
      </c>
      <c r="F3992" t="s">
        <v>4882</v>
      </c>
      <c r="G3992" t="s">
        <v>3162</v>
      </c>
      <c r="H3992" t="s">
        <v>458</v>
      </c>
      <c r="I3992" t="s">
        <v>3937</v>
      </c>
      <c r="J3992" t="s">
        <v>906</v>
      </c>
      <c r="K3992">
        <v>14</v>
      </c>
      <c r="L3992" s="6">
        <v>4.2</v>
      </c>
      <c r="M3992" s="7">
        <v>40</v>
      </c>
      <c r="N3992" s="7">
        <v>140</v>
      </c>
      <c r="O3992" s="7">
        <f t="shared" ref="O3992:O4002" si="350">L3992/0.0254</f>
        <v>165.35433070866142</v>
      </c>
      <c r="P3992" s="7">
        <f t="shared" ref="P3992:Q4002" si="351">M3992/25.4</f>
        <v>1.5748031496062993</v>
      </c>
      <c r="Q3992" s="7">
        <f t="shared" si="351"/>
        <v>5.5118110236220472</v>
      </c>
      <c r="R3992" s="6">
        <f t="shared" ref="R3992:R4002" si="352">ROUND(IFERROR(1/((M3992*N3992*0.3048)/1000000),0),3)</f>
        <v>585.86400000000003</v>
      </c>
      <c r="S3992" s="6">
        <f t="shared" ref="S3992:S4002" si="353">L3992*M3992/1000*N3992/1000</f>
        <v>2.3520000000000003E-2</v>
      </c>
      <c r="T3992" t="str">
        <f t="shared" si="348"/>
        <v>Maximo Thermo Ayous S4S E4E Burn Blocked 2x6 Long</v>
      </c>
    </row>
    <row r="3993" spans="1:20" x14ac:dyDescent="0.25">
      <c r="A3993" t="s">
        <v>3158</v>
      </c>
      <c r="B3993" t="s">
        <v>3159</v>
      </c>
      <c r="C3993" t="s">
        <v>368</v>
      </c>
      <c r="D3993" t="s">
        <v>3129</v>
      </c>
      <c r="E3993" t="s">
        <v>4887</v>
      </c>
      <c r="F3993" t="s">
        <v>4882</v>
      </c>
      <c r="G3993" t="s">
        <v>3162</v>
      </c>
      <c r="H3993" t="s">
        <v>458</v>
      </c>
      <c r="I3993" t="s">
        <v>3937</v>
      </c>
      <c r="J3993" t="s">
        <v>906</v>
      </c>
      <c r="K3993">
        <v>15</v>
      </c>
      <c r="L3993" s="6">
        <v>4.5</v>
      </c>
      <c r="M3993" s="7">
        <v>40</v>
      </c>
      <c r="N3993" s="7">
        <v>140</v>
      </c>
      <c r="O3993" s="7">
        <f t="shared" si="350"/>
        <v>177.16535433070868</v>
      </c>
      <c r="P3993" s="7">
        <f t="shared" si="351"/>
        <v>1.5748031496062993</v>
      </c>
      <c r="Q3993" s="7">
        <f t="shared" si="351"/>
        <v>5.5118110236220472</v>
      </c>
      <c r="R3993" s="6">
        <f t="shared" si="352"/>
        <v>585.86400000000003</v>
      </c>
      <c r="S3993" s="6">
        <f t="shared" si="353"/>
        <v>2.52E-2</v>
      </c>
      <c r="T3993" t="str">
        <f t="shared" si="348"/>
        <v>Maximo Thermo Ayous S4S E4E Burn Blocked 2x6 Long</v>
      </c>
    </row>
    <row r="3994" spans="1:20" x14ac:dyDescent="0.25">
      <c r="A3994" t="s">
        <v>3158</v>
      </c>
      <c r="B3994" t="s">
        <v>3159</v>
      </c>
      <c r="C3994" t="s">
        <v>368</v>
      </c>
      <c r="D3994" t="s">
        <v>3129</v>
      </c>
      <c r="E3994" t="s">
        <v>4888</v>
      </c>
      <c r="F3994" t="s">
        <v>4882</v>
      </c>
      <c r="G3994" t="s">
        <v>3162</v>
      </c>
      <c r="H3994" t="s">
        <v>458</v>
      </c>
      <c r="I3994" t="s">
        <v>3937</v>
      </c>
      <c r="J3994" t="s">
        <v>906</v>
      </c>
      <c r="K3994">
        <v>16</v>
      </c>
      <c r="L3994" s="6">
        <v>4.8</v>
      </c>
      <c r="M3994" s="7">
        <v>40</v>
      </c>
      <c r="N3994" s="7">
        <v>140</v>
      </c>
      <c r="O3994" s="7">
        <f t="shared" si="350"/>
        <v>188.97637795275591</v>
      </c>
      <c r="P3994" s="7">
        <f t="shared" si="351"/>
        <v>1.5748031496062993</v>
      </c>
      <c r="Q3994" s="7">
        <f t="shared" si="351"/>
        <v>5.5118110236220472</v>
      </c>
      <c r="R3994" s="6">
        <f t="shared" si="352"/>
        <v>585.86400000000003</v>
      </c>
      <c r="S3994" s="6">
        <f t="shared" si="353"/>
        <v>2.6879999999999998E-2</v>
      </c>
      <c r="T3994" t="str">
        <f t="shared" si="348"/>
        <v>Maximo Thermo Ayous S4S E4E Burn Blocked 2x6 Long</v>
      </c>
    </row>
    <row r="3995" spans="1:20" x14ac:dyDescent="0.25">
      <c r="A3995" t="s">
        <v>3158</v>
      </c>
      <c r="B3995" t="s">
        <v>3159</v>
      </c>
      <c r="C3995" t="s">
        <v>368</v>
      </c>
      <c r="D3995" t="s">
        <v>3129</v>
      </c>
      <c r="E3995" t="s">
        <v>4889</v>
      </c>
      <c r="F3995" t="s">
        <v>4882</v>
      </c>
      <c r="G3995" t="s">
        <v>3162</v>
      </c>
      <c r="H3995" t="s">
        <v>458</v>
      </c>
      <c r="I3995" t="s">
        <v>3937</v>
      </c>
      <c r="J3995" t="s">
        <v>906</v>
      </c>
      <c r="K3995">
        <v>17</v>
      </c>
      <c r="L3995" s="6">
        <v>5.0999999999999996</v>
      </c>
      <c r="M3995" s="7">
        <v>40</v>
      </c>
      <c r="N3995" s="7">
        <v>140</v>
      </c>
      <c r="O3995" s="7">
        <f t="shared" si="350"/>
        <v>200.78740157480314</v>
      </c>
      <c r="P3995" s="7">
        <f t="shared" si="351"/>
        <v>1.5748031496062993</v>
      </c>
      <c r="Q3995" s="7">
        <f t="shared" si="351"/>
        <v>5.5118110236220472</v>
      </c>
      <c r="R3995" s="6">
        <f t="shared" si="352"/>
        <v>585.86400000000003</v>
      </c>
      <c r="S3995" s="6">
        <f t="shared" si="353"/>
        <v>2.8559999999999999E-2</v>
      </c>
      <c r="T3995" t="str">
        <f t="shared" si="348"/>
        <v>Maximo Thermo Ayous S4S E4E Burn Blocked 2x6 Long</v>
      </c>
    </row>
    <row r="3996" spans="1:20" x14ac:dyDescent="0.25">
      <c r="A3996" t="s">
        <v>3158</v>
      </c>
      <c r="B3996" t="s">
        <v>3159</v>
      </c>
      <c r="C3996" t="s">
        <v>368</v>
      </c>
      <c r="D3996" t="s">
        <v>3129</v>
      </c>
      <c r="E3996" t="s">
        <v>4890</v>
      </c>
      <c r="F3996" t="s">
        <v>4882</v>
      </c>
      <c r="G3996" t="s">
        <v>3162</v>
      </c>
      <c r="H3996" t="s">
        <v>458</v>
      </c>
      <c r="I3996" t="s">
        <v>3937</v>
      </c>
      <c r="J3996" t="s">
        <v>906</v>
      </c>
      <c r="K3996">
        <v>18</v>
      </c>
      <c r="L3996" s="6">
        <v>5.4</v>
      </c>
      <c r="M3996" s="7">
        <v>40</v>
      </c>
      <c r="N3996" s="7">
        <v>140</v>
      </c>
      <c r="O3996" s="7">
        <f t="shared" si="350"/>
        <v>212.59842519685043</v>
      </c>
      <c r="P3996" s="7">
        <f t="shared" si="351"/>
        <v>1.5748031496062993</v>
      </c>
      <c r="Q3996" s="7">
        <f t="shared" si="351"/>
        <v>5.5118110236220472</v>
      </c>
      <c r="R3996" s="6">
        <f t="shared" si="352"/>
        <v>585.86400000000003</v>
      </c>
      <c r="S3996" s="6">
        <f t="shared" si="353"/>
        <v>3.024E-2</v>
      </c>
      <c r="T3996" t="str">
        <f t="shared" si="348"/>
        <v>Maximo Thermo Ayous S4S E4E Burn Blocked 2x6 Long</v>
      </c>
    </row>
    <row r="3997" spans="1:20" x14ac:dyDescent="0.25">
      <c r="A3997" t="s">
        <v>3158</v>
      </c>
      <c r="B3997" t="s">
        <v>3159</v>
      </c>
      <c r="C3997" t="s">
        <v>609</v>
      </c>
      <c r="D3997" t="s">
        <v>3129</v>
      </c>
      <c r="E3997" t="s">
        <v>4891</v>
      </c>
      <c r="F3997" t="s">
        <v>4882</v>
      </c>
      <c r="G3997" t="s">
        <v>3162</v>
      </c>
      <c r="H3997" t="s">
        <v>458</v>
      </c>
      <c r="I3997" t="s">
        <v>3937</v>
      </c>
      <c r="J3997" t="s">
        <v>906</v>
      </c>
      <c r="K3997">
        <v>4</v>
      </c>
      <c r="L3997" s="6">
        <v>1.2</v>
      </c>
      <c r="M3997" s="7">
        <v>40</v>
      </c>
      <c r="N3997" s="7">
        <v>140</v>
      </c>
      <c r="O3997" s="7">
        <f t="shared" si="350"/>
        <v>47.244094488188978</v>
      </c>
      <c r="P3997" s="7">
        <f t="shared" si="351"/>
        <v>1.5748031496062993</v>
      </c>
      <c r="Q3997" s="7">
        <f t="shared" si="351"/>
        <v>5.5118110236220472</v>
      </c>
      <c r="R3997" s="6">
        <f t="shared" si="352"/>
        <v>585.86400000000003</v>
      </c>
      <c r="S3997" s="6">
        <f t="shared" si="353"/>
        <v>6.7199999999999994E-3</v>
      </c>
      <c r="T3997" t="str">
        <f t="shared" si="348"/>
        <v>Maximo Thermo Ayous S4S E4E Burn Blocked 2x6 Short</v>
      </c>
    </row>
    <row r="3998" spans="1:20" x14ac:dyDescent="0.25">
      <c r="A3998" t="s">
        <v>3158</v>
      </c>
      <c r="B3998" t="s">
        <v>3159</v>
      </c>
      <c r="C3998" t="s">
        <v>609</v>
      </c>
      <c r="D3998" t="s">
        <v>3129</v>
      </c>
      <c r="E3998" t="s">
        <v>4892</v>
      </c>
      <c r="F3998" t="s">
        <v>4882</v>
      </c>
      <c r="G3998" t="s">
        <v>3162</v>
      </c>
      <c r="H3998" t="s">
        <v>458</v>
      </c>
      <c r="I3998" t="s">
        <v>3937</v>
      </c>
      <c r="J3998" t="s">
        <v>906</v>
      </c>
      <c r="K3998">
        <v>5</v>
      </c>
      <c r="L3998" s="6">
        <v>1.5</v>
      </c>
      <c r="M3998" s="7">
        <v>40</v>
      </c>
      <c r="N3998" s="7">
        <v>140</v>
      </c>
      <c r="O3998" s="7">
        <f t="shared" si="350"/>
        <v>59.055118110236222</v>
      </c>
      <c r="P3998" s="7">
        <f t="shared" si="351"/>
        <v>1.5748031496062993</v>
      </c>
      <c r="Q3998" s="7">
        <f t="shared" si="351"/>
        <v>5.5118110236220472</v>
      </c>
      <c r="R3998" s="6">
        <f t="shared" si="352"/>
        <v>585.86400000000003</v>
      </c>
      <c r="S3998" s="6">
        <f t="shared" si="353"/>
        <v>8.4000000000000012E-3</v>
      </c>
      <c r="T3998" t="str">
        <f t="shared" si="348"/>
        <v>Maximo Thermo Ayous S4S E4E Burn Blocked 2x6 Short</v>
      </c>
    </row>
    <row r="3999" spans="1:20" x14ac:dyDescent="0.25">
      <c r="A3999" t="s">
        <v>3158</v>
      </c>
      <c r="B3999" t="s">
        <v>3159</v>
      </c>
      <c r="C3999" t="s">
        <v>609</v>
      </c>
      <c r="D3999" t="s">
        <v>3129</v>
      </c>
      <c r="E3999" t="s">
        <v>4893</v>
      </c>
      <c r="F3999" t="s">
        <v>4882</v>
      </c>
      <c r="G3999" t="s">
        <v>3162</v>
      </c>
      <c r="H3999" t="s">
        <v>458</v>
      </c>
      <c r="I3999" t="s">
        <v>3937</v>
      </c>
      <c r="J3999" t="s">
        <v>906</v>
      </c>
      <c r="K3999">
        <v>6</v>
      </c>
      <c r="L3999" s="6">
        <v>1.8</v>
      </c>
      <c r="M3999" s="7">
        <v>40</v>
      </c>
      <c r="N3999" s="7">
        <v>140</v>
      </c>
      <c r="O3999" s="7">
        <f t="shared" si="350"/>
        <v>70.866141732283467</v>
      </c>
      <c r="P3999" s="7">
        <f t="shared" si="351"/>
        <v>1.5748031496062993</v>
      </c>
      <c r="Q3999" s="7">
        <f t="shared" si="351"/>
        <v>5.5118110236220472</v>
      </c>
      <c r="R3999" s="6">
        <f t="shared" si="352"/>
        <v>585.86400000000003</v>
      </c>
      <c r="S3999" s="6">
        <f t="shared" si="353"/>
        <v>1.008E-2</v>
      </c>
      <c r="T3999" t="str">
        <f t="shared" si="348"/>
        <v>Maximo Thermo Ayous S4S E4E Burn Blocked 2x6 Short</v>
      </c>
    </row>
    <row r="4000" spans="1:20" x14ac:dyDescent="0.25">
      <c r="A4000" t="s">
        <v>3158</v>
      </c>
      <c r="B4000" t="s">
        <v>3159</v>
      </c>
      <c r="C4000" t="s">
        <v>609</v>
      </c>
      <c r="D4000" t="s">
        <v>3129</v>
      </c>
      <c r="E4000" t="s">
        <v>4894</v>
      </c>
      <c r="F4000" t="s">
        <v>4882</v>
      </c>
      <c r="G4000" t="s">
        <v>3162</v>
      </c>
      <c r="H4000" t="s">
        <v>458</v>
      </c>
      <c r="I4000" t="s">
        <v>3937</v>
      </c>
      <c r="J4000" t="s">
        <v>906</v>
      </c>
      <c r="K4000">
        <v>7</v>
      </c>
      <c r="L4000" s="6">
        <v>2.1</v>
      </c>
      <c r="M4000" s="7">
        <v>40</v>
      </c>
      <c r="N4000" s="7">
        <v>140</v>
      </c>
      <c r="O4000" s="7">
        <f t="shared" si="350"/>
        <v>82.677165354330711</v>
      </c>
      <c r="P4000" s="7">
        <f t="shared" si="351"/>
        <v>1.5748031496062993</v>
      </c>
      <c r="Q4000" s="7">
        <f t="shared" si="351"/>
        <v>5.5118110236220472</v>
      </c>
      <c r="R4000" s="6">
        <f t="shared" si="352"/>
        <v>585.86400000000003</v>
      </c>
      <c r="S4000" s="6">
        <f t="shared" si="353"/>
        <v>1.1760000000000001E-2</v>
      </c>
      <c r="T4000" t="str">
        <f t="shared" si="348"/>
        <v>Maximo Thermo Ayous S4S E4E Burn Blocked 2x6 Short</v>
      </c>
    </row>
    <row r="4001" spans="1:20" x14ac:dyDescent="0.25">
      <c r="A4001" t="s">
        <v>3158</v>
      </c>
      <c r="B4001" t="s">
        <v>3159</v>
      </c>
      <c r="C4001" t="s">
        <v>368</v>
      </c>
      <c r="D4001" t="s">
        <v>3129</v>
      </c>
      <c r="E4001" t="s">
        <v>4895</v>
      </c>
      <c r="F4001" t="s">
        <v>4882</v>
      </c>
      <c r="G4001" t="s">
        <v>3162</v>
      </c>
      <c r="H4001" t="s">
        <v>458</v>
      </c>
      <c r="I4001" t="s">
        <v>3937</v>
      </c>
      <c r="J4001" t="s">
        <v>906</v>
      </c>
      <c r="K4001">
        <v>8</v>
      </c>
      <c r="L4001" s="6">
        <v>2.4</v>
      </c>
      <c r="M4001" s="7">
        <v>40</v>
      </c>
      <c r="N4001" s="7">
        <v>140</v>
      </c>
      <c r="O4001" s="7">
        <f t="shared" si="350"/>
        <v>94.488188976377955</v>
      </c>
      <c r="P4001" s="7">
        <f t="shared" si="351"/>
        <v>1.5748031496062993</v>
      </c>
      <c r="Q4001" s="7">
        <f t="shared" si="351"/>
        <v>5.5118110236220472</v>
      </c>
      <c r="R4001" s="6">
        <f t="shared" si="352"/>
        <v>585.86400000000003</v>
      </c>
      <c r="S4001" s="6">
        <f t="shared" si="353"/>
        <v>1.3439999999999999E-2</v>
      </c>
      <c r="T4001" t="str">
        <f t="shared" si="348"/>
        <v>Maximo Thermo Ayous S4S E4E Burn Blocked 2x6 Long</v>
      </c>
    </row>
    <row r="4002" spans="1:20" x14ac:dyDescent="0.25">
      <c r="A4002" t="s">
        <v>3158</v>
      </c>
      <c r="B4002" t="s">
        <v>3159</v>
      </c>
      <c r="C4002" t="s">
        <v>368</v>
      </c>
      <c r="D4002" t="s">
        <v>3129</v>
      </c>
      <c r="E4002" t="s">
        <v>4896</v>
      </c>
      <c r="F4002" t="s">
        <v>4882</v>
      </c>
      <c r="G4002" t="s">
        <v>3162</v>
      </c>
      <c r="H4002" t="s">
        <v>458</v>
      </c>
      <c r="I4002" t="s">
        <v>3937</v>
      </c>
      <c r="J4002" t="s">
        <v>906</v>
      </c>
      <c r="K4002">
        <v>9</v>
      </c>
      <c r="L4002" s="6">
        <v>2.7</v>
      </c>
      <c r="M4002" s="7">
        <v>40</v>
      </c>
      <c r="N4002" s="7">
        <v>140</v>
      </c>
      <c r="O4002" s="7">
        <f t="shared" si="350"/>
        <v>106.29921259842521</v>
      </c>
      <c r="P4002" s="7">
        <f t="shared" si="351"/>
        <v>1.5748031496062993</v>
      </c>
      <c r="Q4002" s="7">
        <f t="shared" si="351"/>
        <v>5.5118110236220472</v>
      </c>
      <c r="R4002" s="6">
        <f t="shared" si="352"/>
        <v>585.86400000000003</v>
      </c>
      <c r="S4002" s="6">
        <f t="shared" si="353"/>
        <v>1.512E-2</v>
      </c>
      <c r="T4002" t="str">
        <f t="shared" si="348"/>
        <v>Maximo Thermo Ayous S4S E4E Burn Blocked 2x6 Long</v>
      </c>
    </row>
    <row r="4003" spans="1:20" x14ac:dyDescent="0.25">
      <c r="A4003" t="s">
        <v>2909</v>
      </c>
      <c r="B4003" t="s">
        <v>2956</v>
      </c>
      <c r="C4003" t="s">
        <v>2909</v>
      </c>
      <c r="D4003" t="s">
        <v>2911</v>
      </c>
      <c r="E4003" t="s">
        <v>4897</v>
      </c>
      <c r="F4003" t="s">
        <v>2956</v>
      </c>
      <c r="G4003" t="s">
        <v>374</v>
      </c>
      <c r="H4003" t="s">
        <v>374</v>
      </c>
      <c r="I4003" t="s">
        <v>374</v>
      </c>
      <c r="J4003">
        <v>0</v>
      </c>
      <c r="K4003">
        <v>0</v>
      </c>
      <c r="L4003" s="6">
        <v>0</v>
      </c>
      <c r="M4003" s="7">
        <v>0</v>
      </c>
      <c r="N4003" s="7">
        <v>0</v>
      </c>
      <c r="O4003" s="7">
        <v>0</v>
      </c>
      <c r="P4003" s="7">
        <v>0</v>
      </c>
      <c r="Q4003" s="7">
        <v>0</v>
      </c>
      <c r="R4003" s="6">
        <v>0</v>
      </c>
      <c r="S4003" s="6">
        <v>0</v>
      </c>
      <c r="T4003" t="str">
        <f t="shared" si="348"/>
        <v>Painting Services</v>
      </c>
    </row>
    <row r="4004" spans="1:20" x14ac:dyDescent="0.25">
      <c r="A4004" t="s">
        <v>2909</v>
      </c>
      <c r="B4004" t="s">
        <v>2956</v>
      </c>
      <c r="C4004" t="s">
        <v>2909</v>
      </c>
      <c r="D4004" t="s">
        <v>2911</v>
      </c>
      <c r="E4004" t="s">
        <v>4898</v>
      </c>
      <c r="F4004" t="s">
        <v>2956</v>
      </c>
      <c r="G4004" t="s">
        <v>374</v>
      </c>
      <c r="H4004" t="s">
        <v>374</v>
      </c>
      <c r="I4004" t="s">
        <v>374</v>
      </c>
      <c r="J4004">
        <v>0</v>
      </c>
      <c r="K4004">
        <v>0</v>
      </c>
      <c r="L4004" s="6">
        <v>0</v>
      </c>
      <c r="M4004" s="7">
        <v>0</v>
      </c>
      <c r="N4004" s="7">
        <v>0</v>
      </c>
      <c r="O4004" s="7">
        <v>0</v>
      </c>
      <c r="P4004" s="7">
        <v>0</v>
      </c>
      <c r="Q4004" s="7">
        <v>0</v>
      </c>
      <c r="R4004" s="6">
        <v>0</v>
      </c>
      <c r="S4004" s="6">
        <v>0</v>
      </c>
      <c r="T4004" t="str">
        <f t="shared" si="348"/>
        <v>Painting Services</v>
      </c>
    </row>
    <row r="4005" spans="1:20" x14ac:dyDescent="0.25">
      <c r="A4005" t="s">
        <v>4899</v>
      </c>
      <c r="B4005" t="s">
        <v>4900</v>
      </c>
      <c r="C4005" t="s">
        <v>368</v>
      </c>
      <c r="D4005" t="s">
        <v>523</v>
      </c>
      <c r="E4005" t="s">
        <v>4901</v>
      </c>
      <c r="F4005" t="s">
        <v>4902</v>
      </c>
      <c r="G4005" t="s">
        <v>4899</v>
      </c>
      <c r="H4005" t="s">
        <v>458</v>
      </c>
      <c r="I4005" t="s">
        <v>374</v>
      </c>
      <c r="J4005" t="s">
        <v>386</v>
      </c>
      <c r="K4005">
        <v>8</v>
      </c>
      <c r="L4005" s="6">
        <v>2.4384000000000001</v>
      </c>
      <c r="M4005" s="7">
        <v>25.4</v>
      </c>
      <c r="N4005" s="7">
        <v>139.69999999999999</v>
      </c>
      <c r="O4005" s="7">
        <f t="shared" ref="O4005:O4011" si="354">L4005/0.0254</f>
        <v>96.000000000000014</v>
      </c>
      <c r="P4005" s="7">
        <f t="shared" ref="P4005:Q4011" si="355">M4005/25.4</f>
        <v>1</v>
      </c>
      <c r="Q4005" s="7">
        <f t="shared" si="355"/>
        <v>5.5</v>
      </c>
      <c r="R4005" s="6">
        <f t="shared" ref="R4005:R4011" si="356">ROUND(IFERROR(1/((M4005*N4005*0.3048)/1000000),0),3)</f>
        <v>924.60199999999998</v>
      </c>
      <c r="S4005" s="6">
        <f t="shared" ref="S4005:S4011" si="357">L4005*M4005/1000*N4005/1000</f>
        <v>8.6523697920000003E-3</v>
      </c>
      <c r="T4005" t="str">
        <f t="shared" si="348"/>
        <v>Red Balau S4S E4E 5/4x6 Long</v>
      </c>
    </row>
    <row r="4006" spans="1:20" x14ac:dyDescent="0.25">
      <c r="A4006" t="s">
        <v>4899</v>
      </c>
      <c r="B4006" t="s">
        <v>4900</v>
      </c>
      <c r="C4006" t="s">
        <v>368</v>
      </c>
      <c r="D4006" t="s">
        <v>523</v>
      </c>
      <c r="E4006" t="s">
        <v>4903</v>
      </c>
      <c r="F4006" t="s">
        <v>4902</v>
      </c>
      <c r="G4006" t="s">
        <v>4899</v>
      </c>
      <c r="H4006" t="s">
        <v>458</v>
      </c>
      <c r="I4006" t="s">
        <v>374</v>
      </c>
      <c r="J4006" t="s">
        <v>386</v>
      </c>
      <c r="K4006">
        <v>10</v>
      </c>
      <c r="L4006" s="6">
        <v>3.048</v>
      </c>
      <c r="M4006" s="7">
        <v>25.4</v>
      </c>
      <c r="N4006" s="7">
        <v>139.69999999999999</v>
      </c>
      <c r="O4006" s="7">
        <f t="shared" si="354"/>
        <v>120</v>
      </c>
      <c r="P4006" s="7">
        <f t="shared" si="355"/>
        <v>1</v>
      </c>
      <c r="Q4006" s="7">
        <f t="shared" si="355"/>
        <v>5.5</v>
      </c>
      <c r="R4006" s="6">
        <f t="shared" si="356"/>
        <v>924.60199999999998</v>
      </c>
      <c r="S4006" s="6">
        <f t="shared" si="357"/>
        <v>1.081546224E-2</v>
      </c>
      <c r="T4006" t="str">
        <f t="shared" si="348"/>
        <v>Red Balau S4S E4E 5/4x6 Long</v>
      </c>
    </row>
    <row r="4007" spans="1:20" x14ac:dyDescent="0.25">
      <c r="A4007" t="s">
        <v>4899</v>
      </c>
      <c r="B4007" t="s">
        <v>4900</v>
      </c>
      <c r="C4007" t="s">
        <v>368</v>
      </c>
      <c r="D4007" t="s">
        <v>523</v>
      </c>
      <c r="E4007" t="s">
        <v>4904</v>
      </c>
      <c r="F4007" t="s">
        <v>4902</v>
      </c>
      <c r="G4007" t="s">
        <v>4899</v>
      </c>
      <c r="H4007" t="s">
        <v>458</v>
      </c>
      <c r="I4007" t="s">
        <v>374</v>
      </c>
      <c r="J4007" t="s">
        <v>386</v>
      </c>
      <c r="K4007">
        <v>12</v>
      </c>
      <c r="L4007" s="6">
        <v>3.6576</v>
      </c>
      <c r="M4007" s="7">
        <v>25.4</v>
      </c>
      <c r="N4007" s="7">
        <v>139.69999999999999</v>
      </c>
      <c r="O4007" s="7">
        <f t="shared" si="354"/>
        <v>144</v>
      </c>
      <c r="P4007" s="7">
        <f t="shared" si="355"/>
        <v>1</v>
      </c>
      <c r="Q4007" s="7">
        <f t="shared" si="355"/>
        <v>5.5</v>
      </c>
      <c r="R4007" s="6">
        <f t="shared" si="356"/>
        <v>924.60199999999998</v>
      </c>
      <c r="S4007" s="6">
        <f t="shared" si="357"/>
        <v>1.2978554687999997E-2</v>
      </c>
      <c r="T4007" t="str">
        <f t="shared" si="348"/>
        <v>Red Balau S4S E4E 5/4x6 Long</v>
      </c>
    </row>
    <row r="4008" spans="1:20" x14ac:dyDescent="0.25">
      <c r="A4008" t="s">
        <v>4899</v>
      </c>
      <c r="B4008" t="s">
        <v>4900</v>
      </c>
      <c r="C4008" t="s">
        <v>368</v>
      </c>
      <c r="D4008" t="s">
        <v>523</v>
      </c>
      <c r="E4008" t="s">
        <v>4905</v>
      </c>
      <c r="F4008" t="s">
        <v>4902</v>
      </c>
      <c r="G4008" t="s">
        <v>4899</v>
      </c>
      <c r="H4008" t="s">
        <v>458</v>
      </c>
      <c r="I4008" t="s">
        <v>374</v>
      </c>
      <c r="J4008" t="s">
        <v>386</v>
      </c>
      <c r="K4008">
        <v>14</v>
      </c>
      <c r="L4008" s="6">
        <v>4.2671999999999999</v>
      </c>
      <c r="M4008" s="7">
        <v>25.4</v>
      </c>
      <c r="N4008" s="7">
        <v>139.69999999999999</v>
      </c>
      <c r="O4008" s="7">
        <f t="shared" si="354"/>
        <v>168</v>
      </c>
      <c r="P4008" s="7">
        <f t="shared" si="355"/>
        <v>1</v>
      </c>
      <c r="Q4008" s="7">
        <f t="shared" si="355"/>
        <v>5.5</v>
      </c>
      <c r="R4008" s="6">
        <f t="shared" si="356"/>
        <v>924.60199999999998</v>
      </c>
      <c r="S4008" s="6">
        <f t="shared" si="357"/>
        <v>1.5141647135999997E-2</v>
      </c>
      <c r="T4008" t="str">
        <f t="shared" si="348"/>
        <v>Red Balau S4S E4E 5/4x6 Long</v>
      </c>
    </row>
    <row r="4009" spans="1:20" x14ac:dyDescent="0.25">
      <c r="A4009" t="s">
        <v>4899</v>
      </c>
      <c r="B4009" t="s">
        <v>4900</v>
      </c>
      <c r="C4009" t="s">
        <v>368</v>
      </c>
      <c r="D4009" t="s">
        <v>523</v>
      </c>
      <c r="E4009" t="s">
        <v>4906</v>
      </c>
      <c r="F4009" t="s">
        <v>4902</v>
      </c>
      <c r="G4009" t="s">
        <v>4899</v>
      </c>
      <c r="H4009" t="s">
        <v>458</v>
      </c>
      <c r="I4009" t="s">
        <v>374</v>
      </c>
      <c r="J4009" t="s">
        <v>386</v>
      </c>
      <c r="K4009">
        <v>16</v>
      </c>
      <c r="L4009" s="6">
        <v>4.8768000000000002</v>
      </c>
      <c r="M4009" s="7">
        <v>25.4</v>
      </c>
      <c r="N4009" s="7">
        <v>139.69999999999999</v>
      </c>
      <c r="O4009" s="7">
        <f t="shared" si="354"/>
        <v>192.00000000000003</v>
      </c>
      <c r="P4009" s="7">
        <f t="shared" si="355"/>
        <v>1</v>
      </c>
      <c r="Q4009" s="7">
        <f t="shared" si="355"/>
        <v>5.5</v>
      </c>
      <c r="R4009" s="6">
        <f t="shared" si="356"/>
        <v>924.60199999999998</v>
      </c>
      <c r="S4009" s="6">
        <f t="shared" si="357"/>
        <v>1.7304739584000001E-2</v>
      </c>
      <c r="T4009" t="str">
        <f t="shared" si="348"/>
        <v>Red Balau S4S E4E 5/4x6 Long</v>
      </c>
    </row>
    <row r="4010" spans="1:20" x14ac:dyDescent="0.25">
      <c r="A4010" t="s">
        <v>4899</v>
      </c>
      <c r="B4010" t="s">
        <v>4900</v>
      </c>
      <c r="C4010" t="s">
        <v>368</v>
      </c>
      <c r="D4010" t="s">
        <v>523</v>
      </c>
      <c r="E4010" t="s">
        <v>4907</v>
      </c>
      <c r="F4010" t="s">
        <v>4902</v>
      </c>
      <c r="G4010" t="s">
        <v>4899</v>
      </c>
      <c r="H4010" t="s">
        <v>458</v>
      </c>
      <c r="I4010" t="s">
        <v>374</v>
      </c>
      <c r="J4010" t="s">
        <v>386</v>
      </c>
      <c r="K4010">
        <v>18</v>
      </c>
      <c r="L4010" s="6">
        <v>5.4863999999999997</v>
      </c>
      <c r="M4010" s="7">
        <v>25.4</v>
      </c>
      <c r="N4010" s="7">
        <v>139.69999999999999</v>
      </c>
      <c r="O4010" s="7">
        <f t="shared" si="354"/>
        <v>216</v>
      </c>
      <c r="P4010" s="7">
        <f t="shared" si="355"/>
        <v>1</v>
      </c>
      <c r="Q4010" s="7">
        <f t="shared" si="355"/>
        <v>5.5</v>
      </c>
      <c r="R4010" s="6">
        <f t="shared" si="356"/>
        <v>924.60199999999998</v>
      </c>
      <c r="S4010" s="6">
        <f t="shared" si="357"/>
        <v>1.9467832031999997E-2</v>
      </c>
      <c r="T4010" t="str">
        <f t="shared" si="348"/>
        <v>Red Balau S4S E4E 5/4x6 Long</v>
      </c>
    </row>
    <row r="4011" spans="1:20" x14ac:dyDescent="0.25">
      <c r="A4011" t="s">
        <v>4899</v>
      </c>
      <c r="B4011" t="s">
        <v>4900</v>
      </c>
      <c r="C4011" t="s">
        <v>368</v>
      </c>
      <c r="D4011" t="s">
        <v>523</v>
      </c>
      <c r="E4011" t="s">
        <v>4908</v>
      </c>
      <c r="F4011" t="s">
        <v>4902</v>
      </c>
      <c r="G4011" t="s">
        <v>4899</v>
      </c>
      <c r="H4011" t="s">
        <v>458</v>
      </c>
      <c r="I4011" t="s">
        <v>374</v>
      </c>
      <c r="J4011" t="s">
        <v>386</v>
      </c>
      <c r="K4011">
        <v>20</v>
      </c>
      <c r="L4011" s="6">
        <v>6.0960000000000001</v>
      </c>
      <c r="M4011" s="7">
        <v>25.4</v>
      </c>
      <c r="N4011" s="7">
        <v>139.69999999999999</v>
      </c>
      <c r="O4011" s="7">
        <f t="shared" si="354"/>
        <v>240</v>
      </c>
      <c r="P4011" s="7">
        <f t="shared" si="355"/>
        <v>1</v>
      </c>
      <c r="Q4011" s="7">
        <f t="shared" si="355"/>
        <v>5.5</v>
      </c>
      <c r="R4011" s="6">
        <f t="shared" si="356"/>
        <v>924.60199999999998</v>
      </c>
      <c r="S4011" s="6">
        <f t="shared" si="357"/>
        <v>2.1630924480000001E-2</v>
      </c>
      <c r="T4011" t="str">
        <f t="shared" si="348"/>
        <v>Red Balau S4S E4E 5/4x6 Long</v>
      </c>
    </row>
    <row r="4012" spans="1:20" x14ac:dyDescent="0.25">
      <c r="A4012" t="s">
        <v>4656</v>
      </c>
      <c r="B4012" t="s">
        <v>4378</v>
      </c>
      <c r="C4012" t="s">
        <v>4650</v>
      </c>
      <c r="D4012" t="s">
        <v>2911</v>
      </c>
      <c r="E4012" t="s">
        <v>4909</v>
      </c>
      <c r="F4012" t="s">
        <v>4910</v>
      </c>
      <c r="G4012" t="s">
        <v>4911</v>
      </c>
      <c r="H4012" t="s">
        <v>4813</v>
      </c>
      <c r="I4012" t="s">
        <v>374</v>
      </c>
      <c r="J4012" t="s">
        <v>4654</v>
      </c>
      <c r="K4012">
        <v>0</v>
      </c>
      <c r="L4012" s="6">
        <v>0</v>
      </c>
      <c r="M4012" s="7">
        <v>0</v>
      </c>
      <c r="N4012" s="7">
        <v>0</v>
      </c>
      <c r="O4012" s="7">
        <v>0</v>
      </c>
      <c r="P4012" s="7">
        <v>0</v>
      </c>
      <c r="Q4012" s="7">
        <v>0</v>
      </c>
      <c r="R4012" s="6">
        <v>0</v>
      </c>
      <c r="S4012" s="6">
        <v>0</v>
      </c>
      <c r="T4012" t="str">
        <f t="shared" si="348"/>
        <v>Plug Kit 175 Count Wood Ipe 3/8"x3/8" Plug</v>
      </c>
    </row>
    <row r="4013" spans="1:20" x14ac:dyDescent="0.25">
      <c r="A4013" t="s">
        <v>4656</v>
      </c>
      <c r="B4013" t="s">
        <v>4378</v>
      </c>
      <c r="C4013" t="s">
        <v>4650</v>
      </c>
      <c r="D4013" t="s">
        <v>2911</v>
      </c>
      <c r="E4013" t="s">
        <v>4912</v>
      </c>
      <c r="F4013" t="s">
        <v>4913</v>
      </c>
      <c r="G4013" t="s">
        <v>4914</v>
      </c>
      <c r="H4013" t="s">
        <v>4813</v>
      </c>
      <c r="I4013" t="s">
        <v>374</v>
      </c>
      <c r="J4013" t="s">
        <v>4654</v>
      </c>
      <c r="K4013">
        <v>0</v>
      </c>
      <c r="L4013" s="6">
        <v>0</v>
      </c>
      <c r="M4013" s="7">
        <v>0</v>
      </c>
      <c r="N4013" s="7">
        <v>0</v>
      </c>
      <c r="O4013" s="7">
        <v>0</v>
      </c>
      <c r="P4013" s="7">
        <v>0</v>
      </c>
      <c r="Q4013" s="7">
        <v>0</v>
      </c>
      <c r="R4013" s="6">
        <v>0</v>
      </c>
      <c r="S4013" s="6">
        <v>0</v>
      </c>
      <c r="T4013" t="str">
        <f t="shared" si="348"/>
        <v>Plug Kit 700 Count Wood Ipe 3/8"x3/8" Plug</v>
      </c>
    </row>
    <row r="4014" spans="1:20" x14ac:dyDescent="0.25">
      <c r="A4014" t="s">
        <v>4656</v>
      </c>
      <c r="B4014" t="s">
        <v>4378</v>
      </c>
      <c r="C4014" t="s">
        <v>4650</v>
      </c>
      <c r="D4014" t="s">
        <v>2911</v>
      </c>
      <c r="E4014" t="s">
        <v>4915</v>
      </c>
      <c r="F4014" t="s">
        <v>4913</v>
      </c>
      <c r="G4014" t="s">
        <v>4914</v>
      </c>
      <c r="H4014" t="s">
        <v>4813</v>
      </c>
      <c r="I4014" t="s">
        <v>374</v>
      </c>
      <c r="J4014" t="s">
        <v>4654</v>
      </c>
      <c r="K4014">
        <v>0</v>
      </c>
      <c r="L4014" s="6">
        <v>0</v>
      </c>
      <c r="M4014" s="7">
        <v>0</v>
      </c>
      <c r="N4014" s="7">
        <v>0</v>
      </c>
      <c r="O4014" s="7">
        <v>0</v>
      </c>
      <c r="P4014" s="7">
        <v>0</v>
      </c>
      <c r="Q4014" s="7">
        <v>0</v>
      </c>
      <c r="R4014" s="6">
        <v>0</v>
      </c>
      <c r="S4014" s="6">
        <v>0</v>
      </c>
      <c r="T4014" t="str">
        <f t="shared" si="348"/>
        <v>Plug Kit 700 Count Wood Ipe 3/8"x3/8" Plug</v>
      </c>
    </row>
    <row r="4015" spans="1:20" x14ac:dyDescent="0.25">
      <c r="A4015" t="s">
        <v>2909</v>
      </c>
      <c r="B4015" t="s">
        <v>2956</v>
      </c>
      <c r="C4015" t="s">
        <v>2909</v>
      </c>
      <c r="D4015" t="s">
        <v>2911</v>
      </c>
      <c r="E4015" t="s">
        <v>4916</v>
      </c>
      <c r="F4015" t="s">
        <v>2956</v>
      </c>
      <c r="G4015" t="s">
        <v>374</v>
      </c>
      <c r="H4015" t="s">
        <v>374</v>
      </c>
      <c r="I4015" t="s">
        <v>374</v>
      </c>
      <c r="J4015">
        <v>0</v>
      </c>
      <c r="K4015">
        <v>0</v>
      </c>
      <c r="L4015" s="6">
        <v>0</v>
      </c>
      <c r="M4015" s="7">
        <v>0</v>
      </c>
      <c r="N4015" s="7">
        <v>0</v>
      </c>
      <c r="O4015" s="7">
        <v>0</v>
      </c>
      <c r="P4015" s="7">
        <v>0</v>
      </c>
      <c r="Q4015" s="7">
        <v>0</v>
      </c>
      <c r="R4015" s="6">
        <v>0</v>
      </c>
      <c r="S4015" s="6">
        <v>0</v>
      </c>
      <c r="T4015" t="str">
        <f t="shared" si="348"/>
        <v>Painting Services</v>
      </c>
    </row>
    <row r="4016" spans="1:20" x14ac:dyDescent="0.25">
      <c r="A4016" t="s">
        <v>4359</v>
      </c>
      <c r="B4016" t="s">
        <v>4378</v>
      </c>
      <c r="C4016" t="s">
        <v>2844</v>
      </c>
      <c r="D4016" t="s">
        <v>4359</v>
      </c>
      <c r="E4016">
        <v>100020</v>
      </c>
      <c r="F4016" s="8" t="s">
        <v>4917</v>
      </c>
      <c r="G4016" t="s">
        <v>4640</v>
      </c>
      <c r="H4016" s="8" t="s">
        <v>4641</v>
      </c>
      <c r="I4016" t="s">
        <v>374</v>
      </c>
      <c r="J4016" t="s">
        <v>4918</v>
      </c>
      <c r="K4016">
        <v>0</v>
      </c>
      <c r="L4016" s="6">
        <v>0</v>
      </c>
      <c r="M4016" s="7">
        <v>0</v>
      </c>
      <c r="N4016" s="7">
        <v>0</v>
      </c>
      <c r="O4016" s="7">
        <v>0</v>
      </c>
      <c r="P4016" s="7">
        <v>0</v>
      </c>
      <c r="Q4016" s="7">
        <v>0</v>
      </c>
      <c r="R4016" s="6">
        <v>0</v>
      </c>
      <c r="S4016" s="6">
        <v>0</v>
      </c>
      <c r="T4016" t="str">
        <f t="shared" si="348"/>
        <v>Screws Kit 350 Count US4 Cedar Trim Head T-15 SS305  8x2-1/2" Screws</v>
      </c>
    </row>
    <row r="4017" spans="1:20" x14ac:dyDescent="0.25">
      <c r="A4017" t="s">
        <v>2909</v>
      </c>
      <c r="B4017" t="s">
        <v>2910</v>
      </c>
      <c r="C4017" t="s">
        <v>2909</v>
      </c>
      <c r="D4017" t="s">
        <v>2911</v>
      </c>
      <c r="E4017" t="s">
        <v>4919</v>
      </c>
      <c r="F4017" t="s">
        <v>2910</v>
      </c>
      <c r="G4017" t="s">
        <v>2910</v>
      </c>
      <c r="H4017" t="s">
        <v>374</v>
      </c>
      <c r="I4017" t="s">
        <v>374</v>
      </c>
      <c r="J4017">
        <v>0</v>
      </c>
      <c r="K4017">
        <v>0</v>
      </c>
      <c r="L4017" s="6">
        <v>0</v>
      </c>
      <c r="M4017" s="7">
        <v>0</v>
      </c>
      <c r="N4017" s="7">
        <v>0</v>
      </c>
      <c r="O4017" s="7">
        <v>0</v>
      </c>
      <c r="P4017" s="7">
        <v>0</v>
      </c>
      <c r="Q4017" s="7">
        <v>0</v>
      </c>
      <c r="R4017" s="6">
        <v>0</v>
      </c>
      <c r="S4017" s="6">
        <v>0</v>
      </c>
      <c r="T4017" t="str">
        <f t="shared" si="348"/>
        <v>Expense Recovery Services</v>
      </c>
    </row>
  </sheetData>
  <autoFilter ref="A1:S3827" xr:uid="{EE41A9EE-54B6-4A94-AB9A-51D6AA813FFC}"/>
  <conditionalFormatting sqref="E1:E3862">
    <cfRule type="duplicateValues" dxfId="11" priority="8"/>
  </conditionalFormatting>
  <conditionalFormatting sqref="E3863 E3885:E3920 E3925:E3927">
    <cfRule type="duplicateValues" dxfId="10" priority="9"/>
  </conditionalFormatting>
  <conditionalFormatting sqref="E3864:E3883">
    <cfRule type="duplicateValues" dxfId="9" priority="7"/>
  </conditionalFormatting>
  <conditionalFormatting sqref="E3884">
    <cfRule type="duplicateValues" dxfId="8" priority="6"/>
  </conditionalFormatting>
  <conditionalFormatting sqref="E3921">
    <cfRule type="duplicateValues" dxfId="7" priority="5"/>
  </conditionalFormatting>
  <conditionalFormatting sqref="E3922">
    <cfRule type="duplicateValues" dxfId="6" priority="4"/>
  </conditionalFormatting>
  <conditionalFormatting sqref="E3923:E3924">
    <cfRule type="duplicateValues" dxfId="5" priority="3"/>
  </conditionalFormatting>
  <conditionalFormatting sqref="E3928:E4002">
    <cfRule type="duplicateValues" dxfId="4" priority="10"/>
  </conditionalFormatting>
  <conditionalFormatting sqref="E4003:E4004">
    <cfRule type="duplicateValues" dxfId="3" priority="2"/>
  </conditionalFormatting>
  <conditionalFormatting sqref="E4005:E4016">
    <cfRule type="duplicateValues" dxfId="2" priority="11"/>
  </conditionalFormatting>
  <conditionalFormatting sqref="E4017">
    <cfRule type="duplicateValues" dxfId="1" priority="1"/>
  </conditionalFormatting>
  <conditionalFormatting sqref="E4018:E1048576">
    <cfRule type="duplicateValues" dxfId="0" priority="1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Backup Reservas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2026-08-18T13:06:41Z</dcterms:created>
  <dcterms:modified xsi:type="dcterms:W3CDTF">2026-09-02T20:58:15Z</dcterms:modified>
</cp:coreProperties>
</file>